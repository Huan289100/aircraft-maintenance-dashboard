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V C10-CHK\GitHub\"/>
    </mc:Choice>
  </mc:AlternateContent>
  <bookViews>
    <workbookView xWindow="0" yWindow="0" windowWidth="28800" windowHeight="13215"/>
  </bookViews>
  <sheets>
    <sheet name="TEW" sheetId="1" r:id="rId1"/>
    <sheet name="TEV" sheetId="2" r:id="rId2"/>
  </sheets>
  <externalReferences>
    <externalReference r:id="rId3"/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2" i="1" l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A8" i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<sst xmlns="http://schemas.openxmlformats.org/spreadsheetml/2006/main" count="24941" uniqueCount="4001">
  <si>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</si>
  <si>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</si>
  <si>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</si>
  <si>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</si>
  <si>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</si>
  <si>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</si>
  <si>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</si>
  <si>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</si>
  <si>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</si>
  <si>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</si>
  <si>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</si>
  <si>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</si>
  <si>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</si>
  <si>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</si>
  <si>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</si>
  <si>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</si>
  <si>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</si>
  <si>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</si>
  <si>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</si>
  <si>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</si>
  <si>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</si>
  <si>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</si>
  <si>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</si>
  <si>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</si>
  <si>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</si>
  <si>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</si>
  <si>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</si>
  <si>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</si>
  <si>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</si>
  <si>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</si>
  <si>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</si>
  <si>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</si>
  <si>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</si>
  <si>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</si>
  <si>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</si>
  <si>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</si>
  <si>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</si>
  <si>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</si>
  <si>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</si>
  <si>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</si>
  <si>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</si>
  <si>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</si>
  <si>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</si>
  <si>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</si>
  <si>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</si>
  <si>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</si>
  <si>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</si>
  <si>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</si>
  <si>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</si>
  <si>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</si>
  <si>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</si>
  <si>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</si>
  <si>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</si>
  <si>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</si>
  <si>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</si>
  <si>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</si>
  <si>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</si>
  <si>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</si>
  <si>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</si>
  <si>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</si>
  <si>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</si>
  <si>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</si>
  <si>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</si>
  <si>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</si>
  <si>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</si>
  <si>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</si>
  <si>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</si>
  <si>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</si>
  <si>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</si>
  <si>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</si>
  <si>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</si>
  <si>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</si>
  <si>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</si>
  <si>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</si>
  <si>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</si>
  <si>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</si>
  <si>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</si>
  <si>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</si>
  <si>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</si>
  <si>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</si>
  <si>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</si>
  <si>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</si>
  <si>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</si>
  <si>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</si>
  <si>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</si>
  <si>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</si>
  <si>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</si>
  <si>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</si>
  <si>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</si>
  <si>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</si>
  <si>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</si>
  <si>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</si>
  <si>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</si>
  <si>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</si>
  <si>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</si>
  <si>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</si>
  <si>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</si>
  <si>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</si>
  <si>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</si>
  <si>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</si>
  <si>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</si>
  <si>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</si>
  <si>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</si>
  <si>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</si>
  <si>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</si>
  <si>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</si>
  <si>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</si>
  <si>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</si>
  <si>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</si>
  <si>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</si>
  <si>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</si>
  <si>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</si>
  <si>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</si>
  <si>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</si>
  <si>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</si>
  <si>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</si>
  <si>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</si>
  <si>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</si>
  <si>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</si>
  <si>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</si>
  <si>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</si>
  <si>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</si>
  <si>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</si>
  <si>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</si>
  <si>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</si>
  <si>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</si>
  <si>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</si>
  <si>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</si>
  <si>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</si>
  <si>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</si>
  <si>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</si>
  <si>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</si>
  <si>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</si>
  <si>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</si>
  <si>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</si>
  <si>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</si>
  <si>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</si>
  <si>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</si>
  <si>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</si>
  <si>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</si>
  <si>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</si>
  <si>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</si>
  <si>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</si>
  <si>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</si>
  <si>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</si>
  <si>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</si>
  <si>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</si>
  <si>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</si>
  <si>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</si>
  <si>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</si>
  <si>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</si>
  <si>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</si>
  <si>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</si>
  <si>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</si>
  <si>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</si>
  <si>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</si>
  <si>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</si>
  <si>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</si>
  <si>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</si>
  <si>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</si>
  <si>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</si>
  <si>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</si>
  <si>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</si>
  <si>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</si>
  <si>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</si>
  <si>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</si>
  <si>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</si>
  <si>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</si>
  <si>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</si>
  <si>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</si>
  <si>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</si>
  <si>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</si>
  <si>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</si>
  <si>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</si>
  <si>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</si>
  <si>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</si>
  <si>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</si>
  <si>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</si>
  <si>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</si>
  <si>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</si>
  <si>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</si>
  <si>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</si>
  <si>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</si>
  <si>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</si>
  <si>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</si>
  <si>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</si>
  <si>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</si>
  <si>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</si>
  <si>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</si>
  <si>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</si>
  <si>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</si>
  <si>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</si>
  <si>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</si>
  <si>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</si>
  <si>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</si>
  <si>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</si>
  <si>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</si>
  <si>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</si>
  <si>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</si>
  <si>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</si>
  <si>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</si>
  <si>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</si>
  <si>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</si>
  <si>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</si>
  <si>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</si>
  <si>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</si>
  <si>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</si>
  <si>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</si>
  <si>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</si>
  <si>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</si>
  <si>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</si>
  <si>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</si>
  <si>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</si>
  <si>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</si>
  <si>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</si>
  <si>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</si>
  <si>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</si>
  <si>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</si>
  <si>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</si>
  <si>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</si>
  <si>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</si>
  <si>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</si>
  <si>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</si>
  <si>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</si>
  <si>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</si>
  <si>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</si>
  <si>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</si>
  <si>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</si>
  <si>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</si>
  <si>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</si>
  <si>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</si>
  <si>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</si>
  <si>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</si>
  <si>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</si>
  <si>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</si>
  <si>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</si>
  <si>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</si>
  <si>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</si>
  <si>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</si>
  <si>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</si>
  <si>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</si>
  <si>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</si>
  <si>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</si>
  <si>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</si>
  <si>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</si>
  <si>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</si>
  <si>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</si>
  <si>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</si>
  <si>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</si>
  <si>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</si>
  <si>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</si>
  <si>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</si>
  <si>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</si>
  <si>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</si>
  <si>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</si>
  <si>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</si>
  <si>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</si>
  <si>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</si>
  <si>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</si>
  <si>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</si>
  <si>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</si>
  <si>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</si>
  <si>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</si>
  <si>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</si>
  <si>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</si>
  <si>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</si>
  <si>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</si>
  <si>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</si>
  <si>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</si>
  <si>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</si>
  <si>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</si>
  <si>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</si>
  <si>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</si>
  <si>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</si>
  <si>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</si>
  <si>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</si>
  <si>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</si>
  <si>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</si>
  <si>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</si>
  <si>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</si>
  <si>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</si>
  <si>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</si>
  <si>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</si>
  <si>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</si>
  <si>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</si>
  <si>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</si>
  <si>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</si>
  <si>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</si>
  <si>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</si>
  <si>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</si>
  <si>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</si>
  <si>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</si>
  <si>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</si>
  <si>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</si>
  <si>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</si>
  <si>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</si>
  <si>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</si>
  <si>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</si>
  <si>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</si>
  <si>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</si>
  <si>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</si>
  <si>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</si>
  <si>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</si>
  <si>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</si>
  <si>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</si>
  <si>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</si>
  <si>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</si>
  <si>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</si>
  <si>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</si>
  <si>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</si>
  <si>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</si>
  <si>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</si>
  <si>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</si>
  <si>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</si>
  <si>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</si>
  <si>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</si>
  <si>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</si>
  <si>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</si>
  <si>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</si>
  <si>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</si>
  <si>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</si>
  <si>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</si>
  <si>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</si>
  <si>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</si>
  <si>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</si>
  <si>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</si>
  <si>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</si>
  <si>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</si>
  <si>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</si>
  <si>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</si>
  <si>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</si>
  <si>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</si>
  <si>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</si>
  <si>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</si>
  <si>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</si>
  <si>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</si>
  <si>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</si>
  <si>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</si>
  <si>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</si>
  <si>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</si>
  <si>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</si>
  <si>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</si>
  <si>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</si>
  <si>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</si>
  <si>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</si>
  <si>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</si>
  <si>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</si>
  <si>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</si>
  <si>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</si>
  <si>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</si>
  <si>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</si>
  <si>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</si>
  <si>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</si>
  <si>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</si>
  <si>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</si>
  <si>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</si>
  <si>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</si>
  <si>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</si>
  <si>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</si>
  <si>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</si>
  <si>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</si>
  <si>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</si>
  <si>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</si>
  <si>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</si>
  <si>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</si>
  <si>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</si>
  <si>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</si>
  <si>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</si>
  <si>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</si>
  <si>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</si>
  <si>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</si>
  <si>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</si>
  <si>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</si>
  <si>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</si>
  <si>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</si>
  <si>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</si>
  <si>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</si>
  <si>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</si>
  <si>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</si>
  <si>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</si>
  <si>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</si>
  <si>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</si>
  <si>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</si>
  <si>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</si>
  <si>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</si>
  <si>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</si>
  <si>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</si>
  <si>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</si>
  <si>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</si>
  <si>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</si>
  <si>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</si>
  <si>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</si>
  <si>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</si>
  <si>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</si>
  <si>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</si>
  <si>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</si>
  <si>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</si>
  <si>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</si>
  <si>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</si>
  <si>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</si>
  <si>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</si>
  <si>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</si>
  <si>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</si>
  <si>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</si>
  <si>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</si>
  <si>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</si>
  <si>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</si>
  <si>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</si>
  <si>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</si>
  <si>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</si>
  <si>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</si>
  <si>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</si>
  <si>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</si>
  <si>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</si>
  <si>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</si>
  <si>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</si>
  <si>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</si>
  <si>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</si>
  <si>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</si>
  <si>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</si>
  <si>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</si>
  <si>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</si>
  <si>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</si>
  <si>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</si>
  <si>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</si>
  <si>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</si>
  <si>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</si>
  <si>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</si>
  <si>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</si>
  <si>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</si>
  <si>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</si>
  <si>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</si>
  <si>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</si>
  <si>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</si>
  <si>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</si>
  <si>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</si>
  <si>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</si>
  <si>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</si>
  <si>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</si>
  <si>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</si>
  <si>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</si>
  <si>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</si>
  <si>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</si>
  <si>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</si>
  <si>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</si>
  <si>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</si>
  <si>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</si>
  <si>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</si>
  <si>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</si>
  <si>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</si>
  <si>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</si>
  <si>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</si>
  <si>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</si>
  <si>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</si>
  <si>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</si>
  <si>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</si>
  <si>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</si>
  <si>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</si>
  <si>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</si>
  <si>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</si>
  <si>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</si>
  <si>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</si>
  <si>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</si>
  <si>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</si>
  <si>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</si>
  <si>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</si>
  <si>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</si>
  <si>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</si>
  <si>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</si>
  <si>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</si>
  <si>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</si>
  <si>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</si>
  <si>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</si>
  <si>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</si>
  <si>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</si>
  <si>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</si>
  <si>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</si>
  <si>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</si>
  <si>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</si>
  <si>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</si>
  <si>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</si>
  <si>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</si>
  <si>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</si>
  <si>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</si>
  <si>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</si>
  <si>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</si>
  <si>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</si>
  <si>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</si>
  <si>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</si>
  <si>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</si>
  <si>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</si>
  <si>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</si>
  <si>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</si>
  <si>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</si>
  <si>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</si>
  <si>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</si>
  <si>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</si>
  <si>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</si>
  <si>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</si>
  <si>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</si>
  <si>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</si>
  <si>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</si>
  <si>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</si>
  <si>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</si>
  <si>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</si>
  <si>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</si>
  <si>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</si>
  <si>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</si>
  <si>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</si>
  <si>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</si>
  <si>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</si>
  <si>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</si>
  <si>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</si>
  <si>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</si>
  <si>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</si>
  <si>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</si>
  <si>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</si>
  <si>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</si>
  <si>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</si>
  <si>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</si>
  <si>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</si>
  <si>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</si>
  <si>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</si>
  <si>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</si>
  <si>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</si>
  <si>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</si>
  <si>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</si>
  <si>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</si>
  <si>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</si>
  <si>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</si>
  <si>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</si>
  <si>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</si>
  <si>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</si>
  <si>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</si>
  <si>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</si>
  <si>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</si>
  <si>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</si>
  <si>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</si>
  <si>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</si>
  <si>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</si>
  <si>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</si>
  <si>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</si>
  <si>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</si>
  <si>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</si>
  <si>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</si>
  <si>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</si>
  <si>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</si>
  <si>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</si>
  <si>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</si>
  <si>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</si>
  <si>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</si>
  <si>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</si>
  <si>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</si>
  <si>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</si>
  <si>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</si>
  <si>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</si>
  <si>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</si>
  <si>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</si>
  <si>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</si>
  <si>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</si>
  <si>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</si>
  <si>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</si>
  <si>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</si>
  <si>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</si>
  <si>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</si>
  <si>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</si>
  <si>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</si>
  <si>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</si>
  <si>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</si>
  <si>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</si>
  <si>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</si>
  <si>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</si>
  <si>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</si>
  <si>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</si>
  <si>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</si>
  <si>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</si>
  <si>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</si>
  <si>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</si>
  <si>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</si>
  <si>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</si>
  <si>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</si>
  <si>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</si>
  <si>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</si>
  <si>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</si>
  <si>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</si>
  <si>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</si>
  <si>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</si>
  <si>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</si>
  <si>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</si>
  <si>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</si>
  <si>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</si>
  <si>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</si>
  <si>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</si>
  <si>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</si>
  <si>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</si>
  <si>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</si>
  <si>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</si>
  <si>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</si>
  <si>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</si>
  <si>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</si>
  <si>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</si>
  <si>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</si>
  <si>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</si>
  <si>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</si>
  <si>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</si>
  <si>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</si>
  <si>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</si>
  <si>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</si>
  <si>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</si>
  <si>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</si>
  <si>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</si>
  <si>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</si>
  <si>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</si>
  <si>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</si>
  <si>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</si>
  <si>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</si>
  <si>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</si>
  <si>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</si>
  <si>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</si>
  <si>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</si>
  <si>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</si>
  <si>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</si>
  <si>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</si>
  <si>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</si>
  <si>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</si>
  <si>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</si>
  <si>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</si>
  <si>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</si>
  <si>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</si>
  <si>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</si>
  <si>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</si>
  <si>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</si>
  <si>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</si>
  <si>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</si>
  <si>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</si>
  <si>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</si>
  <si>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</si>
  <si>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</si>
  <si>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</si>
  <si>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</si>
  <si>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</si>
  <si>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</si>
  <si>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</si>
  <si>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</si>
  <si>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</si>
  <si>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</si>
  <si>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</si>
  <si>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</si>
  <si>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</si>
  <si>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</si>
  <si>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</si>
  <si>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</si>
  <si>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</si>
  <si>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</si>
  <si>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</si>
  <si>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</si>
  <si>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</si>
  <si>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</si>
  <si>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</si>
  <si>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</si>
  <si>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</si>
  <si>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</si>
  <si>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</si>
  <si>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</si>
  <si>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</si>
  <si>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</si>
  <si>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</si>
  <si>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</si>
  <si>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</si>
  <si>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</si>
  <si>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</si>
  <si>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</si>
  <si>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</si>
  <si>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</si>
  <si>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</si>
  <si>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</si>
  <si>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</si>
  <si>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</si>
  <si>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</si>
  <si>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</si>
  <si>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</si>
  <si>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</si>
  <si>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</si>
  <si>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</si>
  <si>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</si>
  <si>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</si>
  <si>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</si>
  <si>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</si>
  <si>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</si>
  <si>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</si>
  <si>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</si>
  <si>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</si>
  <si>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</si>
  <si>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</si>
  <si>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</si>
  <si>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</si>
  <si>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</si>
  <si>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</si>
  <si>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</si>
  <si>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</si>
  <si>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</si>
  <si>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</si>
  <si>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</si>
  <si>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</si>
  <si>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</si>
  <si>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</si>
  <si>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</si>
  <si>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</si>
  <si>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</si>
  <si>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</si>
  <si>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</si>
  <si>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</si>
  <si>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</si>
  <si>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</si>
  <si>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</si>
  <si>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</si>
  <si>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</si>
  <si>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</si>
  <si>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</si>
  <si>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</si>
  <si>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</si>
  <si>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</si>
  <si>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</si>
  <si>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</si>
  <si>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</si>
  <si>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</si>
  <si>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</si>
  <si>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</si>
  <si>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</si>
  <si>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</si>
  <si>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</si>
  <si>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</si>
  <si>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</si>
  <si>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</si>
  <si>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</si>
  <si>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</si>
  <si>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</si>
  <si>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</si>
  <si>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</si>
  <si>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</si>
  <si>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</si>
  <si>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</si>
  <si>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</si>
  <si>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</si>
  <si>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</si>
  <si>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</si>
  <si>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</si>
  <si>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</si>
  <si>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</si>
  <si>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</si>
  <si>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</si>
  <si>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</si>
  <si>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</si>
  <si>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</si>
  <si>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</si>
  <si>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</si>
  <si>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</si>
  <si>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</si>
  <si>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</si>
  <si>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</si>
  <si>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</si>
  <si>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</si>
  <si>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</si>
  <si>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</si>
  <si>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</si>
  <si>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</si>
  <si>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</si>
  <si>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</si>
  <si>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</si>
  <si>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</si>
  <si>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</si>
  <si>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</si>
  <si>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</si>
  <si>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</si>
  <si>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</si>
  <si>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</si>
  <si>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</si>
  <si>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</si>
  <si>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</si>
  <si>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</si>
  <si>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</si>
  <si>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</si>
  <si>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</si>
  <si>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</si>
  <si>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</si>
  <si>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</si>
  <si>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</si>
  <si>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</si>
  <si>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</si>
  <si>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</si>
  <si>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</si>
  <si>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</si>
  <si>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</si>
  <si>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</si>
  <si>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</si>
  <si>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</si>
  <si>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</si>
  <si>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</si>
  <si>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</si>
  <si>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</si>
  <si>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</si>
  <si>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</si>
  <si>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</si>
  <si>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</si>
  <si>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</si>
  <si>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</si>
  <si>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</si>
  <si>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</si>
  <si>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</si>
  <si>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</si>
  <si>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</si>
  <si>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</si>
  <si>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</si>
  <si>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</si>
  <si>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</si>
  <si>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</si>
  <si>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</si>
  <si>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</si>
  <si>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</si>
  <si>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</si>
  <si>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</si>
  <si>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</si>
  <si>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</si>
  <si>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</si>
  <si>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</si>
  <si>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</si>
  <si>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</si>
  <si>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</si>
  <si>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</si>
  <si>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</si>
  <si>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</si>
  <si>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</si>
  <si>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</si>
  <si>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</si>
  <si>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</si>
  <si>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</si>
  <si>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</si>
  <si>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</si>
  <si>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</si>
  <si>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</si>
  <si>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</si>
  <si>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</si>
  <si>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</si>
  <si>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</si>
  <si>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</si>
  <si>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</si>
  <si>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</si>
  <si>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</si>
  <si>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</si>
  <si>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</si>
  <si>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</si>
  <si>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</si>
  <si>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</si>
  <si>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</si>
  <si>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</si>
  <si>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</si>
  <si>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</si>
  <si>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</si>
  <si>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</si>
  <si>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</si>
  <si>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</si>
  <si>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</si>
  <si>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</si>
  <si>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</si>
  <si>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</si>
  <si>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</si>
  <si>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</si>
  <si>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</si>
  <si>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</si>
  <si>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</si>
  <si>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</si>
  <si>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</si>
  <si>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</si>
  <si>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</si>
  <si>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</si>
  <si>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</si>
  <si>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</si>
  <si>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</si>
  <si>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</si>
  <si>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</si>
  <si>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</si>
  <si>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</si>
  <si>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</si>
  <si>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</si>
  <si>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</si>
  <si>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</si>
  <si>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</si>
  <si>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</si>
  <si>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</si>
  <si>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</si>
  <si>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</si>
  <si>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</si>
  <si>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</si>
  <si>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</si>
  <si>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</si>
  <si>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</si>
  <si>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</si>
  <si>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</si>
  <si>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</si>
  <si>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</si>
  <si>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</si>
  <si>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</si>
  <si>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</si>
  <si>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</si>
  <si>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</si>
  <si>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</si>
  <si>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</si>
  <si>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</si>
  <si>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</si>
  <si>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</si>
  <si>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</si>
  <si>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</si>
  <si>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</si>
  <si>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</si>
  <si>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</si>
  <si>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</si>
  <si>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</si>
  <si>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</si>
  <si>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</si>
  <si>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</si>
  <si>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</si>
  <si>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</si>
  <si>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</si>
  <si>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</si>
  <si>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</si>
  <si>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</si>
  <si>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</si>
  <si>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</si>
  <si>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</si>
  <si>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</si>
  <si>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</si>
  <si>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</si>
  <si>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</si>
  <si>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</si>
  <si>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</si>
  <si>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</si>
  <si>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</si>
  <si>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</si>
  <si>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</si>
  <si>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</si>
  <si>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</si>
  <si>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</si>
  <si>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</si>
  <si>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</si>
  <si>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</si>
  <si>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</si>
  <si>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</si>
  <si>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</si>
  <si>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</si>
  <si>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</si>
  <si>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</si>
  <si>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</si>
  <si>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</si>
  <si>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</si>
  <si>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</si>
  <si>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</si>
  <si>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</si>
  <si>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</si>
  <si>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</si>
  <si>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</si>
  <si>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</si>
  <si>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</si>
  <si>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</si>
  <si>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</si>
  <si>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</si>
  <si>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</si>
  <si>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</si>
  <si>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</si>
  <si>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</si>
  <si>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</si>
  <si>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</si>
  <si>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</si>
  <si>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</si>
  <si>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</si>
  <si>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</si>
  <si>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</si>
  <si>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</si>
  <si>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</si>
  <si>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</si>
  <si>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</si>
  <si>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</si>
  <si>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</si>
  <si>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</si>
  <si>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</si>
  <si>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</si>
  <si>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</si>
  <si>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</si>
  <si>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</si>
  <si>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</si>
  <si>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</si>
  <si>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</si>
  <si>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</si>
  <si>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</si>
  <si>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</si>
  <si>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</si>
  <si>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</si>
  <si>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</si>
  <si>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</si>
  <si>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</si>
  <si>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</si>
  <si>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</si>
  <si>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</si>
  <si>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</si>
  <si>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</si>
  <si>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</si>
  <si>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</si>
  <si>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</si>
  <si>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</si>
  <si>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</si>
  <si>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</si>
  <si>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</si>
  <si>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</si>
  <si>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</si>
  <si>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</si>
  <si>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</si>
  <si>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</si>
  <si>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</si>
  <si>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</si>
  <si>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</si>
  <si>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</si>
  <si>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</si>
  <si>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</si>
  <si>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</si>
  <si>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</si>
  <si>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</si>
  <si>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</si>
  <si>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</si>
  <si>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</si>
  <si>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</si>
  <si>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</si>
  <si>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</si>
  <si>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</si>
  <si>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</si>
  <si>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</si>
  <si>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</si>
  <si>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</si>
  <si>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</si>
  <si>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</si>
  <si>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</si>
  <si>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</si>
  <si>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</si>
  <si>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</si>
  <si>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</si>
  <si>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</si>
  <si>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</si>
  <si>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</si>
  <si>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</si>
  <si>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</si>
  <si>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</si>
  <si>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</si>
  <si>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</si>
  <si>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</si>
  <si>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</si>
  <si>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</si>
  <si>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</si>
  <si>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</si>
  <si>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</si>
  <si>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</si>
  <si>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</si>
  <si>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</si>
  <si>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</si>
  <si>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</si>
  <si>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</si>
  <si>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</si>
  <si>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</si>
  <si>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</si>
  <si>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</si>
  <si>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</si>
  <si>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</si>
  <si>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</si>
  <si>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</si>
  <si>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</si>
  <si>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</si>
  <si>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</si>
  <si>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</si>
  <si>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</si>
  <si>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</si>
  <si>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</si>
  <si>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</si>
  <si>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</si>
  <si>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</si>
  <si>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</si>
  <si>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</si>
  <si>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</si>
  <si>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</si>
  <si>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</si>
  <si>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</si>
  <si>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</si>
  <si>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</si>
  <si>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</si>
  <si>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</si>
  <si>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</si>
  <si>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</si>
  <si>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</si>
  <si>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</si>
  <si>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</si>
  <si>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</si>
  <si>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</si>
  <si>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</si>
  <si>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</si>
  <si>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</si>
  <si>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</si>
  <si>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</si>
  <si>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</si>
  <si>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</si>
  <si>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</si>
  <si>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</si>
  <si>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</si>
  <si>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</si>
  <si>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</si>
  <si>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</si>
  <si>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</si>
  <si>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</si>
  <si>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</si>
  <si>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</si>
  <si>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</si>
  <si>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</si>
  <si>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</si>
  <si>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</si>
  <si>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</si>
  <si>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</si>
  <si>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</si>
  <si>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</si>
  <si>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</si>
  <si>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</si>
  <si>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</si>
  <si>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</si>
  <si>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</si>
  <si>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</si>
  <si>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</si>
  <si>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</si>
  <si>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</si>
  <si>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</si>
  <si>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</si>
  <si>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</si>
  <si>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</si>
  <si>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</si>
  <si>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</si>
  <si>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</si>
  <si>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</si>
  <si>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</si>
  <si>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</si>
  <si>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</si>
  <si>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</si>
  <si>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</si>
  <si>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</si>
  <si>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</si>
  <si>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</si>
  <si>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</si>
  <si>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</si>
  <si>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</si>
  <si>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</si>
  <si>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</si>
  <si>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</si>
  <si>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</si>
  <si>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</si>
  <si>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</si>
  <si>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</si>
  <si>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</si>
  <si>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</si>
  <si>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</si>
  <si>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</si>
  <si>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</si>
  <si>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</si>
  <si>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</si>
  <si>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</si>
  <si>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</si>
  <si>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</si>
  <si>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</si>
  <si>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</si>
  <si>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</si>
  <si>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</si>
  <si>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</si>
  <si>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</si>
  <si>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</si>
  <si>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</si>
  <si>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</si>
  <si>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</si>
  <si>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</si>
  <si>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</si>
  <si>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</si>
  <si>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</si>
  <si>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</si>
  <si>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</si>
  <si>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</si>
  <si>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</si>
  <si>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</si>
  <si>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</si>
  <si>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</si>
  <si>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</si>
  <si>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</si>
  <si>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</si>
  <si>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</si>
  <si>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</si>
  <si>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</si>
  <si>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</si>
  <si>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</si>
  <si>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</si>
  <si>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</si>
  <si>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</si>
  <si>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</si>
  <si>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</si>
  <si>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</si>
  <si>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</si>
  <si>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</si>
  <si>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</si>
  <si>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</si>
  <si>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</si>
  <si>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</si>
  <si>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</si>
  <si>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</si>
  <si>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</si>
  <si>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</si>
  <si>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</si>
  <si>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</si>
  <si>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</si>
  <si>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</si>
  <si>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</si>
  <si>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</si>
  <si>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</si>
  <si>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</si>
  <si>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</si>
  <si>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</si>
  <si>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</si>
  <si>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</si>
  <si>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</si>
  <si>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</si>
  <si>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</si>
  <si>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</si>
  <si>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</si>
  <si>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</si>
  <si>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</si>
  <si>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</si>
  <si>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</si>
  <si>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</si>
  <si>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</si>
  <si>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</si>
  <si>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</si>
  <si>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</si>
  <si>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</si>
  <si>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</si>
  <si>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</si>
  <si>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</si>
  <si>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</si>
  <si>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</si>
  <si>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</si>
  <si>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</si>
  <si>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</si>
  <si>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</si>
  <si>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</si>
  <si>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</si>
  <si>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</si>
  <si>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</si>
  <si>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</si>
  <si>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</si>
  <si>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</si>
  <si>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</si>
  <si>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</si>
  <si>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</si>
  <si>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</si>
  <si>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</si>
  <si>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</si>
  <si>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</si>
  <si>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</si>
  <si>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</si>
  <si>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</si>
  <si>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</si>
  <si>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</si>
  <si>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</si>
  <si>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</si>
  <si>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</si>
  <si>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</si>
  <si>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</si>
  <si>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</si>
  <si>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</si>
  <si>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</si>
  <si>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</si>
  <si>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</si>
  <si>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</si>
  <si>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</si>
  <si>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</si>
  <si>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</si>
  <si>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</si>
  <si>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</si>
  <si>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</si>
  <si>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</si>
  <si>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</si>
  <si>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</si>
  <si>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</si>
  <si>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</si>
  <si>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</si>
  <si>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</si>
  <si>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</si>
  <si>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</si>
  <si>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</si>
  <si>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</si>
  <si>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</si>
  <si>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</si>
  <si>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</si>
  <si>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</si>
  <si>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</si>
  <si>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</si>
  <si>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</si>
  <si>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</si>
  <si>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</si>
  <si>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</si>
  <si>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</si>
  <si>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</si>
  <si>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</si>
  <si>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</si>
  <si>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</si>
  <si>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</si>
  <si>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</si>
  <si>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</si>
  <si>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</si>
  <si>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</si>
  <si>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</si>
  <si>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</si>
  <si>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</si>
  <si>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</si>
  <si>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</si>
  <si>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</si>
  <si>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</si>
  <si>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</si>
  <si>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</si>
  <si>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</si>
  <si>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</si>
  <si>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</si>
  <si>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</si>
  <si>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</si>
  <si>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</si>
  <si>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</si>
  <si>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</si>
  <si>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</si>
  <si>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</si>
  <si>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</si>
  <si>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</si>
  <si>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</si>
  <si>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</si>
  <si>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</si>
  <si>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</si>
  <si>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</si>
  <si>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</si>
  <si>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</si>
  <si>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</si>
  <si>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</si>
  <si>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</si>
  <si>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</si>
  <si>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</si>
  <si>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</si>
  <si>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</si>
  <si>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</si>
  <si>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</si>
  <si>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</si>
  <si>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</si>
  <si>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</si>
  <si>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</si>
  <si>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</si>
  <si>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</si>
  <si>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</si>
  <si>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</si>
  <si>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</si>
  <si>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</si>
  <si>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</si>
  <si>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</si>
  <si>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</si>
  <si>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</si>
  <si>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</si>
  <si>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</si>
  <si>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</si>
  <si>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</si>
  <si>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</si>
  <si>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</si>
  <si>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</si>
  <si>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</si>
  <si>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</si>
  <si>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</si>
  <si>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</si>
  <si>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</si>
  <si>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</si>
  <si>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</si>
  <si>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</si>
  <si>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</si>
  <si>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</si>
  <si>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</si>
  <si>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</si>
  <si>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</si>
  <si>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</si>
  <si>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</si>
  <si>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</si>
  <si>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</si>
  <si>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</si>
  <si>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</si>
  <si>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</si>
  <si>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</si>
  <si>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</si>
  <si>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</si>
  <si>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</si>
  <si>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</si>
  <si>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</si>
  <si>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</si>
  <si>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</si>
  <si>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</si>
  <si>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</si>
  <si>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</si>
  <si>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</si>
  <si>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</si>
  <si>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</si>
  <si>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</si>
  <si>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</si>
  <si>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</si>
  <si>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</si>
  <si>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</si>
  <si>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</si>
  <si>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</si>
  <si>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</si>
  <si>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</si>
  <si>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</si>
  <si>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</si>
  <si>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</si>
  <si>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</si>
  <si>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</si>
  <si>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</si>
  <si>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</si>
  <si>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</si>
  <si>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</si>
  <si>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</si>
  <si>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</si>
  <si>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</si>
  <si>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</si>
  <si>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</si>
  <si>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</si>
  <si>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</si>
  <si>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</si>
  <si>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</si>
  <si>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</si>
  <si>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</si>
  <si>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</si>
  <si>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</si>
  <si>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</si>
  <si>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</si>
  <si>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</si>
  <si>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</si>
  <si>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</si>
  <si>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</si>
  <si>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</si>
  <si>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</si>
  <si>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</si>
  <si>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</si>
  <si>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</si>
  <si>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</si>
  <si>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</si>
  <si>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</si>
  <si>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</si>
  <si>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</si>
  <si>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</si>
  <si>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</si>
  <si>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</si>
  <si>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</si>
  <si>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</si>
  <si>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</si>
  <si>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</si>
  <si>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</si>
  <si>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</si>
  <si>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</si>
  <si>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</si>
  <si>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</si>
  <si>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</si>
  <si>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</si>
  <si>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</si>
  <si>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</si>
  <si>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</si>
  <si>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</si>
  <si>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</si>
  <si>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</si>
  <si>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</si>
  <si>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</si>
  <si>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</si>
  <si>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</si>
  <si>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</si>
  <si>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</si>
  <si>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</si>
  <si>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</si>
  <si>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</si>
  <si>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</si>
  <si>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</si>
  <si>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</si>
  <si>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</si>
  <si>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</si>
  <si>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</si>
  <si>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</si>
  <si>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</si>
  <si>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</si>
  <si>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</si>
  <si>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</si>
  <si>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</si>
  <si>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</si>
  <si>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</si>
  <si>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</si>
  <si>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</si>
  <si>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</si>
  <si>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</si>
  <si>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</si>
  <si>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</si>
  <si>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</si>
  <si>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</si>
  <si>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</si>
  <si>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</si>
  <si>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</si>
  <si>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</si>
  <si>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</si>
  <si>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</si>
  <si>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</si>
  <si>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</si>
  <si>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</si>
  <si>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</si>
  <si>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</si>
  <si>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</si>
  <si>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</si>
  <si>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</si>
  <si>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</si>
  <si>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</si>
  <si>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</si>
  <si>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</si>
  <si>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</si>
  <si>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</si>
  <si>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</si>
  <si>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</si>
  <si>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</si>
  <si>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</si>
  <si>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</si>
  <si>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</si>
  <si>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</si>
  <si>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</si>
  <si>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</si>
  <si>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</si>
  <si>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</si>
  <si>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</si>
  <si>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</si>
  <si>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</si>
  <si>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</si>
  <si>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</si>
  <si>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</si>
  <si>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</si>
  <si>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</si>
  <si>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</si>
  <si>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</si>
  <si>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</si>
  <si>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</si>
  <si>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</si>
  <si>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</si>
  <si>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</si>
  <si>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</si>
  <si>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</si>
  <si>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</si>
  <si>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</si>
  <si>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</si>
  <si>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</si>
  <si>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</si>
  <si>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</si>
  <si>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</si>
  <si>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</si>
  <si>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</si>
  <si>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</si>
  <si>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</si>
  <si>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</si>
  <si>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</si>
  <si>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</si>
  <si>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</si>
  <si>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</si>
  <si>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</si>
  <si>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</si>
  <si>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</si>
  <si>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</si>
  <si>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</si>
  <si>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</si>
  <si>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</si>
  <si>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</si>
  <si>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</si>
  <si>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</si>
  <si>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</si>
  <si>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</si>
  <si>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</si>
  <si>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</si>
  <si>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</si>
  <si>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</si>
  <si>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</si>
  <si>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</si>
  <si>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</si>
  <si>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</si>
  <si>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</si>
  <si>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</si>
  <si>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</si>
  <si>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</si>
  <si>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</si>
  <si>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</si>
  <si>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</si>
  <si>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</si>
  <si>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</si>
  <si>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</si>
  <si>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</si>
  <si>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</si>
  <si>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</si>
  <si>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</si>
  <si>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</si>
  <si>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</si>
  <si>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</si>
  <si>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</si>
  <si>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</si>
  <si>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</si>
  <si>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</si>
  <si>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</si>
  <si>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</si>
  <si>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</si>
  <si>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</si>
  <si>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</si>
  <si>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</si>
  <si>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</si>
  <si>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</si>
  <si>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</si>
  <si>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</si>
  <si>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</si>
  <si>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</si>
  <si>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</si>
  <si>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</si>
  <si>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</si>
  <si>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</si>
  <si>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</si>
  <si>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</si>
  <si>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</si>
  <si>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</si>
  <si>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</si>
  <si>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</si>
  <si>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</si>
  <si>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</si>
  <si>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</si>
  <si>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</si>
  <si>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</si>
  <si>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</si>
  <si>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</si>
  <si>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</si>
  <si>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</si>
  <si>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</si>
  <si>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</si>
  <si>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</si>
  <si>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</si>
  <si>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</si>
  <si>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</si>
  <si>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</si>
  <si>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</si>
  <si>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</si>
  <si>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</si>
  <si>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</si>
  <si>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</si>
  <si>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</si>
  <si>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</si>
  <si>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</si>
  <si>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</si>
  <si>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</si>
  <si>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</si>
  <si>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</si>
  <si>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</si>
  <si>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</si>
  <si>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</si>
  <si>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</si>
  <si>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</si>
  <si>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</si>
  <si>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</si>
  <si>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</si>
  <si>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</si>
  <si>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</si>
  <si>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</si>
  <si>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</si>
  <si>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</si>
  <si>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</si>
  <si>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</si>
  <si>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</si>
  <si>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</si>
  <si>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</si>
  <si>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</si>
  <si>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</si>
  <si>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</si>
  <si>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</si>
  <si>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</si>
  <si>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</si>
  <si>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</si>
  <si>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</si>
  <si>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</si>
  <si>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</si>
  <si>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</si>
  <si>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</si>
  <si>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</si>
  <si>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</si>
  <si>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</si>
  <si>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</si>
  <si>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</si>
  <si>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</si>
  <si>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</si>
  <si>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</si>
  <si>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</si>
  <si>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</si>
  <si>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</si>
  <si>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</si>
  <si>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</si>
  <si>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</si>
  <si>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</si>
  <si>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</si>
  <si>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</si>
  <si>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</si>
  <si>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</si>
  <si>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</si>
  <si>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</si>
  <si>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</si>
  <si>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</si>
  <si>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</si>
  <si>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</si>
  <si>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</si>
  <si>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</si>
  <si>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</si>
  <si>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</si>
  <si>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</si>
  <si>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</si>
  <si>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</si>
  <si>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</si>
  <si>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</si>
  <si>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</si>
  <si>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</si>
  <si>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</si>
  <si>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</si>
  <si>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</si>
  <si>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</si>
  <si>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</si>
  <si>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</si>
  <si>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</si>
  <si>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</si>
  <si>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</si>
  <si>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</si>
  <si>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</si>
  <si>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</si>
  <si>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</si>
  <si>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</si>
  <si>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</si>
  <si>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</si>
  <si>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</si>
  <si>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</si>
  <si>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</si>
  <si>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</si>
  <si>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</si>
  <si>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</si>
  <si>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</si>
  <si>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</si>
  <si>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</si>
  <si>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</si>
  <si>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</si>
  <si>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</si>
  <si>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</si>
  <si>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</si>
  <si>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</si>
  <si>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</si>
  <si>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</si>
  <si>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</si>
  <si>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</si>
  <si>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</si>
  <si>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</si>
  <si>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</si>
  <si>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</si>
  <si>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</si>
  <si>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</si>
  <si>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</si>
  <si>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</si>
  <si>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</si>
  <si>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</si>
  <si>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</si>
  <si>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</si>
  <si>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</si>
  <si>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</si>
  <si>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</si>
  <si>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</si>
  <si>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</si>
  <si>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</si>
  <si>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</si>
  <si>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</si>
  <si>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</si>
  <si>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</si>
  <si>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</si>
  <si>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</si>
  <si>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</si>
  <si>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</si>
  <si>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</si>
  <si>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</si>
  <si>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</si>
  <si>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</si>
  <si>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</si>
  <si>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</si>
  <si>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</si>
  <si>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</si>
  <si>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</si>
  <si>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</si>
  <si>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</si>
  <si>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</si>
  <si>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</si>
  <si>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</si>
  <si>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</si>
  <si>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</si>
  <si>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</si>
  <si>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</si>
  <si>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</si>
  <si>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</si>
  <si>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</si>
  <si>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</si>
  <si>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</si>
  <si>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</si>
  <si>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</si>
  <si>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</si>
  <si>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</si>
  <si>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</si>
  <si>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</si>
  <si>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</si>
  <si>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</si>
  <si>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</si>
  <si>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</si>
  <si>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</si>
  <si>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</si>
  <si>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</si>
  <si>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</si>
  <si>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</si>
  <si>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</si>
  <si>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</si>
  <si>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</si>
  <si>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</si>
  <si>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</si>
  <si>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</si>
  <si>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</si>
  <si>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</si>
  <si>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</si>
  <si>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</si>
  <si>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</si>
  <si>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</si>
  <si>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</si>
  <si>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</si>
  <si>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</si>
  <si>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</si>
  <si>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</si>
  <si>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</si>
  <si>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</si>
  <si>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</si>
  <si>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</si>
  <si>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</si>
  <si>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</si>
  <si>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</si>
  <si>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</si>
  <si>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</si>
  <si>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</si>
  <si>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</si>
  <si>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</si>
  <si>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</si>
  <si>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</si>
  <si>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</si>
  <si>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</si>
  <si>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</si>
  <si>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</si>
  <si>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</si>
  <si>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</si>
  <si>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</si>
  <si>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</si>
  <si>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</si>
  <si>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</si>
  <si>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</si>
  <si>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</si>
  <si>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</si>
  <si>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</si>
  <si>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</si>
  <si>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</si>
  <si>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</si>
  <si>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</si>
  <si>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</si>
  <si>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</si>
  <si>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</si>
  <si>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</si>
  <si>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</si>
  <si>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</si>
  <si>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</si>
  <si>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</si>
  <si>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</si>
  <si>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</si>
  <si>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</si>
  <si>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</si>
  <si>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</si>
  <si>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</si>
  <si>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</si>
  <si>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</si>
  <si>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</si>
  <si>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</si>
  <si>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</si>
  <si>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</si>
  <si>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</si>
  <si>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</si>
  <si>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</si>
  <si>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</si>
  <si>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</si>
  <si>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</si>
  <si>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</si>
  <si>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</si>
  <si>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</si>
  <si>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</si>
  <si>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</si>
  <si>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</si>
  <si>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</si>
  <si>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</si>
  <si>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</si>
  <si>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</si>
  <si>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</si>
  <si>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</si>
  <si>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</si>
  <si>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</si>
  <si>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</si>
  <si>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</si>
  <si>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</si>
  <si>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</si>
  <si>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</si>
  <si>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</si>
  <si>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</si>
  <si>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</si>
  <si>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</si>
  <si>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</si>
  <si>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</si>
  <si>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</si>
  <si>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</si>
  <si>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</si>
  <si>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</si>
  <si>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</si>
  <si>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</si>
  <si>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</si>
  <si>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</si>
  <si>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</si>
  <si>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</si>
  <si>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</si>
  <si>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</si>
  <si>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</si>
  <si>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</si>
  <si>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</si>
  <si>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</si>
  <si>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</si>
  <si>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</si>
  <si>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</si>
  <si>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</si>
  <si>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</si>
  <si>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</si>
  <si>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</si>
  <si>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</si>
  <si>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</si>
  <si>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</si>
  <si>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</si>
  <si>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</si>
  <si>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</si>
  <si>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</si>
  <si>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</si>
  <si>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</si>
  <si>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</si>
  <si>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</si>
  <si>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</si>
  <si>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</si>
  <si>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</si>
  <si>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</si>
  <si>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</si>
  <si>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</si>
  <si>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</si>
  <si>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</si>
  <si>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</si>
  <si>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</si>
  <si>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</si>
  <si>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</si>
  <si>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</si>
  <si>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</si>
  <si>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</si>
  <si>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</si>
  <si>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</si>
  <si>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</si>
  <si>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</si>
  <si>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</si>
  <si>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</si>
  <si>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</si>
  <si>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</si>
  <si>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</si>
  <si>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</si>
  <si>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</si>
  <si>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</si>
  <si>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</si>
  <si>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</si>
  <si>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</si>
  <si>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</si>
  <si>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</si>
  <si>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</si>
  <si>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</si>
  <si>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</si>
  <si>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</si>
  <si>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</si>
  <si>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</si>
  <si>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</si>
  <si>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</si>
  <si>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</si>
  <si>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</si>
  <si>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</si>
  <si>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</si>
  <si>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</si>
  <si>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</si>
  <si>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</si>
  <si>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</si>
  <si>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</si>
  <si>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</si>
  <si>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</si>
  <si>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</si>
  <si>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</si>
  <si>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</si>
  <si>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</si>
  <si>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</si>
  <si>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</si>
  <si>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</si>
  <si>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</si>
  <si>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</si>
  <si>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</si>
  <si>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</si>
  <si>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</si>
  <si>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</si>
  <si>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</si>
  <si>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</si>
  <si>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</si>
  <si>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</si>
  <si>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</si>
  <si>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</si>
  <si>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</si>
  <si>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</si>
  <si>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</si>
  <si>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</si>
  <si>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</si>
  <si>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</si>
  <si>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</si>
  <si>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</si>
  <si>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</si>
  <si>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</si>
  <si>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</si>
  <si>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</si>
  <si>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</si>
  <si>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</si>
  <si>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</si>
  <si>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</si>
  <si>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</si>
  <si>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</si>
  <si>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</si>
  <si>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</si>
  <si>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</si>
  <si>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</si>
  <si>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</si>
  <si>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</si>
  <si>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</si>
  <si>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</si>
  <si>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</si>
  <si>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</si>
  <si>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</si>
  <si>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</si>
  <si>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</si>
  <si>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</si>
  <si>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</si>
  <si>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</si>
  <si>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</si>
  <si>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</si>
  <si>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</si>
  <si>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</si>
  <si>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</si>
  <si>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</si>
  <si>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</si>
  <si>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</si>
  <si>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</si>
  <si>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</si>
  <si>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</si>
  <si>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</si>
  <si>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</si>
  <si>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</si>
  <si>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</si>
  <si>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</si>
  <si>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</si>
  <si>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</si>
  <si>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</si>
  <si>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</si>
  <si>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</si>
  <si>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</si>
  <si>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</si>
  <si>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</si>
  <si>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</si>
  <si>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</si>
  <si>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</si>
  <si>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</si>
  <si>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</si>
  <si>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</si>
  <si>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</si>
  <si>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</si>
  <si>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</si>
  <si>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</si>
  <si>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</si>
  <si>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</si>
  <si>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</si>
  <si>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</si>
  <si>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</si>
  <si>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</si>
  <si>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</si>
  <si>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</si>
  <si>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</si>
  <si>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</si>
  <si>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</si>
  <si>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</si>
  <si>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</si>
  <si>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</si>
  <si>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</si>
  <si>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</si>
  <si>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</si>
  <si>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</si>
  <si>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</si>
  <si>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</si>
  <si>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</si>
  <si>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</si>
  <si>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</si>
  <si>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</si>
  <si>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</si>
  <si>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</si>
  <si>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</si>
  <si>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</si>
  <si>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</si>
  <si>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</si>
  <si>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</si>
  <si>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</si>
  <si>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</si>
  <si>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</si>
  <si>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</si>
  <si>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</si>
  <si>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</si>
  <si>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</si>
  <si>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</si>
  <si>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</si>
  <si>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</si>
  <si>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</si>
  <si>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</si>
  <si>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</si>
  <si>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</si>
  <si>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</si>
  <si>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</si>
  <si>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</si>
  <si>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</si>
  <si>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</si>
  <si>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</si>
  <si>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</si>
  <si>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</si>
  <si>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</si>
  <si>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</si>
  <si>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</si>
  <si>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</si>
  <si>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</si>
  <si>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</si>
  <si>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</si>
  <si>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</si>
  <si>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</si>
  <si>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</si>
  <si>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</si>
  <si>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</si>
  <si>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</si>
  <si>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</si>
  <si>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</si>
  <si>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</si>
  <si>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</si>
  <si>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</si>
  <si>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</si>
  <si>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</si>
  <si>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</si>
  <si>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</si>
  <si>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</si>
  <si>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</si>
  <si>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</si>
  <si>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</si>
  <si>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</si>
  <si>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</si>
  <si>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</si>
  <si>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</si>
  <si>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</si>
  <si>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</si>
  <si>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</si>
  <si>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</si>
  <si>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</si>
  <si>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</si>
  <si>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</si>
  <si>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</si>
  <si>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</si>
  <si>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</si>
  <si>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</si>
  <si>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</si>
  <si>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</si>
  <si>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</si>
  <si>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</si>
  <si>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</si>
  <si>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</si>
  <si>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</si>
  <si>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</si>
  <si>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</si>
  <si>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</si>
  <si>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</si>
  <si>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</si>
  <si>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</si>
  <si>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</si>
  <si>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</si>
  <si>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</si>
  <si>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</si>
  <si>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</si>
  <si>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</si>
  <si>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</si>
  <si>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</si>
  <si>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</si>
  <si>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</si>
  <si>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</si>
  <si>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</si>
  <si>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</si>
  <si>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</si>
  <si>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</si>
  <si>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</si>
  <si>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</si>
  <si>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</si>
  <si>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</si>
  <si>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</si>
  <si>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</si>
  <si>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</si>
  <si>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</si>
  <si>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</si>
  <si>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</si>
  <si>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</si>
  <si>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</si>
  <si>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</si>
  <si>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</si>
  <si>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</si>
  <si>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</si>
  <si>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</si>
  <si>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</si>
  <si>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</si>
  <si>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</si>
  <si>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</si>
  <si>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</si>
  <si>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</si>
  <si>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</si>
  <si>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</si>
  <si>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</si>
  <si>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</si>
  <si>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</si>
  <si>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</si>
  <si>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</si>
  <si>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</si>
  <si>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</si>
  <si>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</si>
  <si>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</si>
  <si>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</si>
  <si>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</si>
  <si>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</si>
  <si>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</si>
  <si>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</si>
  <si>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</si>
  <si>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</si>
  <si>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</si>
  <si>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</si>
  <si>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</si>
  <si>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</si>
  <si>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</si>
  <si>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</si>
  <si>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</si>
  <si>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</si>
  <si>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</si>
  <si>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</si>
  <si>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</si>
  <si>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</si>
  <si>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</si>
  <si>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</si>
  <si>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</si>
  <si>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</si>
  <si>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</si>
  <si>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</si>
  <si>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</si>
  <si>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</si>
  <si>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</si>
  <si>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</si>
  <si>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</si>
  <si>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</si>
  <si>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</si>
  <si>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</si>
  <si>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</si>
  <si>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</si>
  <si>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</si>
  <si>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</si>
  <si>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</si>
  <si>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</si>
  <si>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</si>
  <si>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</si>
  <si>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</si>
  <si>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</si>
  <si>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</si>
  <si>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</si>
  <si>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</si>
  <si>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</si>
  <si>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</si>
  <si>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</si>
  <si>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</si>
  <si>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</si>
  <si>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</si>
  <si>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</si>
  <si>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</si>
  <si>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</si>
  <si>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</si>
  <si>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</si>
  <si>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</si>
  <si>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</si>
  <si>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</si>
  <si>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</si>
  <si>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</si>
  <si>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</si>
  <si>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</si>
  <si>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</si>
  <si>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</si>
  <si>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</si>
  <si>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</si>
  <si>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</si>
  <si>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</si>
  <si>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</si>
  <si>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</si>
  <si>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</si>
  <si>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</si>
  <si>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</si>
  <si>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</si>
  <si>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</si>
  <si>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</si>
  <si>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</si>
  <si>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</si>
  <si>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</si>
  <si>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</si>
  <si>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</si>
  <si>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</si>
  <si>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</si>
  <si>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</si>
  <si>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</si>
  <si>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</si>
  <si>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</si>
  <si>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</si>
  <si>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</si>
  <si>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</si>
  <si>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</si>
  <si>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</si>
  <si>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</si>
  <si>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</si>
  <si>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</si>
  <si>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</si>
  <si>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</si>
  <si>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</si>
  <si>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</si>
  <si>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</si>
  <si>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</si>
  <si>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</si>
  <si>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</si>
  <si>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</si>
  <si>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</si>
  <si>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</si>
  <si>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</si>
  <si>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</si>
  <si>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</si>
  <si>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</si>
  <si>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</si>
  <si>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</si>
  <si>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</si>
  <si>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</si>
  <si>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</si>
  <si>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</si>
  <si>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</si>
  <si>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</si>
  <si>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</si>
  <si>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</si>
  <si>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</si>
  <si>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</si>
  <si>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</si>
  <si>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</si>
  <si>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</si>
  <si>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</si>
  <si>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</si>
  <si>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</si>
  <si>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</si>
  <si>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</si>
  <si>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</si>
  <si>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</si>
  <si>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</si>
  <si>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</si>
  <si>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</si>
  <si>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</si>
  <si>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</si>
  <si>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</si>
  <si>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</si>
  <si>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</si>
  <si>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</si>
  <si>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</si>
  <si>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</si>
  <si>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</si>
  <si>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</si>
  <si>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</si>
  <si>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</si>
  <si>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</si>
  <si>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</si>
  <si>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</si>
  <si>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</si>
  <si>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</si>
  <si>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</si>
  <si>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</si>
  <si>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</si>
  <si>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</si>
  <si>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</si>
  <si>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</si>
  <si>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</si>
  <si>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</si>
  <si>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</si>
  <si>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</si>
  <si>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</si>
  <si>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</si>
  <si>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</si>
  <si>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</si>
  <si>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</si>
  <si>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</si>
  <si>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</si>
  <si>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</si>
  <si>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</si>
  <si>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</si>
  <si>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</si>
  <si>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</si>
  <si>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</si>
  <si>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</si>
  <si>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</si>
  <si>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</si>
  <si>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</si>
  <si>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</si>
  <si>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</si>
  <si>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</si>
  <si>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</si>
  <si>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</si>
  <si>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</si>
  <si>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</si>
  <si>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</si>
  <si>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</si>
  <si>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</si>
  <si>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</si>
  <si>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</si>
  <si>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</si>
  <si>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</si>
  <si>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</si>
  <si>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</si>
  <si>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</si>
  <si>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</si>
  <si>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</si>
  <si>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</si>
  <si>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</si>
  <si>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</si>
  <si>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</si>
  <si>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</si>
  <si>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</si>
  <si>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</si>
  <si>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</si>
  <si>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</si>
  <si>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</si>
  <si>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</si>
  <si>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</si>
  <si>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</si>
  <si>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</si>
  <si>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</si>
  <si>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</si>
  <si>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</si>
  <si>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</si>
  <si>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</si>
  <si>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</si>
  <si>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</si>
  <si>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</si>
  <si>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</si>
  <si>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</si>
  <si>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</si>
  <si>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</si>
  <si>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</si>
  <si>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</si>
  <si>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</si>
  <si>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</si>
  <si>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</si>
  <si>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</si>
  <si>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</si>
  <si>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</si>
  <si>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</si>
  <si>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</si>
  <si>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</si>
  <si>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</si>
  <si>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</si>
  <si>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</si>
  <si>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</si>
  <si>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</si>
  <si>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</si>
  <si>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</si>
  <si>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</si>
  <si>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</si>
  <si>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</si>
  <si>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</si>
  <si>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</si>
  <si>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</si>
  <si>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</si>
  <si>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</si>
  <si>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</si>
  <si>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</si>
  <si>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</si>
  <si>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</si>
  <si>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</si>
  <si>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</si>
  <si>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</si>
  <si>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</si>
  <si>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</si>
  <si>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</si>
  <si>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</si>
  <si>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</si>
  <si>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</si>
  <si>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</si>
  <si>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</si>
  <si>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</si>
  <si>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</si>
  <si>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</si>
  <si>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</si>
  <si>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</si>
  <si>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</si>
  <si>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</si>
  <si>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</si>
  <si>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</si>
  <si>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</si>
  <si>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</si>
  <si>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</si>
  <si>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</si>
  <si>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</si>
  <si>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</si>
  <si>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</si>
  <si>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</si>
  <si>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</si>
  <si>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</si>
  <si>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</si>
  <si>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</si>
  <si>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</si>
  <si>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</si>
  <si>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</si>
  <si>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</si>
  <si>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</si>
  <si>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</si>
  <si>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</si>
  <si>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</si>
  <si>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</si>
  <si>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</si>
  <si>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</si>
  <si>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</si>
  <si>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</si>
  <si>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</si>
  <si>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</si>
  <si>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</si>
  <si>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</si>
  <si>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</si>
  <si>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</si>
  <si>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</si>
  <si>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</si>
  <si>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</si>
  <si>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</si>
  <si>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</si>
  <si>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</si>
  <si>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</si>
  <si>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</si>
  <si>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</si>
  <si>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</si>
  <si>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</si>
  <si>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</si>
  <si>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</si>
  <si>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</si>
  <si>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</si>
  <si>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</si>
  <si>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</si>
  <si>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</si>
  <si>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</si>
  <si>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</si>
  <si>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</si>
  <si>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</si>
  <si>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</si>
  <si>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</si>
  <si>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</si>
  <si>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</si>
  <si>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</si>
  <si>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</si>
  <si>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</si>
  <si>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</si>
  <si>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</si>
  <si>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</si>
  <si>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</si>
  <si>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</si>
  <si>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</si>
  <si>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</si>
  <si>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</si>
  <si>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</si>
  <si>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</si>
  <si>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</si>
  <si>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</si>
  <si>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</si>
  <si>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</si>
  <si>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</si>
  <si>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</si>
  <si>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</si>
  <si>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</si>
  <si>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</si>
  <si>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</si>
  <si>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</si>
  <si>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</si>
  <si>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</si>
  <si>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</si>
  <si>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</si>
  <si>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</si>
  <si>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</si>
  <si>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</si>
  <si>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</si>
  <si>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</si>
  <si>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</si>
  <si>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</si>
  <si>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</si>
  <si>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</si>
  <si>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</si>
  <si>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</si>
  <si>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</si>
  <si>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</si>
  <si>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</si>
  <si>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</si>
  <si>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</si>
  <si>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</si>
  <si>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</si>
  <si>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</si>
  <si>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</si>
  <si>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</si>
  <si>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</si>
  <si>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</si>
  <si>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</si>
  <si>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</si>
  <si>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</si>
  <si>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</si>
  <si>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</si>
  <si>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</si>
  <si>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</si>
  <si>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</si>
  <si>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</si>
  <si>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</si>
  <si>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</si>
  <si>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</si>
  <si>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</si>
  <si>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</si>
  <si>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</si>
  <si>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</si>
  <si>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</si>
  <si>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</si>
  <si>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</si>
  <si>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</si>
  <si>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</si>
  <si>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</si>
  <si>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</si>
  <si>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</si>
  <si>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</si>
  <si>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</si>
  <si>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</si>
  <si>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</si>
  <si>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</si>
  <si>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</si>
  <si>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</si>
  <si>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</si>
  <si>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</si>
  <si>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</si>
  <si>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</si>
  <si>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</si>
  <si>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</si>
  <si>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</si>
  <si>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</si>
  <si>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</si>
  <si>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</si>
  <si>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</si>
  <si>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</si>
  <si>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</si>
  <si>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</si>
  <si>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</si>
  <si>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</si>
  <si>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</si>
  <si>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</si>
  <si>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</si>
  <si>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</si>
  <si>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</si>
  <si>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</si>
  <si>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</si>
  <si>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</si>
  <si>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</si>
  <si>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</si>
  <si>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</si>
  <si>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</si>
  <si>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</si>
  <si>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</si>
  <si>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</si>
  <si>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</si>
  <si>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</si>
  <si>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</si>
  <si>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</si>
  <si>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</si>
  <si>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</si>
  <si>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</si>
  <si>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</si>
  <si>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</si>
  <si>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</si>
  <si>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</si>
  <si>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</si>
  <si>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</si>
  <si>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</si>
  <si>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</si>
  <si>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</si>
  <si>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</si>
  <si>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</si>
  <si>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</si>
  <si>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</si>
  <si>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</si>
  <si>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</si>
  <si>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</si>
  <si>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</si>
  <si>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</si>
  <si>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</si>
  <si>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</si>
  <si>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</si>
  <si>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</si>
  <si>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</si>
  <si>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</si>
  <si>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</si>
  <si>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</si>
  <si>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</si>
  <si>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</si>
  <si>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</si>
  <si>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</si>
  <si>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</si>
  <si>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</si>
  <si>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</si>
  <si>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</si>
  <si>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</si>
  <si>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</si>
  <si>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</si>
  <si>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</si>
  <si>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</si>
  <si>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</si>
  <si>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</si>
  <si>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</si>
  <si>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</si>
  <si>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</si>
  <si>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</si>
  <si>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</si>
  <si>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</si>
  <si>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</si>
  <si>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</si>
  <si>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</si>
  <si>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</si>
  <si>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</si>
  <si>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</si>
  <si>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</si>
  <si>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</si>
  <si>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</si>
  <si>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</si>
  <si>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</si>
  <si>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</si>
  <si>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</si>
  <si>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</si>
  <si>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</si>
  <si>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</si>
  <si>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</si>
  <si>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</si>
  <si>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</si>
  <si>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</si>
  <si>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</si>
  <si>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</si>
  <si>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</si>
  <si>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</si>
  <si>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</si>
  <si>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</si>
  <si>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</si>
  <si>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</si>
  <si>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</si>
  <si>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</si>
  <si>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</si>
  <si>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</si>
  <si>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</si>
  <si>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</si>
  <si>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</si>
  <si>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</si>
  <si>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</si>
  <si>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</si>
  <si>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</si>
  <si>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</si>
  <si>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</si>
  <si>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</si>
  <si>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</si>
  <si>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</si>
  <si>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</si>
  <si>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</si>
  <si>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</si>
  <si>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</si>
  <si>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</si>
  <si>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</si>
  <si>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</si>
  <si>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</si>
  <si>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</si>
  <si>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</si>
  <si>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</si>
  <si>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</si>
  <si>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</si>
  <si>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</si>
  <si>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</si>
  <si>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</si>
  <si>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</si>
  <si>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</si>
  <si>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</si>
  <si>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</si>
  <si>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</si>
  <si>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</si>
  <si>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</si>
  <si>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</si>
  <si>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</si>
  <si>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</si>
  <si>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</si>
  <si>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</si>
  <si>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</si>
  <si>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</si>
  <si>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</si>
  <si>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</si>
  <si>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</si>
  <si>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</si>
  <si>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</si>
  <si>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</si>
  <si>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</si>
  <si>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</si>
  <si>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</si>
  <si>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</si>
  <si>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</si>
  <si>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</si>
  <si>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</si>
  <si>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</si>
  <si>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</si>
  <si>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</si>
  <si>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</si>
  <si>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</si>
  <si>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</si>
  <si>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</si>
  <si>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</si>
  <si>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</si>
  <si>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</si>
  <si>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</si>
  <si>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</si>
  <si>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</si>
  <si>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</si>
  <si>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</si>
  <si>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</si>
  <si>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</si>
  <si>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</si>
  <si>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</si>
  <si>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</si>
  <si>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</si>
  <si>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</si>
  <si>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</si>
  <si>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</si>
  <si>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</si>
  <si>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</si>
  <si>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</si>
  <si>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</si>
  <si>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</si>
  <si>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</si>
  <si>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</si>
  <si>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</si>
  <si>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</si>
  <si>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</si>
  <si>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</si>
  <si>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</si>
  <si>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</si>
  <si>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</si>
  <si>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</si>
  <si>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</si>
  <si>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</si>
  <si>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</si>
  <si>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</si>
  <si>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</si>
  <si>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</si>
  <si>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</si>
  <si>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</si>
  <si>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</si>
  <si>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</si>
  <si>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</si>
  <si>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</si>
  <si>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</si>
  <si>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</si>
  <si>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</si>
  <si>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</si>
  <si>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</si>
  <si>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</si>
  <si>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</si>
  <si>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</si>
  <si>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</si>
  <si>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</si>
  <si>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</si>
  <si>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</si>
  <si>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</si>
  <si>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</si>
  <si>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</si>
  <si>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</si>
  <si>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</si>
  <si>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</si>
  <si>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</si>
  <si>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</si>
  <si>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</si>
  <si>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</si>
  <si>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</si>
  <si>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</si>
  <si>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</si>
  <si>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</si>
  <si>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</si>
  <si>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</si>
  <si>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</si>
  <si>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</si>
  <si>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</si>
  <si>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</si>
  <si>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</si>
  <si>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</si>
  <si>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</si>
  <si>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</si>
  <si>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</si>
  <si>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</si>
  <si>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</si>
  <si>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</si>
  <si>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</si>
  <si>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</si>
  <si>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</si>
  <si>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</si>
  <si>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</si>
  <si>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</si>
  <si>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</si>
  <si>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</si>
  <si>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</si>
  <si>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</si>
  <si>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</si>
  <si>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</si>
  <si>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</si>
  <si>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</si>
  <si>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</si>
  <si>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</si>
  <si>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</si>
  <si>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</si>
  <si>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</si>
  <si>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</si>
  <si>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</si>
  <si>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</si>
  <si>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</si>
  <si>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</si>
  <si>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</si>
  <si>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</si>
  <si>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</si>
  <si>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</si>
  <si>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</si>
  <si>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</si>
  <si>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</si>
  <si>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</si>
  <si>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</si>
  <si>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</si>
  <si>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</si>
  <si>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</si>
  <si>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</si>
  <si>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</si>
  <si>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</si>
  <si>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</si>
  <si>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</si>
  <si>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</si>
  <si>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</si>
  <si>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</si>
  <si>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</si>
  <si>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</si>
  <si>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</si>
  <si>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</si>
  <si>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</si>
  <si>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</si>
  <si>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</si>
  <si>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</si>
  <si>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</si>
  <si>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</si>
  <si>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</si>
  <si>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</si>
  <si>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</si>
  <si>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</si>
  <si>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</si>
  <si>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</si>
  <si>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</si>
  <si>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</si>
  <si>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</si>
  <si>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</si>
  <si>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</si>
  <si>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</si>
  <si>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</si>
  <si>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</si>
  <si>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</si>
  <si>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</si>
  <si>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</si>
  <si>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</si>
  <si>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</si>
  <si>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</si>
  <si>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</si>
  <si>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</si>
  <si>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</si>
  <si>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</si>
  <si>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</si>
  <si>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</si>
  <si>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</si>
  <si>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</si>
  <si>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</si>
  <si>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</si>
  <si>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</si>
  <si>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</si>
  <si>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</si>
  <si>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</si>
  <si>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</si>
  <si>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</si>
  <si>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</si>
  <si>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</si>
  <si>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</si>
  <si>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</si>
  <si>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</si>
  <si>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</si>
  <si>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</si>
  <si>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</si>
  <si>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</si>
  <si>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</si>
  <si>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</si>
  <si>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</si>
  <si>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</si>
  <si>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</si>
  <si>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</si>
  <si>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</si>
  <si>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</si>
  <si>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</si>
  <si>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</si>
  <si>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</si>
  <si>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</si>
  <si>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</si>
  <si>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</si>
  <si>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</si>
  <si>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</si>
  <si>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</si>
  <si>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</si>
  <si>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</si>
  <si>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</si>
  <si>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</si>
  <si>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</si>
  <si>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</si>
  <si>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</si>
  <si>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</si>
  <si>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</si>
  <si>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</si>
  <si>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</si>
  <si>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</si>
  <si>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</si>
  <si>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</si>
  <si>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</si>
  <si>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</si>
  <si>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</si>
  <si>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</si>
  <si>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</si>
  <si>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</si>
  <si>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</si>
  <si>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</si>
  <si>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</si>
  <si>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</si>
  <si>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</si>
  <si>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</si>
  <si>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</si>
  <si>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</si>
  <si>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</si>
  <si>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</si>
  <si>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</si>
  <si>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</si>
  <si>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</si>
  <si>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</si>
  <si>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</si>
  <si>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</si>
  <si>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</si>
  <si>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</si>
  <si>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</si>
  <si>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</si>
  <si>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</si>
  <si>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</si>
  <si>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</si>
  <si>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</si>
  <si>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</si>
  <si>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</si>
  <si>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</si>
  <si>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</si>
  <si>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</si>
  <si>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</si>
  <si>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</si>
  <si>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</si>
  <si>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</si>
  <si>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</si>
  <si>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</si>
  <si>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</si>
  <si>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</si>
  <si>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</si>
  <si>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</si>
  <si>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</si>
  <si>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</si>
  <si>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</si>
  <si>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</si>
  <si>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</si>
  <si>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</si>
  <si>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</si>
  <si>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</si>
  <si>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</si>
  <si>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</si>
  <si>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</si>
  <si>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</si>
  <si>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</si>
  <si>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</si>
  <si>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</si>
  <si>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</si>
  <si>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</si>
  <si>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</si>
  <si>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</si>
  <si>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</si>
  <si>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</si>
  <si>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</si>
  <si>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</si>
  <si>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</si>
  <si>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</si>
  <si>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</si>
  <si>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</si>
  <si>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</si>
  <si>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</si>
  <si>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</si>
  <si>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</si>
  <si>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</si>
  <si>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</si>
  <si>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</si>
  <si>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</si>
  <si>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</si>
  <si>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</si>
  <si>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</si>
  <si>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</si>
  <si>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</si>
  <si>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</si>
  <si>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</si>
  <si>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</si>
  <si>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</si>
  <si>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</si>
  <si>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</si>
  <si>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</si>
  <si>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</si>
  <si>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</si>
  <si>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</si>
  <si>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</si>
  <si>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</si>
  <si>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</si>
  <si>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</si>
  <si>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</si>
  <si>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</si>
  <si>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</si>
  <si>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</si>
  <si>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</si>
  <si>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</si>
  <si>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</si>
  <si>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</si>
  <si>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</si>
  <si>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</si>
  <si>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</si>
  <si>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</si>
  <si>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</si>
  <si>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</si>
  <si>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</si>
  <si>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</si>
  <si>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</si>
  <si>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</si>
  <si>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</si>
  <si>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</si>
  <si>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</si>
  <si>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</si>
  <si>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</si>
  <si>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</si>
  <si>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</si>
  <si>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</si>
  <si>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</si>
  <si>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</si>
  <si>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</si>
  <si>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</si>
  <si>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</si>
  <si>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</si>
  <si>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</si>
  <si>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</si>
  <si>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</si>
  <si>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</si>
  <si>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</si>
  <si>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</si>
  <si>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</si>
  <si>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</si>
  <si>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</si>
  <si>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</si>
  <si>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</si>
  <si>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</si>
  <si>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</si>
  <si>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</si>
  <si>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</si>
  <si>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</si>
  <si>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</si>
  <si>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</si>
  <si>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</si>
  <si>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</si>
  <si>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</si>
  <si>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</si>
  <si>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</si>
  <si>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</si>
  <si>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</si>
  <si>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</si>
  <si>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</si>
  <si>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</si>
  <si>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</si>
  <si>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</si>
  <si>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</si>
  <si>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</si>
  <si>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</si>
  <si>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</si>
  <si>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</si>
  <si>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</si>
  <si>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</si>
  <si>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</si>
  <si>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</si>
  <si>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</si>
  <si>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</si>
  <si>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</si>
  <si>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</si>
  <si>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</si>
  <si>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</si>
  <si>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</si>
  <si>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</si>
  <si>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</si>
  <si>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</si>
  <si>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</si>
  <si>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</si>
  <si>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</si>
  <si>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</si>
  <si>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</si>
  <si>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</si>
  <si>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</si>
  <si>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</si>
  <si>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</si>
  <si>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</si>
  <si>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</si>
  <si>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</si>
  <si>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</si>
  <si>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</si>
  <si>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</si>
  <si>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</si>
  <si>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</si>
  <si>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</si>
  <si>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</si>
  <si>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</si>
  <si>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</si>
  <si>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</si>
  <si>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</si>
  <si>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</si>
  <si>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</si>
  <si>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</si>
  <si>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</si>
  <si>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</si>
  <si>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</si>
  <si>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</si>
  <si>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</si>
  <si>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</si>
  <si>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</si>
  <si>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</si>
  <si>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</si>
  <si>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</si>
  <si>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</si>
  <si>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</si>
  <si>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</si>
  <si>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</si>
  <si>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</si>
  <si>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</si>
  <si>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</si>
  <si>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</si>
  <si>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</si>
  <si>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</si>
  <si>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</si>
  <si>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</si>
  <si>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</si>
  <si>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</si>
  <si>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</si>
  <si>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</si>
  <si>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</si>
  <si>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</si>
  <si>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</si>
  <si>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</si>
  <si>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</si>
  <si>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</si>
  <si>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</si>
  <si>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</si>
  <si>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</si>
  <si>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</si>
  <si>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</si>
  <si>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</si>
  <si>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</si>
  <si>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</si>
  <si>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</si>
  <si>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</si>
  <si>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</si>
  <si>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</si>
  <si>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</si>
  <si>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</si>
  <si>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</si>
  <si>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</si>
  <si>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</si>
  <si>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</si>
  <si>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</si>
  <si>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</si>
  <si>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</si>
  <si>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</si>
  <si>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</si>
  <si>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</si>
  <si>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</si>
  <si>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</si>
  <si>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</si>
  <si>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</si>
  <si>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</si>
  <si>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</si>
  <si>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</si>
  <si>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</si>
  <si>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</si>
  <si>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</si>
  <si>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</si>
  <si>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</si>
  <si>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</si>
  <si>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</si>
  <si>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</si>
  <si>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</si>
  <si>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</si>
  <si>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</si>
  <si>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</si>
  <si>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</si>
  <si>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</si>
  <si>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</si>
  <si>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</si>
  <si>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</si>
  <si>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</si>
  <si>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</si>
  <si>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</si>
  <si>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</si>
  <si>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</si>
  <si>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</si>
  <si>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</si>
  <si>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</si>
  <si>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</si>
  <si>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</si>
  <si>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</si>
  <si>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</si>
  <si>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</si>
  <si>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</si>
  <si>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</si>
  <si>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</si>
  <si>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</si>
  <si>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</si>
  <si>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</si>
  <si>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</si>
  <si>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</si>
  <si>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</si>
  <si>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</si>
  <si>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</si>
  <si>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</si>
  <si>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</si>
  <si>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</si>
  <si>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</si>
  <si>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</si>
  <si>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</si>
  <si>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</si>
  <si>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</si>
  <si>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</si>
  <si>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</si>
  <si>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</si>
  <si>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</si>
  <si>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</si>
  <si>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</si>
  <si>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</si>
  <si>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</si>
  <si>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</si>
  <si>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</si>
  <si>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</si>
  <si>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</si>
  <si>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</si>
  <si>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</si>
  <si>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</si>
  <si>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</si>
  <si>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</si>
  <si>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</si>
  <si>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</si>
  <si>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</si>
  <si>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</si>
  <si>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</si>
  <si>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</si>
  <si>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</si>
  <si>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</si>
  <si>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</si>
  <si>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</si>
  <si>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</si>
  <si>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</si>
  <si>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</si>
  <si>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</si>
  <si>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</si>
  <si>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</si>
  <si>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</si>
  <si>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</si>
  <si>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</si>
  <si>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</si>
  <si>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</si>
  <si>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</si>
  <si>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</si>
  <si>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</si>
  <si>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</si>
  <si>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</si>
  <si>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</si>
  <si>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</si>
  <si>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</si>
  <si>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</si>
  <si>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</si>
  <si>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</si>
  <si>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</si>
  <si>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</si>
  <si>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</si>
  <si>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</si>
  <si>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</si>
  <si>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</si>
  <si>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</si>
  <si>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</si>
  <si>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</si>
  <si>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</si>
  <si>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</si>
  <si>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</si>
  <si>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</si>
  <si>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</si>
  <si>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</si>
  <si>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</si>
  <si>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</si>
  <si>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</si>
  <si>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</si>
  <si>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</si>
  <si>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</si>
  <si>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</si>
  <si>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</si>
  <si>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</si>
  <si>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</si>
  <si>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</si>
  <si>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</si>
  <si>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</si>
  <si>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</si>
  <si>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</si>
  <si>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</si>
  <si>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</si>
  <si>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</si>
  <si>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</si>
  <si>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</si>
  <si>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</si>
  <si>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</si>
  <si>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</si>
  <si>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</si>
  <si>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</si>
  <si>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</si>
  <si>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</si>
  <si>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</si>
  <si>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</si>
  <si>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</si>
  <si>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</si>
  <si>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</si>
  <si>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</si>
  <si>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</si>
  <si>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</si>
  <si>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</si>
  <si>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</si>
  <si>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</si>
  <si>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</si>
  <si>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</si>
  <si>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</si>
  <si>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</si>
  <si>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</si>
  <si>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</si>
  <si>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</si>
  <si>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</si>
  <si>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</si>
  <si>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</si>
  <si>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</si>
  <si>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</si>
  <si>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</si>
  <si>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</si>
  <si>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</si>
  <si>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</si>
  <si>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</si>
  <si>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</si>
  <si>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</si>
  <si>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</si>
  <si>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</si>
  <si>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</si>
  <si>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</si>
  <si>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</si>
  <si>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</si>
  <si>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</si>
  <si>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</si>
  <si>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</si>
  <si>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</si>
  <si>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</si>
  <si>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</si>
  <si>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</si>
  <si>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</si>
  <si>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</si>
  <si>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</si>
  <si>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</si>
  <si>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</si>
  <si>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</si>
  <si>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</si>
  <si>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</si>
  <si>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</si>
  <si>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</si>
  <si>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</si>
  <si>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</si>
  <si>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</si>
  <si>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</si>
  <si>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</si>
  <si>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</si>
  <si>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</si>
  <si>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</si>
  <si>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</si>
  <si>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</si>
  <si>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</si>
  <si>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</si>
  <si>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</si>
  <si>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</si>
  <si>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</si>
  <si>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</si>
  <si>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</si>
  <si>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</si>
  <si>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</si>
  <si>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</si>
  <si>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</si>
  <si>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</si>
  <si>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</si>
  <si>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</si>
  <si>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</si>
  <si>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</si>
  <si>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</si>
  <si>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</si>
  <si>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</si>
  <si>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</si>
  <si>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</si>
  <si>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</si>
  <si>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</si>
  <si>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</si>
  <si>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</si>
  <si>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</si>
  <si>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</si>
  <si>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</si>
  <si>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</si>
  <si>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</si>
  <si>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</si>
  <si>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</si>
  <si>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</si>
  <si>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</si>
  <si>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</si>
  <si>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</si>
  <si>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</si>
  <si>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</si>
  <si>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</si>
  <si>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</si>
  <si>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</si>
  <si>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</si>
  <si>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</si>
  <si>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</si>
  <si>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</si>
  <si>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</si>
  <si>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</si>
  <si>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</si>
  <si>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</si>
  <si>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</si>
  <si>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</si>
  <si>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</si>
  <si>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</si>
  <si>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</si>
  <si>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</si>
  <si>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</si>
  <si>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</si>
  <si>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</si>
  <si>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</si>
  <si>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</si>
  <si>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</si>
  <si>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</si>
  <si>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</si>
  <si>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</si>
  <si>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</si>
  <si>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</si>
  <si>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</si>
  <si>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</si>
  <si>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</si>
  <si>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</si>
  <si>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</si>
  <si>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</si>
  <si>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</si>
  <si>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</si>
  <si>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</si>
  <si>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</si>
  <si>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</si>
  <si>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</si>
  <si>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</si>
  <si>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</si>
  <si>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</si>
  <si>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</si>
  <si>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</si>
  <si>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</si>
  <si>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</si>
  <si>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</si>
  <si>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</si>
  <si>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</si>
  <si>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</si>
  <si>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</si>
  <si>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</si>
  <si>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</si>
  <si>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</si>
  <si>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</si>
  <si>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</si>
  <si>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</si>
  <si>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</si>
  <si>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</si>
  <si>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</si>
  <si>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</si>
  <si>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</si>
  <si>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</si>
  <si>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</si>
  <si>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</si>
  <si>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</si>
  <si>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</si>
  <si>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</si>
  <si>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</si>
  <si>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</si>
  <si>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</si>
  <si>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</si>
  <si>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</si>
  <si>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</si>
  <si>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</si>
  <si>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</si>
  <si>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</si>
  <si>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</si>
  <si>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</si>
  <si>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</si>
  <si>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</si>
  <si>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</si>
  <si>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</si>
  <si>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</si>
  <si>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</si>
  <si>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</si>
  <si>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</si>
  <si>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</si>
  <si>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</si>
  <si>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</si>
  <si>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</si>
  <si>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</si>
  <si>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</si>
  <si>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</si>
  <si>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</si>
  <si>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</si>
  <si>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</si>
  <si>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</si>
  <si>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</si>
  <si>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</si>
  <si>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</si>
  <si>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</si>
  <si>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</si>
  <si>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</si>
  <si>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</si>
  <si>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</si>
  <si>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</si>
  <si>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</si>
  <si>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</si>
  <si>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</si>
  <si>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</si>
  <si>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</si>
  <si>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</si>
  <si>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</si>
  <si>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</si>
  <si>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</si>
  <si>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</si>
  <si>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</si>
  <si>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</si>
  <si>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</si>
  <si>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</si>
  <si>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</si>
  <si>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</si>
  <si>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</si>
  <si>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</si>
  <si>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</si>
  <si>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</si>
  <si>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</si>
  <si>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</si>
  <si>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</si>
  <si>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</si>
  <si>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</si>
  <si>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</si>
  <si>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</si>
  <si>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</si>
  <si>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</si>
  <si>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</si>
  <si>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</si>
  <si>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</si>
  <si>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</si>
  <si>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</si>
  <si>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</si>
  <si>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</si>
  <si>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</si>
  <si>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</si>
  <si>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</si>
  <si>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</si>
  <si>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</si>
  <si>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</si>
  <si>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</si>
  <si>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</si>
  <si>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</si>
  <si>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</si>
  <si>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</si>
  <si>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</si>
  <si>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</si>
  <si>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</si>
  <si>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</si>
  <si>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</si>
  <si>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</si>
  <si>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</si>
  <si>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</si>
  <si>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</si>
  <si>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</si>
  <si>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</si>
  <si>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</si>
  <si>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</si>
  <si>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</si>
  <si>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</si>
  <si>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</si>
  <si>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</si>
  <si>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</si>
  <si>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</si>
  <si>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</si>
  <si>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</si>
  <si>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</si>
  <si>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</si>
  <si>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</si>
  <si>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</si>
  <si>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</si>
  <si>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</si>
  <si>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</si>
  <si>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</si>
  <si>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</si>
  <si>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</si>
  <si>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</si>
  <si>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</si>
  <si>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</si>
  <si>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</si>
  <si>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</si>
  <si>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</si>
  <si>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</si>
  <si>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</si>
  <si>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</si>
  <si>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</si>
  <si>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</si>
  <si>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</si>
  <si>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</si>
  <si>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</si>
  <si>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</si>
  <si>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</si>
  <si>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</si>
  <si>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</si>
  <si>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</si>
  <si>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</si>
  <si>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</si>
  <si>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</si>
  <si>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</si>
  <si>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</si>
  <si>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</si>
  <si>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</si>
  <si>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</si>
  <si>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</si>
  <si>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</si>
  <si>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</si>
  <si>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</si>
  <si>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</si>
  <si>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</si>
  <si>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</si>
  <si>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</si>
  <si>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</si>
  <si>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</si>
  <si>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</si>
  <si>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</si>
  <si>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</si>
  <si>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</si>
  <si>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</si>
  <si>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</si>
  <si>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</si>
  <si>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</si>
  <si>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</si>
  <si>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</si>
  <si>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</si>
  <si>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</si>
  <si>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</si>
  <si>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</si>
  <si>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</si>
  <si>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</si>
  <si>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</si>
  <si>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</si>
  <si>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</si>
  <si>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</si>
  <si>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</si>
  <si>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</si>
  <si>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</si>
  <si>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</si>
  <si>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</si>
  <si>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</si>
  <si>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</si>
  <si>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</si>
  <si>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</si>
  <si>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</si>
  <si>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</si>
  <si>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</si>
  <si>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HS-TQM_PDM+CABIN REFURBISH+PAINT DATE  02 OCT. 2026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</si>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</sst>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52"/>
  <sheetViews>
    <sheetView tabSelected="1" topLeftCell="J28" workbookViewId="0">
      <selection activeCell="M61" sqref="M61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3827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3828</v>
      </c>
      <c r="C8" s="15" t="s">
        <v>3829</v>
      </c>
      <c r="D8" s="15" t="s">
        <v>3830</v>
      </c>
      <c r="E8" s="15" t="s">
        <v>3831</v>
      </c>
      <c r="F8" s="15" t="s">
        <v>3832</v>
      </c>
      <c r="G8" s="15" t="s">
        <v>273</v>
      </c>
      <c r="H8" s="15" t="s">
        <v>26</v>
      </c>
      <c r="I8" s="16">
        <v>46295</v>
      </c>
      <c r="J8" s="15" t="s">
        <v>52</v>
      </c>
      <c r="K8" s="15" t="s">
        <v>28</v>
      </c>
      <c r="L8" s="15" t="s">
        <v>3833</v>
      </c>
      <c r="M8" s="15" t="s">
        <v>931</v>
      </c>
      <c r="N8" s="15" t="s">
        <v>29</v>
      </c>
      <c r="O8" s="15" t="s">
        <v>3834</v>
      </c>
      <c r="P8" s="15" t="s">
        <v>148</v>
      </c>
      <c r="Q8" s="15" t="s">
        <v>149</v>
      </c>
      <c r="R8" s="15" t="s">
        <v>54</v>
      </c>
      <c r="S8" s="15" t="s">
        <v>32</v>
      </c>
      <c r="T8" s="15" t="s">
        <v>685</v>
      </c>
      <c r="U8" s="15" t="s">
        <v>3835</v>
      </c>
      <c r="V8" s="16">
        <v>46295</v>
      </c>
      <c r="W8" s="16">
        <v>46295</v>
      </c>
      <c r="X8" s="15" t="s">
        <v>3836</v>
      </c>
      <c r="Y8" s="16">
        <v>46295</v>
      </c>
      <c r="Z8" s="15" t="s">
        <v>226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3828</v>
      </c>
      <c r="C9" s="15" t="s">
        <v>3829</v>
      </c>
      <c r="D9" s="15" t="s">
        <v>3837</v>
      </c>
      <c r="E9" s="15" t="s">
        <v>3838</v>
      </c>
      <c r="F9" s="15" t="s">
        <v>3839</v>
      </c>
      <c r="G9" s="15" t="s">
        <v>273</v>
      </c>
      <c r="H9" s="15" t="s">
        <v>26</v>
      </c>
      <c r="I9" s="16">
        <v>46295</v>
      </c>
      <c r="J9" s="15" t="s">
        <v>82</v>
      </c>
      <c r="K9" s="15" t="s">
        <v>28</v>
      </c>
      <c r="L9" s="15" t="s">
        <v>3840</v>
      </c>
      <c r="M9" s="15" t="s">
        <v>931</v>
      </c>
      <c r="N9" s="15" t="s">
        <v>29</v>
      </c>
      <c r="O9" s="15" t="s">
        <v>3834</v>
      </c>
      <c r="P9" s="15" t="s">
        <v>41</v>
      </c>
      <c r="Q9" s="15" t="s">
        <v>42</v>
      </c>
      <c r="R9" s="15" t="s">
        <v>26</v>
      </c>
      <c r="S9" s="15" t="s">
        <v>32</v>
      </c>
      <c r="T9" s="15" t="s">
        <v>685</v>
      </c>
      <c r="U9" s="15" t="s">
        <v>3841</v>
      </c>
      <c r="V9" s="16">
        <v>46295</v>
      </c>
      <c r="W9" s="16">
        <v>46295</v>
      </c>
      <c r="X9" s="15" t="s">
        <v>3836</v>
      </c>
      <c r="Y9" s="16">
        <v>46295</v>
      </c>
      <c r="Z9" s="15" t="s">
        <v>226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52" si="0">A9+1</f>
        <v>3</v>
      </c>
      <c r="B10" s="15" t="s">
        <v>3842</v>
      </c>
      <c r="C10" s="15" t="s">
        <v>3829</v>
      </c>
      <c r="D10" s="15" t="s">
        <v>3843</v>
      </c>
      <c r="E10" s="15" t="s">
        <v>3844</v>
      </c>
      <c r="F10" s="15" t="s">
        <v>3845</v>
      </c>
      <c r="G10" s="15" t="s">
        <v>25</v>
      </c>
      <c r="H10" s="15" t="s">
        <v>26</v>
      </c>
      <c r="I10" s="16">
        <v>46272</v>
      </c>
      <c r="J10" s="15" t="s">
        <v>82</v>
      </c>
      <c r="K10" s="15" t="s">
        <v>28</v>
      </c>
      <c r="L10" s="15" t="s">
        <v>3846</v>
      </c>
      <c r="M10" s="15" t="s">
        <v>76</v>
      </c>
      <c r="N10" s="15" t="s">
        <v>29</v>
      </c>
      <c r="O10" s="15" t="s">
        <v>3847</v>
      </c>
      <c r="P10" s="15" t="s">
        <v>148</v>
      </c>
      <c r="Q10" s="15" t="s">
        <v>149</v>
      </c>
      <c r="R10" s="15" t="s">
        <v>337</v>
      </c>
      <c r="S10" s="15" t="s">
        <v>32</v>
      </c>
      <c r="T10" s="15" t="s">
        <v>107</v>
      </c>
      <c r="U10" s="15" t="s">
        <v>3848</v>
      </c>
      <c r="V10" s="16"/>
      <c r="W10" s="16">
        <v>46268</v>
      </c>
      <c r="X10" s="15" t="s">
        <v>3836</v>
      </c>
      <c r="Y10" s="16">
        <v>46268</v>
      </c>
      <c r="Z10" s="15" t="s">
        <v>226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3842</v>
      </c>
      <c r="C11" s="15" t="s">
        <v>3829</v>
      </c>
      <c r="D11" s="15" t="s">
        <v>3849</v>
      </c>
      <c r="E11" s="15" t="s">
        <v>3850</v>
      </c>
      <c r="F11" s="15" t="s">
        <v>3851</v>
      </c>
      <c r="G11" s="15" t="s">
        <v>25</v>
      </c>
      <c r="H11" s="15" t="s">
        <v>26</v>
      </c>
      <c r="I11" s="16">
        <v>46272</v>
      </c>
      <c r="J11" s="15" t="s">
        <v>82</v>
      </c>
      <c r="K11" s="15" t="s">
        <v>28</v>
      </c>
      <c r="L11" s="15" t="s">
        <v>3852</v>
      </c>
      <c r="M11" s="15" t="s">
        <v>76</v>
      </c>
      <c r="N11" s="15" t="s">
        <v>29</v>
      </c>
      <c r="O11" s="15" t="s">
        <v>3847</v>
      </c>
      <c r="P11" s="15" t="s">
        <v>148</v>
      </c>
      <c r="Q11" s="15" t="s">
        <v>149</v>
      </c>
      <c r="R11" s="15" t="s">
        <v>49</v>
      </c>
      <c r="S11" s="15" t="s">
        <v>32</v>
      </c>
      <c r="T11" s="15" t="s">
        <v>543</v>
      </c>
      <c r="U11" s="15" t="s">
        <v>3853</v>
      </c>
      <c r="V11" s="16"/>
      <c r="W11" s="16">
        <v>46268</v>
      </c>
      <c r="X11" s="15" t="s">
        <v>3836</v>
      </c>
      <c r="Y11" s="16">
        <v>46268</v>
      </c>
      <c r="Z11" s="15" t="s">
        <v>226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3842</v>
      </c>
      <c r="C12" s="15" t="s">
        <v>3829</v>
      </c>
      <c r="D12" s="15" t="s">
        <v>3854</v>
      </c>
      <c r="E12" s="15" t="s">
        <v>3850</v>
      </c>
      <c r="F12" s="15" t="s">
        <v>3851</v>
      </c>
      <c r="G12" s="15" t="s">
        <v>25</v>
      </c>
      <c r="H12" s="15" t="s">
        <v>26</v>
      </c>
      <c r="I12" s="16">
        <v>46272</v>
      </c>
      <c r="J12" s="15" t="s">
        <v>82</v>
      </c>
      <c r="K12" s="15" t="s">
        <v>58</v>
      </c>
      <c r="L12" s="15" t="s">
        <v>3852</v>
      </c>
      <c r="M12" s="15" t="s">
        <v>76</v>
      </c>
      <c r="N12" s="15" t="s">
        <v>29</v>
      </c>
      <c r="O12" s="15" t="s">
        <v>3847</v>
      </c>
      <c r="P12" s="15" t="s">
        <v>148</v>
      </c>
      <c r="Q12" s="15" t="s">
        <v>149</v>
      </c>
      <c r="R12" s="15" t="s">
        <v>49</v>
      </c>
      <c r="S12" s="15" t="s">
        <v>32</v>
      </c>
      <c r="T12" s="15" t="s">
        <v>543</v>
      </c>
      <c r="U12" s="15" t="s">
        <v>3853</v>
      </c>
      <c r="V12" s="16"/>
      <c r="W12" s="16">
        <v>46268</v>
      </c>
      <c r="X12" s="15" t="s">
        <v>3836</v>
      </c>
      <c r="Y12" s="16">
        <v>46268</v>
      </c>
      <c r="Z12" s="15" t="s">
        <v>226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3842</v>
      </c>
      <c r="C13" s="15" t="s">
        <v>3829</v>
      </c>
      <c r="D13" s="15" t="s">
        <v>3855</v>
      </c>
      <c r="E13" s="15" t="s">
        <v>3850</v>
      </c>
      <c r="F13" s="15" t="s">
        <v>3851</v>
      </c>
      <c r="G13" s="15" t="s">
        <v>25</v>
      </c>
      <c r="H13" s="15" t="s">
        <v>26</v>
      </c>
      <c r="I13" s="16">
        <v>46272</v>
      </c>
      <c r="J13" s="15" t="s">
        <v>82</v>
      </c>
      <c r="K13" s="15" t="s">
        <v>59</v>
      </c>
      <c r="L13" s="15" t="s">
        <v>3852</v>
      </c>
      <c r="M13" s="15" t="s">
        <v>76</v>
      </c>
      <c r="N13" s="15" t="s">
        <v>29</v>
      </c>
      <c r="O13" s="15" t="s">
        <v>3847</v>
      </c>
      <c r="P13" s="15" t="s">
        <v>148</v>
      </c>
      <c r="Q13" s="15" t="s">
        <v>149</v>
      </c>
      <c r="R13" s="15" t="s">
        <v>49</v>
      </c>
      <c r="S13" s="15" t="s">
        <v>32</v>
      </c>
      <c r="T13" s="15" t="s">
        <v>543</v>
      </c>
      <c r="U13" s="15" t="s">
        <v>3853</v>
      </c>
      <c r="V13" s="16"/>
      <c r="W13" s="16">
        <v>46268</v>
      </c>
      <c r="X13" s="15" t="s">
        <v>3836</v>
      </c>
      <c r="Y13" s="16">
        <v>46268</v>
      </c>
      <c r="Z13" s="15" t="s">
        <v>226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3828</v>
      </c>
      <c r="C14" s="15" t="s">
        <v>3829</v>
      </c>
      <c r="D14" s="15" t="s">
        <v>3856</v>
      </c>
      <c r="E14" s="15" t="s">
        <v>3857</v>
      </c>
      <c r="F14" s="15" t="s">
        <v>3858</v>
      </c>
      <c r="G14" s="15" t="s">
        <v>273</v>
      </c>
      <c r="H14" s="15" t="s">
        <v>26</v>
      </c>
      <c r="I14" s="16">
        <v>46295</v>
      </c>
      <c r="J14" s="15" t="s">
        <v>82</v>
      </c>
      <c r="K14" s="15" t="s">
        <v>28</v>
      </c>
      <c r="L14" s="15" t="s">
        <v>3859</v>
      </c>
      <c r="M14" s="15" t="s">
        <v>189</v>
      </c>
      <c r="N14" s="15" t="s">
        <v>29</v>
      </c>
      <c r="O14" s="15" t="s">
        <v>3834</v>
      </c>
      <c r="P14" s="15" t="s">
        <v>41</v>
      </c>
      <c r="Q14" s="15" t="s">
        <v>42</v>
      </c>
      <c r="R14" s="15" t="s">
        <v>26</v>
      </c>
      <c r="S14" s="15" t="s">
        <v>32</v>
      </c>
      <c r="T14" s="15" t="s">
        <v>685</v>
      </c>
      <c r="U14" s="15" t="s">
        <v>3860</v>
      </c>
      <c r="V14" s="16"/>
      <c r="W14" s="16">
        <v>46295</v>
      </c>
      <c r="X14" s="15" t="s">
        <v>3836</v>
      </c>
      <c r="Y14" s="16">
        <v>46295</v>
      </c>
      <c r="Z14" s="15" t="s">
        <v>226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3842</v>
      </c>
      <c r="C15" s="15" t="s">
        <v>3829</v>
      </c>
      <c r="D15" s="15" t="s">
        <v>3861</v>
      </c>
      <c r="E15" s="15" t="s">
        <v>3862</v>
      </c>
      <c r="F15" s="15" t="s">
        <v>3863</v>
      </c>
      <c r="G15" s="15" t="s">
        <v>25</v>
      </c>
      <c r="H15" s="15" t="s">
        <v>26</v>
      </c>
      <c r="I15" s="16">
        <v>46272</v>
      </c>
      <c r="J15" s="15" t="s">
        <v>36</v>
      </c>
      <c r="K15" s="15" t="s">
        <v>28</v>
      </c>
      <c r="L15" s="15" t="s">
        <v>3864</v>
      </c>
      <c r="M15" s="15" t="s">
        <v>1375</v>
      </c>
      <c r="N15" s="15" t="s">
        <v>29</v>
      </c>
      <c r="O15" s="15" t="s">
        <v>3847</v>
      </c>
      <c r="P15" s="15" t="s">
        <v>148</v>
      </c>
      <c r="Q15" s="15" t="s">
        <v>149</v>
      </c>
      <c r="R15" s="15" t="s">
        <v>72</v>
      </c>
      <c r="S15" s="15" t="s">
        <v>32</v>
      </c>
      <c r="T15" s="15" t="s">
        <v>78</v>
      </c>
      <c r="U15" s="15" t="s">
        <v>3865</v>
      </c>
      <c r="V15" s="16"/>
      <c r="W15" s="16">
        <v>46268</v>
      </c>
      <c r="X15" s="15" t="s">
        <v>3836</v>
      </c>
      <c r="Y15" s="16">
        <v>46268</v>
      </c>
      <c r="Z15" s="15" t="s">
        <v>226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3828</v>
      </c>
      <c r="C16" s="15" t="s">
        <v>3829</v>
      </c>
      <c r="D16" s="15" t="s">
        <v>3866</v>
      </c>
      <c r="E16" s="15" t="s">
        <v>3867</v>
      </c>
      <c r="F16" s="15" t="s">
        <v>3868</v>
      </c>
      <c r="G16" s="15" t="s">
        <v>25</v>
      </c>
      <c r="H16" s="15" t="s">
        <v>26</v>
      </c>
      <c r="I16" s="16">
        <v>46296</v>
      </c>
      <c r="J16" s="15" t="s">
        <v>82</v>
      </c>
      <c r="K16" s="15" t="s">
        <v>28</v>
      </c>
      <c r="L16" s="15" t="s">
        <v>3869</v>
      </c>
      <c r="M16" s="15" t="s">
        <v>1398</v>
      </c>
      <c r="N16" s="15" t="s">
        <v>29</v>
      </c>
      <c r="O16" s="15" t="s">
        <v>3847</v>
      </c>
      <c r="P16" s="15" t="s">
        <v>148</v>
      </c>
      <c r="Q16" s="15" t="s">
        <v>149</v>
      </c>
      <c r="R16" s="15" t="s">
        <v>126</v>
      </c>
      <c r="S16" s="15" t="s">
        <v>32</v>
      </c>
      <c r="T16" s="15" t="s">
        <v>685</v>
      </c>
      <c r="U16" s="15" t="s">
        <v>3870</v>
      </c>
      <c r="V16" s="16"/>
      <c r="W16" s="16">
        <v>46295</v>
      </c>
      <c r="X16" s="15" t="s">
        <v>3836</v>
      </c>
      <c r="Y16" s="16">
        <v>46295</v>
      </c>
      <c r="Z16" s="15" t="s">
        <v>226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3842</v>
      </c>
      <c r="C17" s="15" t="s">
        <v>3829</v>
      </c>
      <c r="D17" s="15" t="s">
        <v>3871</v>
      </c>
      <c r="E17" s="15" t="s">
        <v>3872</v>
      </c>
      <c r="F17" s="15" t="s">
        <v>3872</v>
      </c>
      <c r="G17" s="15" t="s">
        <v>194</v>
      </c>
      <c r="H17" s="15" t="s">
        <v>26</v>
      </c>
      <c r="I17" s="16">
        <v>46287</v>
      </c>
      <c r="J17" s="15" t="s">
        <v>52</v>
      </c>
      <c r="K17" s="15" t="s">
        <v>28</v>
      </c>
      <c r="L17" s="15" t="s">
        <v>3873</v>
      </c>
      <c r="M17" s="15" t="s">
        <v>1401</v>
      </c>
      <c r="N17" s="15" t="s">
        <v>29</v>
      </c>
      <c r="O17" s="15" t="s">
        <v>3847</v>
      </c>
      <c r="P17" s="15" t="s">
        <v>26</v>
      </c>
      <c r="Q17" s="15" t="s">
        <v>26</v>
      </c>
      <c r="R17" s="15" t="s">
        <v>26</v>
      </c>
      <c r="S17" s="15" t="s">
        <v>52</v>
      </c>
      <c r="T17" s="15" t="s">
        <v>195</v>
      </c>
      <c r="U17" s="15" t="s">
        <v>26</v>
      </c>
      <c r="V17" s="16"/>
      <c r="W17" s="16">
        <v>46023</v>
      </c>
      <c r="X17" s="15" t="s">
        <v>3874</v>
      </c>
      <c r="Y17" s="16">
        <v>46387</v>
      </c>
      <c r="Z17" s="15" t="s">
        <v>3875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3828</v>
      </c>
      <c r="C18" s="15" t="s">
        <v>3829</v>
      </c>
      <c r="D18" s="15" t="s">
        <v>3876</v>
      </c>
      <c r="E18" s="15" t="s">
        <v>3877</v>
      </c>
      <c r="F18" s="15" t="s">
        <v>3878</v>
      </c>
      <c r="G18" s="15" t="s">
        <v>25</v>
      </c>
      <c r="H18" s="15" t="s">
        <v>26</v>
      </c>
      <c r="I18" s="16">
        <v>46228</v>
      </c>
      <c r="J18" s="15" t="s">
        <v>52</v>
      </c>
      <c r="K18" s="15" t="s">
        <v>28</v>
      </c>
      <c r="L18" s="15" t="s">
        <v>3879</v>
      </c>
      <c r="M18" s="15" t="s">
        <v>1516</v>
      </c>
      <c r="N18" s="15" t="s">
        <v>29</v>
      </c>
      <c r="O18" s="15" t="s">
        <v>3847</v>
      </c>
      <c r="P18" s="15" t="s">
        <v>148</v>
      </c>
      <c r="Q18" s="15" t="s">
        <v>149</v>
      </c>
      <c r="R18" s="15" t="s">
        <v>3880</v>
      </c>
      <c r="S18" s="15" t="s">
        <v>32</v>
      </c>
      <c r="T18" s="15" t="s">
        <v>195</v>
      </c>
      <c r="U18" s="15" t="s">
        <v>3881</v>
      </c>
      <c r="V18" s="16">
        <v>46220</v>
      </c>
      <c r="W18" s="16">
        <v>46295</v>
      </c>
      <c r="X18" s="15" t="s">
        <v>3836</v>
      </c>
      <c r="Y18" s="16">
        <v>46295</v>
      </c>
      <c r="Z18" s="15" t="s">
        <v>226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3828</v>
      </c>
      <c r="C19" s="15" t="s">
        <v>3829</v>
      </c>
      <c r="D19" s="15" t="s">
        <v>3882</v>
      </c>
      <c r="E19" s="15" t="s">
        <v>3883</v>
      </c>
      <c r="F19" s="15" t="s">
        <v>3884</v>
      </c>
      <c r="G19" s="15" t="s">
        <v>273</v>
      </c>
      <c r="H19" s="15" t="s">
        <v>26</v>
      </c>
      <c r="I19" s="16">
        <v>46296</v>
      </c>
      <c r="J19" s="15" t="s">
        <v>82</v>
      </c>
      <c r="K19" s="15" t="s">
        <v>28</v>
      </c>
      <c r="L19" s="15" t="s">
        <v>3885</v>
      </c>
      <c r="M19" s="15" t="s">
        <v>1545</v>
      </c>
      <c r="N19" s="15" t="s">
        <v>29</v>
      </c>
      <c r="O19" s="15" t="s">
        <v>3834</v>
      </c>
      <c r="P19" s="15" t="s">
        <v>41</v>
      </c>
      <c r="Q19" s="15" t="s">
        <v>42</v>
      </c>
      <c r="R19" s="15" t="s">
        <v>26</v>
      </c>
      <c r="S19" s="15" t="s">
        <v>32</v>
      </c>
      <c r="T19" s="15" t="s">
        <v>685</v>
      </c>
      <c r="U19" s="15" t="s">
        <v>3886</v>
      </c>
      <c r="V19" s="16">
        <v>46296</v>
      </c>
      <c r="W19" s="16">
        <v>46295</v>
      </c>
      <c r="X19" s="15" t="s">
        <v>3836</v>
      </c>
      <c r="Y19" s="16">
        <v>46295</v>
      </c>
      <c r="Z19" s="15" t="s">
        <v>226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3842</v>
      </c>
      <c r="C20" s="15" t="s">
        <v>3829</v>
      </c>
      <c r="D20" s="15" t="s">
        <v>3887</v>
      </c>
      <c r="E20" s="15" t="s">
        <v>3888</v>
      </c>
      <c r="F20" s="15" t="s">
        <v>3889</v>
      </c>
      <c r="G20" s="15" t="s">
        <v>25</v>
      </c>
      <c r="H20" s="15" t="s">
        <v>26</v>
      </c>
      <c r="I20" s="16">
        <v>46272</v>
      </c>
      <c r="J20" s="15" t="s">
        <v>47</v>
      </c>
      <c r="K20" s="15" t="s">
        <v>28</v>
      </c>
      <c r="L20" s="15" t="s">
        <v>3890</v>
      </c>
      <c r="M20" s="15" t="s">
        <v>2905</v>
      </c>
      <c r="N20" s="15" t="s">
        <v>29</v>
      </c>
      <c r="O20" s="15" t="s">
        <v>3847</v>
      </c>
      <c r="P20" s="15" t="s">
        <v>30</v>
      </c>
      <c r="Q20" s="15" t="s">
        <v>31</v>
      </c>
      <c r="R20" s="15" t="s">
        <v>3891</v>
      </c>
      <c r="S20" s="15" t="s">
        <v>32</v>
      </c>
      <c r="T20" s="15" t="s">
        <v>66</v>
      </c>
      <c r="U20" s="15" t="s">
        <v>3892</v>
      </c>
      <c r="V20" s="16">
        <v>46272</v>
      </c>
      <c r="W20" s="16">
        <v>46268</v>
      </c>
      <c r="X20" s="15" t="s">
        <v>3836</v>
      </c>
      <c r="Y20" s="16">
        <v>46268</v>
      </c>
      <c r="Z20" s="15" t="s">
        <v>226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9">
        <f t="shared" si="0"/>
        <v>14</v>
      </c>
      <c r="B21" s="19" t="s">
        <v>3893</v>
      </c>
      <c r="C21" s="20" t="s">
        <v>3829</v>
      </c>
      <c r="D21" s="20" t="s">
        <v>3894</v>
      </c>
      <c r="E21" s="20" t="s">
        <v>3895</v>
      </c>
      <c r="F21" s="20" t="s">
        <v>3895</v>
      </c>
      <c r="G21" s="20" t="s">
        <v>194</v>
      </c>
      <c r="H21" s="20" t="s">
        <v>26</v>
      </c>
      <c r="I21" s="21">
        <v>46290</v>
      </c>
      <c r="J21" s="20" t="s">
        <v>82</v>
      </c>
      <c r="K21" s="20" t="s">
        <v>28</v>
      </c>
      <c r="L21" s="20" t="s">
        <v>3896</v>
      </c>
      <c r="M21" s="20" t="s">
        <v>1673</v>
      </c>
      <c r="N21" s="22" t="s">
        <v>250</v>
      </c>
      <c r="O21" s="20" t="s">
        <v>3847</v>
      </c>
      <c r="P21" s="20" t="s">
        <v>26</v>
      </c>
      <c r="Q21" s="20" t="s">
        <v>26</v>
      </c>
      <c r="R21" s="20" t="s">
        <v>26</v>
      </c>
      <c r="S21" s="20" t="s">
        <v>32</v>
      </c>
      <c r="T21" s="20" t="s">
        <v>195</v>
      </c>
      <c r="U21" s="20" t="s">
        <v>26</v>
      </c>
      <c r="V21" s="21">
        <v>46177</v>
      </c>
      <c r="W21" s="21">
        <v>46290</v>
      </c>
      <c r="X21" s="20" t="s">
        <v>3836</v>
      </c>
      <c r="Y21" s="21">
        <v>46290</v>
      </c>
      <c r="Z21" s="20" t="s">
        <v>226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9">
        <f t="shared" si="0"/>
        <v>15</v>
      </c>
      <c r="B22" s="19" t="s">
        <v>3893</v>
      </c>
      <c r="C22" s="20" t="s">
        <v>3829</v>
      </c>
      <c r="D22" s="20" t="s">
        <v>3897</v>
      </c>
      <c r="E22" s="20" t="s">
        <v>3895</v>
      </c>
      <c r="F22" s="20" t="s">
        <v>3895</v>
      </c>
      <c r="G22" s="20" t="s">
        <v>194</v>
      </c>
      <c r="H22" s="20" t="s">
        <v>26</v>
      </c>
      <c r="I22" s="21">
        <v>46290</v>
      </c>
      <c r="J22" s="20" t="s">
        <v>82</v>
      </c>
      <c r="K22" s="20" t="s">
        <v>58</v>
      </c>
      <c r="L22" s="20" t="s">
        <v>3896</v>
      </c>
      <c r="M22" s="20" t="s">
        <v>1673</v>
      </c>
      <c r="N22" s="22" t="s">
        <v>250</v>
      </c>
      <c r="O22" s="20" t="s">
        <v>3847</v>
      </c>
      <c r="P22" s="20" t="s">
        <v>26</v>
      </c>
      <c r="Q22" s="20" t="s">
        <v>26</v>
      </c>
      <c r="R22" s="20" t="s">
        <v>26</v>
      </c>
      <c r="S22" s="20" t="s">
        <v>32</v>
      </c>
      <c r="T22" s="20" t="s">
        <v>195</v>
      </c>
      <c r="U22" s="20" t="s">
        <v>26</v>
      </c>
      <c r="V22" s="21"/>
      <c r="W22" s="21">
        <v>46290</v>
      </c>
      <c r="X22" s="20" t="s">
        <v>3836</v>
      </c>
      <c r="Y22" s="21">
        <v>46290</v>
      </c>
      <c r="Z22" s="20" t="s">
        <v>226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9">
        <f t="shared" si="0"/>
        <v>16</v>
      </c>
      <c r="B23" s="19" t="s">
        <v>3893</v>
      </c>
      <c r="C23" s="20" t="s">
        <v>3829</v>
      </c>
      <c r="D23" s="20" t="s">
        <v>3898</v>
      </c>
      <c r="E23" s="20" t="s">
        <v>3899</v>
      </c>
      <c r="F23" s="20" t="s">
        <v>3899</v>
      </c>
      <c r="G23" s="20" t="s">
        <v>194</v>
      </c>
      <c r="H23" s="20" t="s">
        <v>26</v>
      </c>
      <c r="I23" s="21">
        <v>46290</v>
      </c>
      <c r="J23" s="20" t="s">
        <v>82</v>
      </c>
      <c r="K23" s="20" t="s">
        <v>28</v>
      </c>
      <c r="L23" s="20" t="s">
        <v>3900</v>
      </c>
      <c r="M23" s="20" t="s">
        <v>259</v>
      </c>
      <c r="N23" s="22" t="s">
        <v>250</v>
      </c>
      <c r="O23" s="20" t="s">
        <v>3847</v>
      </c>
      <c r="P23" s="20" t="s">
        <v>26</v>
      </c>
      <c r="Q23" s="20" t="s">
        <v>26</v>
      </c>
      <c r="R23" s="20" t="s">
        <v>26</v>
      </c>
      <c r="S23" s="20" t="s">
        <v>32</v>
      </c>
      <c r="T23" s="20" t="s">
        <v>195</v>
      </c>
      <c r="U23" s="20" t="s">
        <v>26</v>
      </c>
      <c r="V23" s="21"/>
      <c r="W23" s="21">
        <v>46290</v>
      </c>
      <c r="X23" s="20" t="s">
        <v>3836</v>
      </c>
      <c r="Y23" s="21">
        <v>46290</v>
      </c>
      <c r="Z23" s="20" t="s">
        <v>226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9">
        <f t="shared" si="0"/>
        <v>17</v>
      </c>
      <c r="B24" s="19" t="s">
        <v>3893</v>
      </c>
      <c r="C24" s="20" t="s">
        <v>3829</v>
      </c>
      <c r="D24" s="20" t="s">
        <v>3901</v>
      </c>
      <c r="E24" s="20" t="s">
        <v>3902</v>
      </c>
      <c r="F24" s="20" t="s">
        <v>3902</v>
      </c>
      <c r="G24" s="20" t="s">
        <v>194</v>
      </c>
      <c r="H24" s="20" t="s">
        <v>26</v>
      </c>
      <c r="I24" s="21">
        <v>46290</v>
      </c>
      <c r="J24" s="20" t="s">
        <v>82</v>
      </c>
      <c r="K24" s="20" t="s">
        <v>28</v>
      </c>
      <c r="L24" s="20" t="s">
        <v>3903</v>
      </c>
      <c r="M24" s="20" t="s">
        <v>259</v>
      </c>
      <c r="N24" s="22" t="s">
        <v>250</v>
      </c>
      <c r="O24" s="20" t="s">
        <v>3847</v>
      </c>
      <c r="P24" s="20" t="s">
        <v>26</v>
      </c>
      <c r="Q24" s="20" t="s">
        <v>26</v>
      </c>
      <c r="R24" s="20" t="s">
        <v>26</v>
      </c>
      <c r="S24" s="20" t="s">
        <v>32</v>
      </c>
      <c r="T24" s="20" t="s">
        <v>195</v>
      </c>
      <c r="U24" s="20" t="s">
        <v>26</v>
      </c>
      <c r="V24" s="21"/>
      <c r="W24" s="21">
        <v>46290</v>
      </c>
      <c r="X24" s="20" t="s">
        <v>3836</v>
      </c>
      <c r="Y24" s="21">
        <v>46290</v>
      </c>
      <c r="Z24" s="20" t="s">
        <v>226</v>
      </c>
      <c r="AA24" s="17" t="e">
        <f>VLOOKUP(F24,[2]Wait!$H$225:$I$260,2,0)</f>
        <v>#N/A</v>
      </c>
      <c r="AB24" s="5"/>
      <c r="AC24" s="6"/>
    </row>
    <row r="25" spans="1:29" x14ac:dyDescent="0.25">
      <c r="A25" s="9">
        <f t="shared" si="0"/>
        <v>18</v>
      </c>
      <c r="B25" s="19" t="s">
        <v>3893</v>
      </c>
      <c r="C25" s="20" t="s">
        <v>3829</v>
      </c>
      <c r="D25" s="20" t="s">
        <v>3904</v>
      </c>
      <c r="E25" s="20" t="s">
        <v>3905</v>
      </c>
      <c r="F25" s="20" t="s">
        <v>3905</v>
      </c>
      <c r="G25" s="20" t="s">
        <v>194</v>
      </c>
      <c r="H25" s="20" t="s">
        <v>26</v>
      </c>
      <c r="I25" s="21">
        <v>46290</v>
      </c>
      <c r="J25" s="20" t="s">
        <v>82</v>
      </c>
      <c r="K25" s="20" t="s">
        <v>28</v>
      </c>
      <c r="L25" s="20" t="s">
        <v>3906</v>
      </c>
      <c r="M25" s="20" t="s">
        <v>259</v>
      </c>
      <c r="N25" s="22" t="s">
        <v>250</v>
      </c>
      <c r="O25" s="20" t="s">
        <v>3847</v>
      </c>
      <c r="P25" s="20" t="s">
        <v>26</v>
      </c>
      <c r="Q25" s="20" t="s">
        <v>26</v>
      </c>
      <c r="R25" s="20" t="s">
        <v>26</v>
      </c>
      <c r="S25" s="20" t="s">
        <v>32</v>
      </c>
      <c r="T25" s="20" t="s">
        <v>195</v>
      </c>
      <c r="U25" s="20" t="s">
        <v>26</v>
      </c>
      <c r="V25" s="21"/>
      <c r="W25" s="21">
        <v>46290</v>
      </c>
      <c r="X25" s="20" t="s">
        <v>3836</v>
      </c>
      <c r="Y25" s="21">
        <v>46290</v>
      </c>
      <c r="Z25" s="20" t="s">
        <v>226</v>
      </c>
      <c r="AA25" s="17" t="e">
        <f>VLOOKUP(F25,[2]Wait!$H$225:$I$260,2,0)</f>
        <v>#N/A</v>
      </c>
    </row>
    <row r="26" spans="1:29" x14ac:dyDescent="0.25">
      <c r="A26" s="9">
        <f t="shared" si="0"/>
        <v>19</v>
      </c>
      <c r="B26" s="19" t="s">
        <v>3893</v>
      </c>
      <c r="C26" s="20" t="s">
        <v>3829</v>
      </c>
      <c r="D26" s="20" t="s">
        <v>3907</v>
      </c>
      <c r="E26" s="20" t="s">
        <v>3908</v>
      </c>
      <c r="F26" s="20" t="s">
        <v>3908</v>
      </c>
      <c r="G26" s="20" t="s">
        <v>194</v>
      </c>
      <c r="H26" s="20" t="s">
        <v>26</v>
      </c>
      <c r="I26" s="21">
        <v>46290</v>
      </c>
      <c r="J26" s="20" t="s">
        <v>82</v>
      </c>
      <c r="K26" s="20" t="s">
        <v>28</v>
      </c>
      <c r="L26" s="20" t="s">
        <v>3909</v>
      </c>
      <c r="M26" s="20" t="s">
        <v>259</v>
      </c>
      <c r="N26" s="22" t="s">
        <v>250</v>
      </c>
      <c r="O26" s="20" t="s">
        <v>3847</v>
      </c>
      <c r="P26" s="20" t="s">
        <v>26</v>
      </c>
      <c r="Q26" s="20" t="s">
        <v>26</v>
      </c>
      <c r="R26" s="20" t="s">
        <v>26</v>
      </c>
      <c r="S26" s="20" t="s">
        <v>32</v>
      </c>
      <c r="T26" s="20" t="s">
        <v>195</v>
      </c>
      <c r="U26" s="20" t="s">
        <v>26</v>
      </c>
      <c r="V26" s="21"/>
      <c r="W26" s="21">
        <v>46290</v>
      </c>
      <c r="X26" s="20" t="s">
        <v>3836</v>
      </c>
      <c r="Y26" s="21">
        <v>46290</v>
      </c>
      <c r="Z26" s="20" t="s">
        <v>226</v>
      </c>
      <c r="AA26" s="17" t="e">
        <f>VLOOKUP(F26,[2]Wait!$H$225:$I$260,2,0)</f>
        <v>#N/A</v>
      </c>
    </row>
    <row r="27" spans="1:29" x14ac:dyDescent="0.25">
      <c r="A27" s="9">
        <f t="shared" si="0"/>
        <v>20</v>
      </c>
      <c r="B27" s="19" t="s">
        <v>3893</v>
      </c>
      <c r="C27" s="20" t="s">
        <v>3829</v>
      </c>
      <c r="D27" s="20" t="s">
        <v>3910</v>
      </c>
      <c r="E27" s="20" t="s">
        <v>3911</v>
      </c>
      <c r="F27" s="20" t="s">
        <v>3911</v>
      </c>
      <c r="G27" s="20" t="s">
        <v>194</v>
      </c>
      <c r="H27" s="20" t="s">
        <v>26</v>
      </c>
      <c r="I27" s="21">
        <v>46290</v>
      </c>
      <c r="J27" s="20" t="s">
        <v>82</v>
      </c>
      <c r="K27" s="20" t="s">
        <v>28</v>
      </c>
      <c r="L27" s="20" t="s">
        <v>3912</v>
      </c>
      <c r="M27" s="20" t="s">
        <v>259</v>
      </c>
      <c r="N27" s="22" t="s">
        <v>250</v>
      </c>
      <c r="O27" s="20" t="s">
        <v>3847</v>
      </c>
      <c r="P27" s="20" t="s">
        <v>26</v>
      </c>
      <c r="Q27" s="20" t="s">
        <v>26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/>
      <c r="W27" s="21">
        <v>46290</v>
      </c>
      <c r="X27" s="20" t="s">
        <v>3836</v>
      </c>
      <c r="Y27" s="21">
        <v>46290</v>
      </c>
      <c r="Z27" s="20" t="s">
        <v>226</v>
      </c>
      <c r="AA27" s="17" t="e">
        <f>VLOOKUP(F27,[2]Wait!$H$225:$I$260,2,0)</f>
        <v>#N/A</v>
      </c>
    </row>
    <row r="28" spans="1:29" x14ac:dyDescent="0.25">
      <c r="A28" s="9">
        <f t="shared" si="0"/>
        <v>21</v>
      </c>
      <c r="B28" s="19" t="s">
        <v>3828</v>
      </c>
      <c r="C28" s="20" t="s">
        <v>3829</v>
      </c>
      <c r="D28" s="20" t="s">
        <v>3913</v>
      </c>
      <c r="E28" s="20" t="s">
        <v>3914</v>
      </c>
      <c r="F28" s="20" t="s">
        <v>3915</v>
      </c>
      <c r="G28" s="20" t="s">
        <v>273</v>
      </c>
      <c r="H28" s="20" t="s">
        <v>26</v>
      </c>
      <c r="I28" s="21">
        <v>46295</v>
      </c>
      <c r="J28" s="20" t="s">
        <v>82</v>
      </c>
      <c r="K28" s="20" t="s">
        <v>28</v>
      </c>
      <c r="L28" s="20" t="s">
        <v>3916</v>
      </c>
      <c r="M28" s="20" t="s">
        <v>259</v>
      </c>
      <c r="N28" s="22" t="s">
        <v>250</v>
      </c>
      <c r="O28" s="20" t="s">
        <v>3834</v>
      </c>
      <c r="P28" s="20" t="s">
        <v>41</v>
      </c>
      <c r="Q28" s="20" t="s">
        <v>42</v>
      </c>
      <c r="R28" s="20" t="s">
        <v>26</v>
      </c>
      <c r="S28" s="20" t="s">
        <v>32</v>
      </c>
      <c r="T28" s="20" t="s">
        <v>685</v>
      </c>
      <c r="U28" s="20" t="s">
        <v>3917</v>
      </c>
      <c r="V28" s="21"/>
      <c r="W28" s="21">
        <v>46295</v>
      </c>
      <c r="X28" s="20" t="s">
        <v>3836</v>
      </c>
      <c r="Y28" s="21">
        <v>46295</v>
      </c>
      <c r="Z28" s="20" t="s">
        <v>226</v>
      </c>
      <c r="AA28" s="17" t="e">
        <f>VLOOKUP(F28,[2]Wait!$H$225:$I$260,2,0)</f>
        <v>#N/A</v>
      </c>
    </row>
    <row r="29" spans="1:29" x14ac:dyDescent="0.25">
      <c r="A29" s="9">
        <f t="shared" si="0"/>
        <v>22</v>
      </c>
      <c r="B29" s="19" t="s">
        <v>3828</v>
      </c>
      <c r="C29" s="20" t="s">
        <v>3829</v>
      </c>
      <c r="D29" s="20" t="s">
        <v>3918</v>
      </c>
      <c r="E29" s="20" t="s">
        <v>3919</v>
      </c>
      <c r="F29" s="20" t="s">
        <v>3920</v>
      </c>
      <c r="G29" s="20" t="s">
        <v>273</v>
      </c>
      <c r="H29" s="20" t="s">
        <v>26</v>
      </c>
      <c r="I29" s="21">
        <v>46295</v>
      </c>
      <c r="J29" s="20" t="s">
        <v>52</v>
      </c>
      <c r="K29" s="20" t="s">
        <v>28</v>
      </c>
      <c r="L29" s="20" t="s">
        <v>3921</v>
      </c>
      <c r="M29" s="20" t="s">
        <v>259</v>
      </c>
      <c r="N29" s="22" t="s">
        <v>250</v>
      </c>
      <c r="O29" s="20" t="s">
        <v>3834</v>
      </c>
      <c r="P29" s="20" t="s">
        <v>148</v>
      </c>
      <c r="Q29" s="20" t="s">
        <v>149</v>
      </c>
      <c r="R29" s="20" t="s">
        <v>54</v>
      </c>
      <c r="S29" s="20" t="s">
        <v>32</v>
      </c>
      <c r="T29" s="20" t="s">
        <v>685</v>
      </c>
      <c r="U29" s="20" t="s">
        <v>3922</v>
      </c>
      <c r="V29" s="21"/>
      <c r="W29" s="21">
        <v>46295</v>
      </c>
      <c r="X29" s="20" t="s">
        <v>3836</v>
      </c>
      <c r="Y29" s="21">
        <v>46295</v>
      </c>
      <c r="Z29" s="20" t="s">
        <v>226</v>
      </c>
      <c r="AA29" s="17" t="e">
        <f>VLOOKUP(F29,[2]Wait!$H$225:$I$260,2,0)</f>
        <v>#N/A</v>
      </c>
    </row>
    <row r="30" spans="1:29" x14ac:dyDescent="0.25">
      <c r="A30" s="9">
        <f t="shared" si="0"/>
        <v>23</v>
      </c>
      <c r="B30" s="19" t="s">
        <v>3828</v>
      </c>
      <c r="C30" s="20" t="s">
        <v>3829</v>
      </c>
      <c r="D30" s="20" t="s">
        <v>3923</v>
      </c>
      <c r="E30" s="20" t="s">
        <v>3924</v>
      </c>
      <c r="F30" s="20" t="s">
        <v>3925</v>
      </c>
      <c r="G30" s="20" t="s">
        <v>273</v>
      </c>
      <c r="H30" s="20" t="s">
        <v>26</v>
      </c>
      <c r="I30" s="21">
        <v>46295</v>
      </c>
      <c r="J30" s="20" t="s">
        <v>82</v>
      </c>
      <c r="K30" s="20" t="s">
        <v>28</v>
      </c>
      <c r="L30" s="20" t="s">
        <v>3926</v>
      </c>
      <c r="M30" s="20" t="s">
        <v>263</v>
      </c>
      <c r="N30" s="22" t="s">
        <v>250</v>
      </c>
      <c r="O30" s="20" t="s">
        <v>3834</v>
      </c>
      <c r="P30" s="20" t="s">
        <v>41</v>
      </c>
      <c r="Q30" s="20" t="s">
        <v>42</v>
      </c>
      <c r="R30" s="20" t="s">
        <v>26</v>
      </c>
      <c r="S30" s="20" t="s">
        <v>32</v>
      </c>
      <c r="T30" s="20" t="s">
        <v>685</v>
      </c>
      <c r="U30" s="20" t="s">
        <v>3927</v>
      </c>
      <c r="V30" s="21"/>
      <c r="W30" s="21">
        <v>46295</v>
      </c>
      <c r="X30" s="20" t="s">
        <v>3836</v>
      </c>
      <c r="Y30" s="21">
        <v>46295</v>
      </c>
      <c r="Z30" s="20" t="s">
        <v>226</v>
      </c>
      <c r="AA30" s="17" t="e">
        <f>VLOOKUP(F30,[2]Wait!$H$225:$I$260,2,0)</f>
        <v>#N/A</v>
      </c>
    </row>
    <row r="31" spans="1:29" x14ac:dyDescent="0.25">
      <c r="A31" s="9">
        <f t="shared" si="0"/>
        <v>24</v>
      </c>
      <c r="B31" s="19" t="s">
        <v>3828</v>
      </c>
      <c r="C31" s="20" t="s">
        <v>3829</v>
      </c>
      <c r="D31" s="20" t="s">
        <v>3928</v>
      </c>
      <c r="E31" s="20" t="s">
        <v>3929</v>
      </c>
      <c r="F31" s="20" t="s">
        <v>3930</v>
      </c>
      <c r="G31" s="20" t="s">
        <v>273</v>
      </c>
      <c r="H31" s="20" t="s">
        <v>26</v>
      </c>
      <c r="I31" s="21">
        <v>46295</v>
      </c>
      <c r="J31" s="20" t="s">
        <v>82</v>
      </c>
      <c r="K31" s="20" t="s">
        <v>28</v>
      </c>
      <c r="L31" s="20" t="s">
        <v>3931</v>
      </c>
      <c r="M31" s="20" t="s">
        <v>263</v>
      </c>
      <c r="N31" s="22" t="s">
        <v>250</v>
      </c>
      <c r="O31" s="20" t="s">
        <v>3834</v>
      </c>
      <c r="P31" s="20" t="s">
        <v>41</v>
      </c>
      <c r="Q31" s="20" t="s">
        <v>42</v>
      </c>
      <c r="R31" s="20" t="s">
        <v>26</v>
      </c>
      <c r="S31" s="20" t="s">
        <v>32</v>
      </c>
      <c r="T31" s="20" t="s">
        <v>685</v>
      </c>
      <c r="U31" s="20" t="s">
        <v>3932</v>
      </c>
      <c r="V31" s="21"/>
      <c r="W31" s="21">
        <v>46295</v>
      </c>
      <c r="X31" s="20" t="s">
        <v>3836</v>
      </c>
      <c r="Y31" s="21">
        <v>46295</v>
      </c>
      <c r="Z31" s="20" t="s">
        <v>226</v>
      </c>
      <c r="AA31" s="17" t="e">
        <f>VLOOKUP(F31,[2]Wait!$H$225:$I$260,2,0)</f>
        <v>#N/A</v>
      </c>
    </row>
    <row r="32" spans="1:29" x14ac:dyDescent="0.25">
      <c r="A32" s="9">
        <f t="shared" si="0"/>
        <v>25</v>
      </c>
      <c r="B32" s="19" t="s">
        <v>3893</v>
      </c>
      <c r="C32" s="20" t="s">
        <v>3829</v>
      </c>
      <c r="D32" s="20" t="s">
        <v>3933</v>
      </c>
      <c r="E32" s="20" t="s">
        <v>3934</v>
      </c>
      <c r="F32" s="20" t="s">
        <v>3934</v>
      </c>
      <c r="G32" s="20" t="s">
        <v>194</v>
      </c>
      <c r="H32" s="20" t="s">
        <v>26</v>
      </c>
      <c r="I32" s="21">
        <v>46290</v>
      </c>
      <c r="J32" s="20" t="s">
        <v>82</v>
      </c>
      <c r="K32" s="20" t="s">
        <v>28</v>
      </c>
      <c r="L32" s="20" t="s">
        <v>3935</v>
      </c>
      <c r="M32" s="20" t="s">
        <v>278</v>
      </c>
      <c r="N32" s="22" t="s">
        <v>250</v>
      </c>
      <c r="O32" s="20" t="s">
        <v>3847</v>
      </c>
      <c r="P32" s="20" t="s">
        <v>26</v>
      </c>
      <c r="Q32" s="20" t="s">
        <v>26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/>
      <c r="W32" s="21">
        <v>46290</v>
      </c>
      <c r="X32" s="20" t="s">
        <v>3836</v>
      </c>
      <c r="Y32" s="21">
        <v>46290</v>
      </c>
      <c r="Z32" s="20" t="s">
        <v>226</v>
      </c>
      <c r="AA32" s="17" t="e">
        <f>VLOOKUP(F32,[2]Wait!$H$225:$I$260,2,0)</f>
        <v>#N/A</v>
      </c>
    </row>
    <row r="33" spans="1:27" x14ac:dyDescent="0.25">
      <c r="A33" s="9">
        <f t="shared" si="0"/>
        <v>26</v>
      </c>
      <c r="B33" s="19" t="s">
        <v>3893</v>
      </c>
      <c r="C33" s="20" t="s">
        <v>3829</v>
      </c>
      <c r="D33" s="20" t="s">
        <v>3936</v>
      </c>
      <c r="E33" s="20" t="s">
        <v>3937</v>
      </c>
      <c r="F33" s="20" t="s">
        <v>3937</v>
      </c>
      <c r="G33" s="20" t="s">
        <v>194</v>
      </c>
      <c r="H33" s="20" t="s">
        <v>26</v>
      </c>
      <c r="I33" s="21">
        <v>46290</v>
      </c>
      <c r="J33" s="20" t="s">
        <v>82</v>
      </c>
      <c r="K33" s="20" t="s">
        <v>28</v>
      </c>
      <c r="L33" s="20" t="s">
        <v>3906</v>
      </c>
      <c r="M33" s="20" t="s">
        <v>279</v>
      </c>
      <c r="N33" s="22" t="s">
        <v>250</v>
      </c>
      <c r="O33" s="20" t="s">
        <v>3847</v>
      </c>
      <c r="P33" s="20" t="s">
        <v>26</v>
      </c>
      <c r="Q33" s="20" t="s">
        <v>26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46290</v>
      </c>
      <c r="X33" s="20" t="s">
        <v>3836</v>
      </c>
      <c r="Y33" s="21">
        <v>46290</v>
      </c>
      <c r="Z33" s="20" t="s">
        <v>226</v>
      </c>
      <c r="AA33" s="17" t="e">
        <f>VLOOKUP(F33,[2]Wait!$H$225:$I$260,2,0)</f>
        <v>#N/A</v>
      </c>
    </row>
    <row r="34" spans="1:27" x14ac:dyDescent="0.25">
      <c r="A34" s="9">
        <f t="shared" si="0"/>
        <v>27</v>
      </c>
      <c r="B34" s="19" t="s">
        <v>3828</v>
      </c>
      <c r="C34" s="20" t="s">
        <v>3829</v>
      </c>
      <c r="D34" s="20" t="s">
        <v>3938</v>
      </c>
      <c r="E34" s="20" t="s">
        <v>3939</v>
      </c>
      <c r="F34" s="20" t="s">
        <v>3940</v>
      </c>
      <c r="G34" s="20" t="s">
        <v>25</v>
      </c>
      <c r="H34" s="20" t="s">
        <v>26</v>
      </c>
      <c r="I34" s="21">
        <v>46295</v>
      </c>
      <c r="J34" s="20" t="s">
        <v>82</v>
      </c>
      <c r="K34" s="20" t="s">
        <v>28</v>
      </c>
      <c r="L34" s="20" t="s">
        <v>3941</v>
      </c>
      <c r="M34" s="20" t="s">
        <v>279</v>
      </c>
      <c r="N34" s="22" t="s">
        <v>250</v>
      </c>
      <c r="O34" s="20" t="s">
        <v>3847</v>
      </c>
      <c r="P34" s="20" t="s">
        <v>148</v>
      </c>
      <c r="Q34" s="20" t="s">
        <v>149</v>
      </c>
      <c r="R34" s="20" t="s">
        <v>26</v>
      </c>
      <c r="S34" s="20" t="s">
        <v>32</v>
      </c>
      <c r="T34" s="20" t="s">
        <v>66</v>
      </c>
      <c r="U34" s="20" t="s">
        <v>3942</v>
      </c>
      <c r="V34" s="21"/>
      <c r="W34" s="21">
        <v>46295</v>
      </c>
      <c r="X34" s="20" t="s">
        <v>3836</v>
      </c>
      <c r="Y34" s="21">
        <v>46295</v>
      </c>
      <c r="Z34" s="20" t="s">
        <v>226</v>
      </c>
      <c r="AA34" s="17" t="e">
        <f>VLOOKUP(F34,[2]Wait!$H$225:$I$260,2,0)</f>
        <v>#N/A</v>
      </c>
    </row>
    <row r="35" spans="1:27" x14ac:dyDescent="0.25">
      <c r="A35" s="9">
        <f t="shared" si="0"/>
        <v>28</v>
      </c>
      <c r="B35" s="19" t="s">
        <v>3842</v>
      </c>
      <c r="C35" s="20" t="s">
        <v>3829</v>
      </c>
      <c r="D35" s="20" t="s">
        <v>3943</v>
      </c>
      <c r="E35" s="20" t="s">
        <v>3944</v>
      </c>
      <c r="F35" s="20" t="s">
        <v>3945</v>
      </c>
      <c r="G35" s="20" t="s">
        <v>273</v>
      </c>
      <c r="H35" s="20" t="s">
        <v>26</v>
      </c>
      <c r="I35" s="21">
        <v>46268</v>
      </c>
      <c r="J35" s="20" t="s">
        <v>82</v>
      </c>
      <c r="K35" s="20" t="s">
        <v>28</v>
      </c>
      <c r="L35" s="20" t="s">
        <v>3946</v>
      </c>
      <c r="M35" s="20" t="s">
        <v>261</v>
      </c>
      <c r="N35" s="22" t="s">
        <v>250</v>
      </c>
      <c r="O35" s="20" t="s">
        <v>3834</v>
      </c>
      <c r="P35" s="20" t="s">
        <v>148</v>
      </c>
      <c r="Q35" s="20" t="s">
        <v>149</v>
      </c>
      <c r="R35" s="20" t="s">
        <v>337</v>
      </c>
      <c r="S35" s="20" t="s">
        <v>32</v>
      </c>
      <c r="T35" s="20" t="s">
        <v>281</v>
      </c>
      <c r="U35" s="20" t="s">
        <v>3947</v>
      </c>
      <c r="V35" s="21"/>
      <c r="W35" s="21">
        <v>46268</v>
      </c>
      <c r="X35" s="20" t="s">
        <v>3836</v>
      </c>
      <c r="Y35" s="21">
        <v>46268</v>
      </c>
      <c r="Z35" s="20" t="s">
        <v>226</v>
      </c>
      <c r="AA35" s="17" t="e">
        <f>VLOOKUP(F35,[2]Wait!$H$225:$I$260,2,0)</f>
        <v>#N/A</v>
      </c>
    </row>
    <row r="36" spans="1:27" x14ac:dyDescent="0.25">
      <c r="A36" s="9">
        <f t="shared" si="0"/>
        <v>29</v>
      </c>
      <c r="B36" s="19" t="s">
        <v>3842</v>
      </c>
      <c r="C36" s="20" t="s">
        <v>3829</v>
      </c>
      <c r="D36" s="20" t="s">
        <v>3948</v>
      </c>
      <c r="E36" s="20" t="s">
        <v>3949</v>
      </c>
      <c r="F36" s="20" t="s">
        <v>3949</v>
      </c>
      <c r="G36" s="20" t="s">
        <v>194</v>
      </c>
      <c r="H36" s="20" t="s">
        <v>26</v>
      </c>
      <c r="I36" s="21">
        <v>46023</v>
      </c>
      <c r="J36" s="20" t="s">
        <v>52</v>
      </c>
      <c r="K36" s="20" t="s">
        <v>28</v>
      </c>
      <c r="L36" s="20" t="s">
        <v>3950</v>
      </c>
      <c r="M36" s="20" t="s">
        <v>261</v>
      </c>
      <c r="N36" s="22" t="s">
        <v>250</v>
      </c>
      <c r="O36" s="20" t="s">
        <v>3847</v>
      </c>
      <c r="P36" s="20" t="s">
        <v>26</v>
      </c>
      <c r="Q36" s="20" t="s">
        <v>26</v>
      </c>
      <c r="R36" s="20" t="s">
        <v>26</v>
      </c>
      <c r="S36" s="20" t="s">
        <v>32</v>
      </c>
      <c r="T36" s="20" t="s">
        <v>195</v>
      </c>
      <c r="U36" s="20" t="s">
        <v>26</v>
      </c>
      <c r="V36" s="21"/>
      <c r="W36" s="21">
        <v>46023</v>
      </c>
      <c r="X36" s="20" t="s">
        <v>3951</v>
      </c>
      <c r="Y36" s="21">
        <v>46387</v>
      </c>
      <c r="Z36" s="20" t="s">
        <v>226</v>
      </c>
      <c r="AA36" s="17" t="e">
        <f>VLOOKUP(F36,[2]Wait!$H$225:$I$260,2,0)</f>
        <v>#N/A</v>
      </c>
    </row>
    <row r="37" spans="1:27" x14ac:dyDescent="0.25">
      <c r="A37" s="9">
        <f t="shared" si="0"/>
        <v>30</v>
      </c>
      <c r="B37" s="19" t="s">
        <v>3842</v>
      </c>
      <c r="C37" s="20" t="s">
        <v>3829</v>
      </c>
      <c r="D37" s="20" t="s">
        <v>3952</v>
      </c>
      <c r="E37" s="20" t="s">
        <v>3953</v>
      </c>
      <c r="F37" s="20" t="s">
        <v>3953</v>
      </c>
      <c r="G37" s="20" t="s">
        <v>194</v>
      </c>
      <c r="H37" s="20" t="s">
        <v>26</v>
      </c>
      <c r="I37" s="21">
        <v>46023</v>
      </c>
      <c r="J37" s="20" t="s">
        <v>36</v>
      </c>
      <c r="K37" s="20" t="s">
        <v>28</v>
      </c>
      <c r="L37" s="20" t="s">
        <v>3954</v>
      </c>
      <c r="M37" s="20" t="s">
        <v>681</v>
      </c>
      <c r="N37" s="22" t="s">
        <v>250</v>
      </c>
      <c r="O37" s="20" t="s">
        <v>3847</v>
      </c>
      <c r="P37" s="20" t="s">
        <v>26</v>
      </c>
      <c r="Q37" s="20" t="s">
        <v>26</v>
      </c>
      <c r="R37" s="20" t="s">
        <v>26</v>
      </c>
      <c r="S37" s="20" t="s">
        <v>32</v>
      </c>
      <c r="T37" s="20" t="s">
        <v>195</v>
      </c>
      <c r="U37" s="20" t="s">
        <v>26</v>
      </c>
      <c r="V37" s="21"/>
      <c r="W37" s="21">
        <v>46023</v>
      </c>
      <c r="X37" s="20" t="s">
        <v>3955</v>
      </c>
      <c r="Y37" s="21">
        <v>46387</v>
      </c>
      <c r="Z37" s="20" t="s">
        <v>226</v>
      </c>
      <c r="AA37" s="17" t="e">
        <f>VLOOKUP(F37,[2]Wait!$H$225:$I$260,2,0)</f>
        <v>#N/A</v>
      </c>
    </row>
    <row r="38" spans="1:27" x14ac:dyDescent="0.25">
      <c r="A38" s="9">
        <f t="shared" si="0"/>
        <v>31</v>
      </c>
      <c r="B38" s="19" t="s">
        <v>3893</v>
      </c>
      <c r="C38" s="20" t="s">
        <v>3829</v>
      </c>
      <c r="D38" s="20" t="s">
        <v>3956</v>
      </c>
      <c r="E38" s="20" t="s">
        <v>3957</v>
      </c>
      <c r="F38" s="20" t="s">
        <v>3957</v>
      </c>
      <c r="G38" s="20" t="s">
        <v>194</v>
      </c>
      <c r="H38" s="20" t="s">
        <v>26</v>
      </c>
      <c r="I38" s="21">
        <v>46290</v>
      </c>
      <c r="J38" s="20" t="s">
        <v>52</v>
      </c>
      <c r="K38" s="20" t="s">
        <v>28</v>
      </c>
      <c r="L38" s="20" t="s">
        <v>3958</v>
      </c>
      <c r="M38" s="20" t="s">
        <v>681</v>
      </c>
      <c r="N38" s="22" t="s">
        <v>250</v>
      </c>
      <c r="O38" s="20" t="s">
        <v>3847</v>
      </c>
      <c r="P38" s="20" t="s">
        <v>26</v>
      </c>
      <c r="Q38" s="20" t="s">
        <v>26</v>
      </c>
      <c r="R38" s="20" t="s">
        <v>26</v>
      </c>
      <c r="S38" s="20" t="s">
        <v>32</v>
      </c>
      <c r="T38" s="20" t="s">
        <v>195</v>
      </c>
      <c r="U38" s="20" t="s">
        <v>26</v>
      </c>
      <c r="V38" s="21"/>
      <c r="W38" s="21">
        <v>46290</v>
      </c>
      <c r="X38" s="20" t="s">
        <v>3836</v>
      </c>
      <c r="Y38" s="21">
        <v>46290</v>
      </c>
      <c r="Z38" s="20" t="s">
        <v>226</v>
      </c>
      <c r="AA38" s="17" t="e">
        <f>VLOOKUP(F38,[2]Wait!$H$225:$I$260,2,0)</f>
        <v>#N/A</v>
      </c>
    </row>
    <row r="39" spans="1:27" x14ac:dyDescent="0.25">
      <c r="A39" s="9">
        <f t="shared" si="0"/>
        <v>32</v>
      </c>
      <c r="B39" s="19" t="s">
        <v>3893</v>
      </c>
      <c r="C39" s="20" t="s">
        <v>3829</v>
      </c>
      <c r="D39" s="20" t="s">
        <v>3959</v>
      </c>
      <c r="E39" s="20" t="s">
        <v>3960</v>
      </c>
      <c r="F39" s="20" t="s">
        <v>3960</v>
      </c>
      <c r="G39" s="20" t="s">
        <v>194</v>
      </c>
      <c r="H39" s="20" t="s">
        <v>26</v>
      </c>
      <c r="I39" s="21">
        <v>46290</v>
      </c>
      <c r="J39" s="20" t="s">
        <v>52</v>
      </c>
      <c r="K39" s="20" t="s">
        <v>28</v>
      </c>
      <c r="L39" s="20" t="s">
        <v>3958</v>
      </c>
      <c r="M39" s="20" t="s">
        <v>681</v>
      </c>
      <c r="N39" s="22" t="s">
        <v>250</v>
      </c>
      <c r="O39" s="20" t="s">
        <v>3847</v>
      </c>
      <c r="P39" s="20" t="s">
        <v>26</v>
      </c>
      <c r="Q39" s="20" t="s">
        <v>26</v>
      </c>
      <c r="R39" s="20" t="s">
        <v>26</v>
      </c>
      <c r="S39" s="20" t="s">
        <v>32</v>
      </c>
      <c r="T39" s="20" t="s">
        <v>195</v>
      </c>
      <c r="U39" s="20" t="s">
        <v>26</v>
      </c>
      <c r="V39" s="21"/>
      <c r="W39" s="21">
        <v>46290</v>
      </c>
      <c r="X39" s="20" t="s">
        <v>3836</v>
      </c>
      <c r="Y39" s="21">
        <v>46290</v>
      </c>
      <c r="Z39" s="20" t="s">
        <v>226</v>
      </c>
      <c r="AA39" s="17" t="e">
        <f>VLOOKUP(F39,[2]Wait!$H$225:$I$260,2,0)</f>
        <v>#N/A</v>
      </c>
    </row>
    <row r="40" spans="1:27" x14ac:dyDescent="0.25">
      <c r="A40" s="9">
        <f t="shared" si="0"/>
        <v>33</v>
      </c>
      <c r="B40" s="19" t="s">
        <v>3842</v>
      </c>
      <c r="C40" s="20" t="s">
        <v>3829</v>
      </c>
      <c r="D40" s="20" t="s">
        <v>3961</v>
      </c>
      <c r="E40" s="20" t="s">
        <v>3962</v>
      </c>
      <c r="F40" s="20" t="s">
        <v>3963</v>
      </c>
      <c r="G40" s="20" t="s">
        <v>273</v>
      </c>
      <c r="H40" s="20" t="s">
        <v>26</v>
      </c>
      <c r="I40" s="21">
        <v>46268</v>
      </c>
      <c r="J40" s="20" t="s">
        <v>82</v>
      </c>
      <c r="K40" s="20" t="s">
        <v>28</v>
      </c>
      <c r="L40" s="20" t="s">
        <v>3964</v>
      </c>
      <c r="M40" s="20" t="s">
        <v>270</v>
      </c>
      <c r="N40" s="22" t="s">
        <v>250</v>
      </c>
      <c r="O40" s="20" t="s">
        <v>3834</v>
      </c>
      <c r="P40" s="20" t="s">
        <v>148</v>
      </c>
      <c r="Q40" s="20" t="s">
        <v>149</v>
      </c>
      <c r="R40" s="20" t="s">
        <v>26</v>
      </c>
      <c r="S40" s="20" t="s">
        <v>32</v>
      </c>
      <c r="T40" s="20" t="s">
        <v>281</v>
      </c>
      <c r="U40" s="20" t="s">
        <v>3965</v>
      </c>
      <c r="V40" s="21"/>
      <c r="W40" s="21">
        <v>46268</v>
      </c>
      <c r="X40" s="20" t="s">
        <v>3836</v>
      </c>
      <c r="Y40" s="21">
        <v>46268</v>
      </c>
      <c r="Z40" s="20" t="s">
        <v>226</v>
      </c>
      <c r="AA40" s="17" t="e">
        <f>VLOOKUP(F40,[2]Wait!$H$225:$I$260,2,0)</f>
        <v>#N/A</v>
      </c>
    </row>
    <row r="41" spans="1:27" x14ac:dyDescent="0.25">
      <c r="A41" s="9">
        <f t="shared" si="0"/>
        <v>34</v>
      </c>
      <c r="B41" s="19" t="s">
        <v>3842</v>
      </c>
      <c r="C41" s="20" t="s">
        <v>3829</v>
      </c>
      <c r="D41" s="20" t="s">
        <v>3966</v>
      </c>
      <c r="E41" s="20" t="s">
        <v>3962</v>
      </c>
      <c r="F41" s="20" t="s">
        <v>3963</v>
      </c>
      <c r="G41" s="20" t="s">
        <v>273</v>
      </c>
      <c r="H41" s="20" t="s">
        <v>26</v>
      </c>
      <c r="I41" s="21">
        <v>46268</v>
      </c>
      <c r="J41" s="20" t="s">
        <v>82</v>
      </c>
      <c r="K41" s="20" t="s">
        <v>58</v>
      </c>
      <c r="L41" s="20" t="s">
        <v>3964</v>
      </c>
      <c r="M41" s="20" t="s">
        <v>270</v>
      </c>
      <c r="N41" s="22" t="s">
        <v>250</v>
      </c>
      <c r="O41" s="20" t="s">
        <v>3834</v>
      </c>
      <c r="P41" s="20" t="s">
        <v>148</v>
      </c>
      <c r="Q41" s="20" t="s">
        <v>149</v>
      </c>
      <c r="R41" s="20" t="s">
        <v>26</v>
      </c>
      <c r="S41" s="20" t="s">
        <v>32</v>
      </c>
      <c r="T41" s="20" t="s">
        <v>281</v>
      </c>
      <c r="U41" s="20" t="s">
        <v>3965</v>
      </c>
      <c r="V41" s="21"/>
      <c r="W41" s="21">
        <v>46268</v>
      </c>
      <c r="X41" s="20" t="s">
        <v>3836</v>
      </c>
      <c r="Y41" s="21">
        <v>46268</v>
      </c>
      <c r="Z41" s="20" t="s">
        <v>226</v>
      </c>
      <c r="AA41" s="17" t="e">
        <f>VLOOKUP(F41,[2]Wait!$H$225:$I$260,2,0)</f>
        <v>#N/A</v>
      </c>
    </row>
    <row r="42" spans="1:27" x14ac:dyDescent="0.25">
      <c r="A42" s="9">
        <f t="shared" si="0"/>
        <v>35</v>
      </c>
      <c r="B42" s="19" t="s">
        <v>3842</v>
      </c>
      <c r="C42" s="20" t="s">
        <v>3829</v>
      </c>
      <c r="D42" s="20" t="s">
        <v>3967</v>
      </c>
      <c r="E42" s="20" t="s">
        <v>3962</v>
      </c>
      <c r="F42" s="20" t="s">
        <v>3963</v>
      </c>
      <c r="G42" s="20" t="s">
        <v>273</v>
      </c>
      <c r="H42" s="20" t="s">
        <v>26</v>
      </c>
      <c r="I42" s="21">
        <v>46268</v>
      </c>
      <c r="J42" s="20" t="s">
        <v>82</v>
      </c>
      <c r="K42" s="20" t="s">
        <v>59</v>
      </c>
      <c r="L42" s="20" t="s">
        <v>3964</v>
      </c>
      <c r="M42" s="20" t="s">
        <v>270</v>
      </c>
      <c r="N42" s="22" t="s">
        <v>250</v>
      </c>
      <c r="O42" s="20" t="s">
        <v>3834</v>
      </c>
      <c r="P42" s="20" t="s">
        <v>148</v>
      </c>
      <c r="Q42" s="20" t="s">
        <v>149</v>
      </c>
      <c r="R42" s="20" t="s">
        <v>26</v>
      </c>
      <c r="S42" s="20" t="s">
        <v>32</v>
      </c>
      <c r="T42" s="20" t="s">
        <v>281</v>
      </c>
      <c r="U42" s="20" t="s">
        <v>3965</v>
      </c>
      <c r="V42" s="21"/>
      <c r="W42" s="21">
        <v>46268</v>
      </c>
      <c r="X42" s="20" t="s">
        <v>3836</v>
      </c>
      <c r="Y42" s="21">
        <v>46268</v>
      </c>
      <c r="Z42" s="20" t="s">
        <v>226</v>
      </c>
      <c r="AA42" s="17" t="e">
        <f>VLOOKUP(F42,[2]Wait!$H$225:$I$260,2,0)</f>
        <v>#N/A</v>
      </c>
    </row>
    <row r="43" spans="1:27" x14ac:dyDescent="0.25">
      <c r="A43" s="9">
        <f t="shared" si="0"/>
        <v>36</v>
      </c>
      <c r="B43" s="19" t="s">
        <v>3842</v>
      </c>
      <c r="C43" s="20" t="s">
        <v>3829</v>
      </c>
      <c r="D43" s="20" t="s">
        <v>3968</v>
      </c>
      <c r="E43" s="20" t="s">
        <v>3962</v>
      </c>
      <c r="F43" s="20" t="s">
        <v>3963</v>
      </c>
      <c r="G43" s="20" t="s">
        <v>273</v>
      </c>
      <c r="H43" s="20" t="s">
        <v>26</v>
      </c>
      <c r="I43" s="21">
        <v>46268</v>
      </c>
      <c r="J43" s="20" t="s">
        <v>82</v>
      </c>
      <c r="K43" s="20" t="s">
        <v>684</v>
      </c>
      <c r="L43" s="20" t="s">
        <v>3964</v>
      </c>
      <c r="M43" s="20" t="s">
        <v>270</v>
      </c>
      <c r="N43" s="22" t="s">
        <v>250</v>
      </c>
      <c r="O43" s="20" t="s">
        <v>3834</v>
      </c>
      <c r="P43" s="20" t="s">
        <v>148</v>
      </c>
      <c r="Q43" s="20" t="s">
        <v>149</v>
      </c>
      <c r="R43" s="20" t="s">
        <v>26</v>
      </c>
      <c r="S43" s="20" t="s">
        <v>32</v>
      </c>
      <c r="T43" s="20" t="s">
        <v>281</v>
      </c>
      <c r="U43" s="20" t="s">
        <v>3965</v>
      </c>
      <c r="V43" s="21"/>
      <c r="W43" s="21">
        <v>46268</v>
      </c>
      <c r="X43" s="20" t="s">
        <v>3836</v>
      </c>
      <c r="Y43" s="21">
        <v>46268</v>
      </c>
      <c r="Z43" s="20" t="s">
        <v>226</v>
      </c>
      <c r="AA43" s="17" t="e">
        <f>VLOOKUP(F43,[2]Wait!$H$225:$I$260,2,0)</f>
        <v>#N/A</v>
      </c>
    </row>
    <row r="44" spans="1:27" x14ac:dyDescent="0.25">
      <c r="A44" s="9">
        <f t="shared" si="0"/>
        <v>37</v>
      </c>
      <c r="B44" s="19" t="s">
        <v>3842</v>
      </c>
      <c r="C44" s="20" t="s">
        <v>3829</v>
      </c>
      <c r="D44" s="20" t="s">
        <v>3969</v>
      </c>
      <c r="E44" s="20" t="s">
        <v>3962</v>
      </c>
      <c r="F44" s="20" t="s">
        <v>3963</v>
      </c>
      <c r="G44" s="20" t="s">
        <v>273</v>
      </c>
      <c r="H44" s="20" t="s">
        <v>26</v>
      </c>
      <c r="I44" s="21">
        <v>46268</v>
      </c>
      <c r="J44" s="20" t="s">
        <v>82</v>
      </c>
      <c r="K44" s="20" t="s">
        <v>557</v>
      </c>
      <c r="L44" s="20" t="s">
        <v>3964</v>
      </c>
      <c r="M44" s="20" t="s">
        <v>270</v>
      </c>
      <c r="N44" s="22" t="s">
        <v>250</v>
      </c>
      <c r="O44" s="20" t="s">
        <v>3834</v>
      </c>
      <c r="P44" s="20" t="s">
        <v>148</v>
      </c>
      <c r="Q44" s="20" t="s">
        <v>149</v>
      </c>
      <c r="R44" s="20" t="s">
        <v>26</v>
      </c>
      <c r="S44" s="20" t="s">
        <v>32</v>
      </c>
      <c r="T44" s="20" t="s">
        <v>281</v>
      </c>
      <c r="U44" s="20" t="s">
        <v>3965</v>
      </c>
      <c r="V44" s="21"/>
      <c r="W44" s="21">
        <v>46268</v>
      </c>
      <c r="X44" s="20" t="s">
        <v>3836</v>
      </c>
      <c r="Y44" s="21">
        <v>46268</v>
      </c>
      <c r="Z44" s="20" t="s">
        <v>226</v>
      </c>
      <c r="AA44" s="17" t="e">
        <f>VLOOKUP(F44,[2]Wait!$H$225:$I$260,2,0)</f>
        <v>#N/A</v>
      </c>
    </row>
    <row r="45" spans="1:27" x14ac:dyDescent="0.25">
      <c r="A45" s="9">
        <f t="shared" si="0"/>
        <v>38</v>
      </c>
      <c r="B45" s="19" t="s">
        <v>3970</v>
      </c>
      <c r="C45" s="20" t="s">
        <v>3829</v>
      </c>
      <c r="D45" s="20" t="s">
        <v>3971</v>
      </c>
      <c r="E45" s="20" t="s">
        <v>3972</v>
      </c>
      <c r="F45" s="20" t="s">
        <v>3973</v>
      </c>
      <c r="G45" s="20" t="s">
        <v>273</v>
      </c>
      <c r="H45" s="20" t="s">
        <v>26</v>
      </c>
      <c r="I45" s="21">
        <v>46290</v>
      </c>
      <c r="J45" s="20" t="s">
        <v>82</v>
      </c>
      <c r="K45" s="20" t="s">
        <v>28</v>
      </c>
      <c r="L45" s="20" t="s">
        <v>3974</v>
      </c>
      <c r="M45" s="20" t="s">
        <v>270</v>
      </c>
      <c r="N45" s="22" t="s">
        <v>250</v>
      </c>
      <c r="O45" s="20" t="s">
        <v>3834</v>
      </c>
      <c r="P45" s="20" t="s">
        <v>148</v>
      </c>
      <c r="Q45" s="20" t="s">
        <v>149</v>
      </c>
      <c r="R45" s="20" t="s">
        <v>337</v>
      </c>
      <c r="S45" s="20" t="s">
        <v>32</v>
      </c>
      <c r="T45" s="20" t="s">
        <v>281</v>
      </c>
      <c r="U45" s="20" t="s">
        <v>3975</v>
      </c>
      <c r="V45" s="21"/>
      <c r="W45" s="21">
        <v>46290</v>
      </c>
      <c r="X45" s="20" t="s">
        <v>3836</v>
      </c>
      <c r="Y45" s="21">
        <v>46290</v>
      </c>
      <c r="Z45" s="20" t="s">
        <v>226</v>
      </c>
      <c r="AA45" s="17" t="e">
        <f>VLOOKUP(F45,[2]Wait!$H$225:$I$260,2,0)</f>
        <v>#N/A</v>
      </c>
    </row>
    <row r="46" spans="1:27" x14ac:dyDescent="0.25">
      <c r="A46" s="9">
        <f t="shared" si="0"/>
        <v>39</v>
      </c>
      <c r="B46" s="19" t="s">
        <v>3893</v>
      </c>
      <c r="C46" s="20" t="s">
        <v>3829</v>
      </c>
      <c r="D46" s="20" t="s">
        <v>3976</v>
      </c>
      <c r="E46" s="20" t="s">
        <v>3977</v>
      </c>
      <c r="F46" s="20" t="s">
        <v>3977</v>
      </c>
      <c r="G46" s="20" t="s">
        <v>194</v>
      </c>
      <c r="H46" s="20" t="s">
        <v>26</v>
      </c>
      <c r="I46" s="21">
        <v>46290</v>
      </c>
      <c r="J46" s="20" t="s">
        <v>82</v>
      </c>
      <c r="K46" s="20" t="s">
        <v>28</v>
      </c>
      <c r="L46" s="20" t="s">
        <v>3978</v>
      </c>
      <c r="M46" s="20" t="s">
        <v>266</v>
      </c>
      <c r="N46" s="22" t="s">
        <v>250</v>
      </c>
      <c r="O46" s="20" t="s">
        <v>3847</v>
      </c>
      <c r="P46" s="20" t="s">
        <v>26</v>
      </c>
      <c r="Q46" s="20" t="s">
        <v>26</v>
      </c>
      <c r="R46" s="20" t="s">
        <v>26</v>
      </c>
      <c r="S46" s="20" t="s">
        <v>32</v>
      </c>
      <c r="T46" s="20" t="s">
        <v>195</v>
      </c>
      <c r="U46" s="20" t="s">
        <v>26</v>
      </c>
      <c r="V46" s="21"/>
      <c r="W46" s="21">
        <v>46290</v>
      </c>
      <c r="X46" s="20" t="s">
        <v>3836</v>
      </c>
      <c r="Y46" s="21">
        <v>46290</v>
      </c>
      <c r="Z46" s="20" t="s">
        <v>226</v>
      </c>
      <c r="AA46" s="17" t="e">
        <f>VLOOKUP(F46,[2]Wait!$H$225:$I$260,2,0)</f>
        <v>#N/A</v>
      </c>
    </row>
    <row r="47" spans="1:27" x14ac:dyDescent="0.25">
      <c r="A47" s="9">
        <f t="shared" si="0"/>
        <v>40</v>
      </c>
      <c r="B47" s="19" t="s">
        <v>3893</v>
      </c>
      <c r="C47" s="20" t="s">
        <v>3829</v>
      </c>
      <c r="D47" s="20" t="s">
        <v>3979</v>
      </c>
      <c r="E47" s="20" t="s">
        <v>3977</v>
      </c>
      <c r="F47" s="20" t="s">
        <v>3977</v>
      </c>
      <c r="G47" s="20" t="s">
        <v>194</v>
      </c>
      <c r="H47" s="20" t="s">
        <v>26</v>
      </c>
      <c r="I47" s="21">
        <v>46290</v>
      </c>
      <c r="J47" s="20" t="s">
        <v>82</v>
      </c>
      <c r="K47" s="20" t="s">
        <v>58</v>
      </c>
      <c r="L47" s="20" t="s">
        <v>3978</v>
      </c>
      <c r="M47" s="20" t="s">
        <v>266</v>
      </c>
      <c r="N47" s="22" t="s">
        <v>250</v>
      </c>
      <c r="O47" s="20" t="s">
        <v>3847</v>
      </c>
      <c r="P47" s="20" t="s">
        <v>26</v>
      </c>
      <c r="Q47" s="20" t="s">
        <v>26</v>
      </c>
      <c r="R47" s="20" t="s">
        <v>26</v>
      </c>
      <c r="S47" s="20" t="s">
        <v>32</v>
      </c>
      <c r="T47" s="20" t="s">
        <v>195</v>
      </c>
      <c r="U47" s="20" t="s">
        <v>26</v>
      </c>
      <c r="V47" s="21"/>
      <c r="W47" s="21">
        <v>46290</v>
      </c>
      <c r="X47" s="20" t="s">
        <v>3836</v>
      </c>
      <c r="Y47" s="21">
        <v>46290</v>
      </c>
      <c r="Z47" s="20" t="s">
        <v>226</v>
      </c>
      <c r="AA47" s="17" t="e">
        <f>VLOOKUP(F47,[2]Wait!$H$225:$I$260,2,0)</f>
        <v>#N/A</v>
      </c>
    </row>
    <row r="48" spans="1:27" x14ac:dyDescent="0.25">
      <c r="A48" s="9">
        <f t="shared" si="0"/>
        <v>41</v>
      </c>
      <c r="B48" s="19" t="s">
        <v>3828</v>
      </c>
      <c r="C48" s="20" t="s">
        <v>3829</v>
      </c>
      <c r="D48" s="20" t="s">
        <v>3980</v>
      </c>
      <c r="E48" s="20" t="s">
        <v>3981</v>
      </c>
      <c r="F48" s="20" t="s">
        <v>3982</v>
      </c>
      <c r="G48" s="20" t="s">
        <v>273</v>
      </c>
      <c r="H48" s="20" t="s">
        <v>26</v>
      </c>
      <c r="I48" s="21">
        <v>46295</v>
      </c>
      <c r="J48" s="20" t="s">
        <v>82</v>
      </c>
      <c r="K48" s="20" t="s">
        <v>28</v>
      </c>
      <c r="L48" s="20" t="s">
        <v>3983</v>
      </c>
      <c r="M48" s="20" t="s">
        <v>266</v>
      </c>
      <c r="N48" s="22" t="s">
        <v>250</v>
      </c>
      <c r="O48" s="20" t="s">
        <v>3834</v>
      </c>
      <c r="P48" s="20" t="s">
        <v>148</v>
      </c>
      <c r="Q48" s="20" t="s">
        <v>149</v>
      </c>
      <c r="R48" s="20" t="s">
        <v>337</v>
      </c>
      <c r="S48" s="20" t="s">
        <v>32</v>
      </c>
      <c r="T48" s="20" t="s">
        <v>281</v>
      </c>
      <c r="U48" s="20" t="s">
        <v>3984</v>
      </c>
      <c r="V48" s="21"/>
      <c r="W48" s="21">
        <v>46295</v>
      </c>
      <c r="X48" s="20" t="s">
        <v>3836</v>
      </c>
      <c r="Y48" s="21">
        <v>46295</v>
      </c>
      <c r="Z48" s="20" t="s">
        <v>226</v>
      </c>
      <c r="AA48" s="17" t="e">
        <f>VLOOKUP(F48,[2]Wait!$H$225:$I$260,2,0)</f>
        <v>#N/A</v>
      </c>
    </row>
    <row r="49" spans="1:27" x14ac:dyDescent="0.25">
      <c r="A49" s="9">
        <f t="shared" si="0"/>
        <v>42</v>
      </c>
      <c r="B49" s="19" t="s">
        <v>3828</v>
      </c>
      <c r="C49" s="20" t="s">
        <v>3829</v>
      </c>
      <c r="D49" s="20" t="s">
        <v>3985</v>
      </c>
      <c r="E49" s="20" t="s">
        <v>3986</v>
      </c>
      <c r="F49" s="20" t="s">
        <v>3987</v>
      </c>
      <c r="G49" s="20" t="s">
        <v>273</v>
      </c>
      <c r="H49" s="20" t="s">
        <v>26</v>
      </c>
      <c r="I49" s="21">
        <v>46295</v>
      </c>
      <c r="J49" s="20" t="s">
        <v>82</v>
      </c>
      <c r="K49" s="20" t="s">
        <v>28</v>
      </c>
      <c r="L49" s="20" t="s">
        <v>3988</v>
      </c>
      <c r="M49" s="20" t="s">
        <v>266</v>
      </c>
      <c r="N49" s="22" t="s">
        <v>250</v>
      </c>
      <c r="O49" s="20" t="s">
        <v>3834</v>
      </c>
      <c r="P49" s="20" t="s">
        <v>41</v>
      </c>
      <c r="Q49" s="20" t="s">
        <v>42</v>
      </c>
      <c r="R49" s="20" t="s">
        <v>26</v>
      </c>
      <c r="S49" s="20" t="s">
        <v>32</v>
      </c>
      <c r="T49" s="20" t="s">
        <v>685</v>
      </c>
      <c r="U49" s="20" t="s">
        <v>3989</v>
      </c>
      <c r="V49" s="21"/>
      <c r="W49" s="21">
        <v>46295</v>
      </c>
      <c r="X49" s="20" t="s">
        <v>3836</v>
      </c>
      <c r="Y49" s="21">
        <v>46295</v>
      </c>
      <c r="Z49" s="20" t="s">
        <v>226</v>
      </c>
      <c r="AA49" s="17" t="e">
        <f>VLOOKUP(F49,[2]Wait!$H$225:$I$260,2,0)</f>
        <v>#N/A</v>
      </c>
    </row>
    <row r="50" spans="1:27" x14ac:dyDescent="0.25">
      <c r="A50" s="9">
        <f t="shared" si="0"/>
        <v>43</v>
      </c>
      <c r="B50" s="19" t="s">
        <v>3828</v>
      </c>
      <c r="C50" s="20" t="s">
        <v>3829</v>
      </c>
      <c r="D50" s="20" t="s">
        <v>3990</v>
      </c>
      <c r="E50" s="20" t="s">
        <v>3991</v>
      </c>
      <c r="F50" s="20" t="s">
        <v>3992</v>
      </c>
      <c r="G50" s="20" t="s">
        <v>25</v>
      </c>
      <c r="H50" s="20" t="s">
        <v>26</v>
      </c>
      <c r="I50" s="21">
        <v>46295</v>
      </c>
      <c r="J50" s="20" t="s">
        <v>82</v>
      </c>
      <c r="K50" s="20" t="s">
        <v>28</v>
      </c>
      <c r="L50" s="20" t="s">
        <v>3993</v>
      </c>
      <c r="M50" s="20" t="s">
        <v>3818</v>
      </c>
      <c r="N50" s="22" t="s">
        <v>250</v>
      </c>
      <c r="O50" s="20" t="s">
        <v>3847</v>
      </c>
      <c r="P50" s="20" t="s">
        <v>148</v>
      </c>
      <c r="Q50" s="20" t="s">
        <v>149</v>
      </c>
      <c r="R50" s="20" t="s">
        <v>337</v>
      </c>
      <c r="S50" s="20" t="s">
        <v>32</v>
      </c>
      <c r="T50" s="20" t="s">
        <v>195</v>
      </c>
      <c r="U50" s="20" t="s">
        <v>3994</v>
      </c>
      <c r="V50" s="21">
        <v>46268</v>
      </c>
      <c r="W50" s="21">
        <v>46295</v>
      </c>
      <c r="X50" s="20" t="s">
        <v>3836</v>
      </c>
      <c r="Y50" s="21">
        <v>46295</v>
      </c>
      <c r="Z50" s="20" t="s">
        <v>226</v>
      </c>
      <c r="AA50" s="17" t="e">
        <f>VLOOKUP(F50,[2]Wait!$H$225:$I$260,2,0)</f>
        <v>#N/A</v>
      </c>
    </row>
    <row r="51" spans="1:27" x14ac:dyDescent="0.25">
      <c r="A51" s="9">
        <f t="shared" si="0"/>
        <v>44</v>
      </c>
      <c r="B51" s="19" t="s">
        <v>3842</v>
      </c>
      <c r="C51" s="20" t="s">
        <v>3829</v>
      </c>
      <c r="D51" s="20" t="s">
        <v>3995</v>
      </c>
      <c r="E51" s="20" t="s">
        <v>3996</v>
      </c>
      <c r="F51" s="20" t="s">
        <v>3997</v>
      </c>
      <c r="G51" s="20" t="s">
        <v>273</v>
      </c>
      <c r="H51" s="20" t="s">
        <v>26</v>
      </c>
      <c r="I51" s="21">
        <v>46268</v>
      </c>
      <c r="J51" s="20" t="s">
        <v>82</v>
      </c>
      <c r="K51" s="20" t="s">
        <v>28</v>
      </c>
      <c r="L51" s="20" t="s">
        <v>3998</v>
      </c>
      <c r="M51" s="20" t="s">
        <v>3823</v>
      </c>
      <c r="N51" s="22" t="s">
        <v>250</v>
      </c>
      <c r="O51" s="20" t="s">
        <v>3834</v>
      </c>
      <c r="P51" s="20" t="s">
        <v>148</v>
      </c>
      <c r="Q51" s="20" t="s">
        <v>149</v>
      </c>
      <c r="R51" s="20" t="s">
        <v>26</v>
      </c>
      <c r="S51" s="20" t="s">
        <v>32</v>
      </c>
      <c r="T51" s="20" t="s">
        <v>685</v>
      </c>
      <c r="U51" s="20" t="s">
        <v>3999</v>
      </c>
      <c r="V51" s="21">
        <v>46272</v>
      </c>
      <c r="W51" s="21">
        <v>46268</v>
      </c>
      <c r="X51" s="20" t="s">
        <v>3836</v>
      </c>
      <c r="Y51" s="21">
        <v>46268</v>
      </c>
      <c r="Z51" s="20" t="s">
        <v>226</v>
      </c>
      <c r="AA51" s="17" t="e">
        <f>VLOOKUP(F51,[2]Wait!$H$225:$I$260,2,0)</f>
        <v>#N/A</v>
      </c>
    </row>
    <row r="52" spans="1:27" x14ac:dyDescent="0.25">
      <c r="A52" s="9">
        <f t="shared" si="0"/>
        <v>45</v>
      </c>
      <c r="B52" s="19" t="s">
        <v>3842</v>
      </c>
      <c r="C52" s="20" t="s">
        <v>3829</v>
      </c>
      <c r="D52" s="20" t="s">
        <v>4000</v>
      </c>
      <c r="E52" s="20" t="s">
        <v>3996</v>
      </c>
      <c r="F52" s="20" t="s">
        <v>3997</v>
      </c>
      <c r="G52" s="20" t="s">
        <v>273</v>
      </c>
      <c r="H52" s="20" t="s">
        <v>26</v>
      </c>
      <c r="I52" s="21">
        <v>46268</v>
      </c>
      <c r="J52" s="20" t="s">
        <v>27</v>
      </c>
      <c r="K52" s="20" t="s">
        <v>58</v>
      </c>
      <c r="L52" s="20" t="s">
        <v>3998</v>
      </c>
      <c r="M52" s="20" t="s">
        <v>3823</v>
      </c>
      <c r="N52" s="22" t="s">
        <v>250</v>
      </c>
      <c r="O52" s="20" t="s">
        <v>3834</v>
      </c>
      <c r="P52" s="20" t="s">
        <v>148</v>
      </c>
      <c r="Q52" s="20" t="s">
        <v>149</v>
      </c>
      <c r="R52" s="20" t="s">
        <v>26</v>
      </c>
      <c r="S52" s="20" t="s">
        <v>32</v>
      </c>
      <c r="T52" s="20" t="s">
        <v>685</v>
      </c>
      <c r="U52" s="20" t="s">
        <v>3999</v>
      </c>
      <c r="V52" s="21">
        <v>46272</v>
      </c>
      <c r="W52" s="21">
        <v>46268</v>
      </c>
      <c r="X52" s="20" t="s">
        <v>3836</v>
      </c>
      <c r="Y52" s="21">
        <v>46268</v>
      </c>
      <c r="Z52" s="20" t="s">
        <v>226</v>
      </c>
      <c r="AA52" s="17" t="e">
        <f>VLOOKUP(F52,[2]Wait!$H$225:$I$260,2,0)</f>
        <v>#N/A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VLOOKUP(F24,[1]Wait!$H$225:$I$260,2,0)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VLOOKUP(F25,[1]Wait!$H$225:$I$260,2,0)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VLOOKUP(F26,[1]Wait!$H$225:$I$260,2,0)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VLOOKUP(F27,[1]Wait!$H$225:$I$260,2,0)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VLOOKUP(F28,[1]Wait!$H$225:$I$260,2,0)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VLOOKUP(F29,[1]Wait!$H$225:$I$260,2,0)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VLOOKUP(F30,[1]Wait!$H$225:$I$260,2,0)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VLOOKUP(F31,[1]Wait!$H$225:$I$260,2,0)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VLOOKUP(F32,[1]Wait!$H$225:$I$260,2,0)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VLOOKUP(F33,[1]Wait!$H$225:$I$260,2,0)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VLOOKUP(F34,[1]Wait!$H$225:$I$260,2,0)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VLOOKUP(F35,[1]Wait!$H$225:$I$260,2,0)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VLOOKUP(F36,[1]Wait!$H$225:$I$260,2,0)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VLOOKUP(F37,[1]Wait!$H$225:$I$260,2,0)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VLOOKUP(F38,[1]Wait!$H$225:$I$260,2,0)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VLOOKUP(F64,[1]Wait!$H$225:$I$260,2,0)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VLOOKUP(F65,[1]Wait!$H$225:$I$260,2,0)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VLOOKUP(F66,[1]Wait!$H$225:$I$260,2,0)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VLOOKUP(F67,[1]Wait!$H$225:$I$260,2,0)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VLOOKUP(F68,[1]Wait!$H$225:$I$260,2,0)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VLOOKUP(F69,[1]Wait!$H$225:$I$260,2,0)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VLOOKUP(F70,[1]Wait!$H$225:$I$260,2,0)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VLOOKUP(F71,[1]Wait!$H$225:$I$260,2,0)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VLOOKUP(F72,[1]Wait!$H$225:$I$260,2,0)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VLOOKUP(F73,[1]Wait!$H$225:$I$260,2,0)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VLOOKUP(F74,[1]Wait!$H$225:$I$260,2,0)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VLOOKUP(F75,[1]Wait!$H$225:$I$260,2,0)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VLOOKUP(F76,[1]Wait!$H$225:$I$260,2,0)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VLOOKUP(F77,[1]Wait!$H$225:$I$260,2,0)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VLOOKUP(F78,[1]Wait!$H$225:$I$260,2,0)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VLOOKUP(F79,[1]Wait!$H$225:$I$260,2,0)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VLOOKUP(F80,[1]Wait!$H$225:$I$260,2,0)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VLOOKUP(F81,[1]Wait!$H$225:$I$260,2,0)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VLOOKUP(F82,[1]Wait!$H$225:$I$260,2,0)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VLOOKUP(F83,[1]Wait!$H$225:$I$260,2,0)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VLOOKUP(F84,[1]Wait!$H$225:$I$260,2,0)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VLOOKUP(F85,[1]Wait!$H$225:$I$260,2,0)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VLOOKUP(F86,[1]Wait!$H$225:$I$260,2,0)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VLOOKUP(F87,[1]Wait!$H$225:$I$260,2,0)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VLOOKUP(F88,[1]Wait!$H$225:$I$260,2,0)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VLOOKUP(F89,[1]Wait!$H$225:$I$260,2,0)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VLOOKUP(F90,[1]Wait!$H$225:$I$260,2,0)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VLOOKUP(F91,[1]Wait!$H$225:$I$260,2,0)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VLOOKUP(F92,[1]Wait!$H$225:$I$260,2,0)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VLOOKUP(F93,[1]Wait!$H$225:$I$260,2,0)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VLOOKUP(F94,[1]Wait!$H$225:$I$260,2,0)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VLOOKUP(F95,[1]Wait!$H$225:$I$260,2,0)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VLOOKUP(F96,[1]Wait!$H$225:$I$260,2,0)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VLOOKUP(F97,[1]Wait!$H$225:$I$260,2,0)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VLOOKUP(F98,[1]Wait!$H$225:$I$260,2,0)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VLOOKUP(F99,[1]Wait!$H$225:$I$260,2,0)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VLOOKUP(F100,[1]Wait!$H$225:$I$260,2,0)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VLOOKUP(F101,[1]Wait!$H$225:$I$260,2,0)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VLOOKUP(F102,[1]Wait!$H$225:$I$260,2,0)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VLOOKUP(F103,[1]Wait!$H$225:$I$260,2,0)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VLOOKUP(F104,[1]Wait!$H$225:$I$260,2,0)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VLOOKUP(F105,[1]Wait!$H$225:$I$260,2,0)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VLOOKUP(F106,[1]Wait!$H$225:$I$260,2,0)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VLOOKUP(F107,[1]Wait!$H$225:$I$260,2,0)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VLOOKUP(F108,[1]Wait!$H$225:$I$260,2,0)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VLOOKUP(F109,[1]Wait!$H$225:$I$260,2,0)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VLOOKUP(F110,[1]Wait!$H$225:$I$260,2,0)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VLOOKUP(F111,[1]Wait!$H$225:$I$260,2,0)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VLOOKUP(F112,[1]Wait!$H$225:$I$260,2,0)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VLOOKUP(F113,[1]Wait!$H$225:$I$260,2,0)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VLOOKUP(F114,[1]Wait!$H$225:$I$260,2,0)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VLOOKUP(F115,[1]Wait!$H$225:$I$260,2,0)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VLOOKUP(F116,[1]Wait!$H$225:$I$260,2,0)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VLOOKUP(F117,[1]Wait!$H$225:$I$260,2,0)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VLOOKUP(F118,[1]Wait!$H$225:$I$260,2,0)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VLOOKUP(F119,[1]Wait!$H$225:$I$260,2,0)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VLOOKUP(F120,[1]Wait!$H$225:$I$260,2,0)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VLOOKUP(F121,[1]Wait!$H$225:$I$260,2,0)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VLOOKUP(F122,[1]Wait!$H$225:$I$260,2,0)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VLOOKUP(F123,[1]Wait!$H$225:$I$260,2,0)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VLOOKUP(F124,[1]Wait!$H$225:$I$260,2,0)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VLOOKUP(F125,[1]Wait!$H$225:$I$260,2,0)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VLOOKUP(F126,[1]Wait!$H$225:$I$260,2,0)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VLOOKUP(F127,[1]Wait!$H$225:$I$260,2,0)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VLOOKUP(F128,[1]Wait!$H$225:$I$260,2,0)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VLOOKUP(F129,[1]Wait!$H$225:$I$260,2,0)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VLOOKUP(F130,[1]Wait!$H$225:$I$260,2,0)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VLOOKUP(F131,[1]Wait!$H$225:$I$260,2,0)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VLOOKUP(F132,[1]Wait!$H$225:$I$260,2,0)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VLOOKUP(F133,[1]Wait!$H$225:$I$260,2,0)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VLOOKUP(F134,[1]Wait!$H$225:$I$260,2,0)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VLOOKUP(F135,[1]Wait!$H$225:$I$260,2,0)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VLOOKUP(F136,[1]Wait!$H$225:$I$260,2,0)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VLOOKUP(F137,[1]Wait!$H$225:$I$260,2,0)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VLOOKUP(F138,[1]Wait!$H$225:$I$260,2,0)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VLOOKUP(F139,[1]Wait!$H$225:$I$260,2,0)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VLOOKUP(F140,[1]Wait!$H$225:$I$260,2,0)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VLOOKUP(F141,[1]Wait!$H$225:$I$260,2,0)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VLOOKUP(F142,[1]Wait!$H$225:$I$260,2,0)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VLOOKUP(F143,[1]Wait!$H$225:$I$260,2,0)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VLOOKUP(F144,[1]Wait!$H$225:$I$260,2,0)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VLOOKUP(F145,[1]Wait!$H$225:$I$260,2,0)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VLOOKUP(F146,[1]Wait!$H$225:$I$260,2,0)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VLOOKUP(F147,[1]Wait!$H$225:$I$260,2,0)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VLOOKUP(F148,[1]Wait!$H$225:$I$260,2,0)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VLOOKUP(F149,[1]Wait!$H$225:$I$260,2,0)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VLOOKUP(F150,[1]Wait!$H$225:$I$260,2,0)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VLOOKUP(F151,[1]Wait!$H$225:$I$260,2,0)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VLOOKUP(F152,[1]Wait!$H$225:$I$260,2,0)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VLOOKUP(F153,[1]Wait!$H$225:$I$260,2,0)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VLOOKUP(F154,[1]Wait!$H$225:$I$260,2,0)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VLOOKUP(F155,[1]Wait!$H$225:$I$260,2,0)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VLOOKUP(F156,[1]Wait!$H$225:$I$260,2,0)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VLOOKUP(F157,[1]Wait!$H$225:$I$260,2,0)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VLOOKUP(F158,[1]Wait!$H$225:$I$260,2,0)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VLOOKUP(F159,[1]Wait!$H$225:$I$260,2,0)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VLOOKUP(F160,[1]Wait!$H$225:$I$260,2,0)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VLOOKUP(F161,[1]Wait!$H$225:$I$260,2,0)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VLOOKUP(F162,[1]Wait!$H$225:$I$260,2,0)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VLOOKUP(F163,[1]Wait!$H$225:$I$260,2,0)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VLOOKUP(F164,[1]Wait!$H$225:$I$260,2,0)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VLOOKUP(F165,[1]Wait!$H$225:$I$260,2,0)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VLOOKUP(F166,[1]Wait!$H$225:$I$260,2,0)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VLOOKUP(F167,[1]Wait!$H$225:$I$260,2,0)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VLOOKUP(F168,[1]Wait!$H$225:$I$260,2,0)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VLOOKUP(F169,[1]Wait!$H$225:$I$260,2,0)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VLOOKUP(F170,[1]Wait!$H$225:$I$260,2,0)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VLOOKUP(F171,[1]Wait!$H$225:$I$260,2,0)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VLOOKUP(F172,[1]Wait!$H$225:$I$260,2,0)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VLOOKUP(F173,[1]Wait!$H$225:$I$260,2,0)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VLOOKUP(F174,[1]Wait!$H$225:$I$260,2,0)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VLOOKUP(F175,[1]Wait!$H$225:$I$260,2,0)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VLOOKUP(F176,[1]Wait!$H$225:$I$260,2,0)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VLOOKUP(F177,[1]Wait!$H$225:$I$260,2,0)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VLOOKUP(F178,[1]Wait!$H$225:$I$260,2,0)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VLOOKUP(F179,[1]Wait!$H$225:$I$260,2,0)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VLOOKUP(F180,[1]Wait!$H$225:$I$260,2,0)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VLOOKUP(F181,[1]Wait!$H$225:$I$260,2,0)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VLOOKUP(F182,[1]Wait!$H$225:$I$260,2,0)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VLOOKUP(F183,[1]Wait!$H$225:$I$260,2,0)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VLOOKUP(F184,[1]Wait!$H$225:$I$260,2,0)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VLOOKUP(F185,[1]Wait!$H$225:$I$260,2,0)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VLOOKUP(F186,[1]Wait!$H$225:$I$260,2,0)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VLOOKUP(F187,[1]Wait!$H$225:$I$260,2,0)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VLOOKUP(F188,[1]Wait!$H$225:$I$260,2,0)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VLOOKUP(F189,[1]Wait!$H$225:$I$260,2,0)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VLOOKUP(F190,[1]Wait!$H$225:$I$260,2,0)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VLOOKUP(F191,[1]Wait!$H$225:$I$260,2,0)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VLOOKUP(F192,[1]Wait!$H$225:$I$260,2,0)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VLOOKUP(F193,[1]Wait!$H$225:$I$260,2,0)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VLOOKUP(F194,[1]Wait!$H$225:$I$260,2,0)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VLOOKUP(F195,[1]Wait!$H$225:$I$260,2,0)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VLOOKUP(F196,[1]Wait!$H$225:$I$260,2,0)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VLOOKUP(F197,[1]Wait!$H$225:$I$260,2,0)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VLOOKUP(F198,[1]Wait!$H$225:$I$260,2,0)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VLOOKUP(F199,[1]Wait!$H$225:$I$260,2,0)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VLOOKUP(F200,[1]Wait!$H$225:$I$260,2,0)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VLOOKUP(F201,[1]Wait!$H$225:$I$260,2,0)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VLOOKUP(F202,[1]Wait!$H$225:$I$260,2,0)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VLOOKUP(F203,[1]Wait!$H$225:$I$260,2,0)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VLOOKUP(F204,[1]Wait!$H$225:$I$260,2,0)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VLOOKUP(F205,[1]Wait!$H$225:$I$260,2,0)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VLOOKUP(F206,[1]Wait!$H$225:$I$260,2,0)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VLOOKUP(F207,[1]Wait!$H$225:$I$260,2,0)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VLOOKUP(F208,[1]Wait!$H$225:$I$260,2,0)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VLOOKUP(F209,[1]Wait!$H$225:$I$260,2,0)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VLOOKUP(F210,[1]Wait!$H$225:$I$260,2,0)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VLOOKUP(F211,[1]Wait!$H$225:$I$260,2,0)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VLOOKUP(F212,[1]Wait!$H$225:$I$260,2,0)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VLOOKUP(F213,[1]Wait!$H$225:$I$260,2,0)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VLOOKUP(F214,[1]Wait!$H$225:$I$260,2,0)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VLOOKUP(F215,[1]Wait!$H$225:$I$260,2,0)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VLOOKUP(F216,[1]Wait!$H$225:$I$260,2,0)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VLOOKUP(F217,[1]Wait!$H$225:$I$260,2,0)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VLOOKUP(F218,[1]Wait!$H$225:$I$260,2,0)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VLOOKUP(F219,[1]Wait!$H$225:$I$260,2,0)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VLOOKUP(F220,[1]Wait!$H$225:$I$260,2,0)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VLOOKUP(F221,[1]Wait!$H$225:$I$260,2,0)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VLOOKUP(F222,[1]Wait!$H$225:$I$260,2,0)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VLOOKUP(F223,[1]Wait!$H$225:$I$260,2,0)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VLOOKUP(F224,[1]Wait!$H$225:$I$260,2,0)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VLOOKUP(F225,[1]Wait!$H$225:$I$260,2,0)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VLOOKUP(F226,[1]Wait!$H$225:$I$260,2,0)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VLOOKUP(F227,[1]Wait!$H$225:$I$260,2,0)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VLOOKUP(F228,[1]Wait!$H$225:$I$260,2,0)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VLOOKUP(F229,[1]Wait!$H$225:$I$260,2,0)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VLOOKUP(F230,[1]Wait!$H$225:$I$260,2,0)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VLOOKUP(F231,[1]Wait!$H$225:$I$260,2,0)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VLOOKUP(F232,[1]Wait!$H$225:$I$260,2,0)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VLOOKUP(F233,[1]Wait!$H$225:$I$260,2,0)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VLOOKUP(F234,[1]Wait!$H$225:$I$260,2,0)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VLOOKUP(F235,[1]Wait!$H$225:$I$260,2,0)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VLOOKUP(F236,[1]Wait!$H$225:$I$260,2,0)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VLOOKUP(F237,[1]Wait!$H$225:$I$260,2,0)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VLOOKUP(F238,[1]Wait!$H$225:$I$260,2,0)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VLOOKUP(F239,[1]Wait!$H$225:$I$260,2,0)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VLOOKUP(F240,[1]Wait!$H$225:$I$260,2,0)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VLOOKUP(F241,[1]Wait!$H$225:$I$260,2,0)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VLOOKUP(F242,[1]Wait!$H$225:$I$260,2,0)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VLOOKUP(F243,[1]Wait!$H$225:$I$260,2,0)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VLOOKUP(F244,[1]Wait!$H$225:$I$260,2,0)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VLOOKUP(F245,[1]Wait!$H$225:$I$260,2,0)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VLOOKUP(F246,[1]Wait!$H$225:$I$260,2,0)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VLOOKUP(F247,[1]Wait!$H$225:$I$260,2,0)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VLOOKUP(F248,[1]Wait!$H$225:$I$260,2,0)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VLOOKUP(F249,[1]Wait!$H$225:$I$260,2,0)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VLOOKUP(F250,[1]Wait!$H$225:$I$260,2,0)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VLOOKUP(F251,[1]Wait!$H$225:$I$260,2,0)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VLOOKUP(F252,[1]Wait!$H$225:$I$260,2,0)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VLOOKUP(F253,[1]Wait!$H$225:$I$260,2,0)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VLOOKUP(F254,[1]Wait!$H$225:$I$260,2,0)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VLOOKUP(F255,[1]Wait!$H$225:$I$260,2,0)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VLOOKUP(F256,[1]Wait!$H$225:$I$260,2,0)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VLOOKUP(F257,[1]Wait!$H$225:$I$260,2,0)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VLOOKUP(F258,[1]Wait!$H$225:$I$260,2,0)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VLOOKUP(F259,[1]Wait!$H$225:$I$260,2,0)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VLOOKUP(F260,[1]Wait!$H$225:$I$260,2,0)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VLOOKUP(F261,[1]Wait!$H$225:$I$260,2,0)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VLOOKUP(F262,[1]Wait!$H$225:$I$260,2,0)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VLOOKUP(F263,[1]Wait!$H$225:$I$260,2,0)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VLOOKUP(F264,[1]Wait!$H$225:$I$260,2,0)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VLOOKUP(F265,[1]Wait!$H$225:$I$260,2,0)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VLOOKUP(F266,[1]Wait!$H$225:$I$260,2,0)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VLOOKUP(F267,[1]Wait!$H$225:$I$260,2,0)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VLOOKUP(F268,[1]Wait!$H$225:$I$260,2,0)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VLOOKUP(F269,[1]Wait!$H$225:$I$260,2,0)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VLOOKUP(F270,[1]Wait!$H$225:$I$260,2,0)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VLOOKUP(F271,[1]Wait!$H$225:$I$260,2,0)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VLOOKUP(F272,[1]Wait!$H$225:$I$260,2,0)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VLOOKUP(F273,[1]Wait!$H$225:$I$260,2,0)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VLOOKUP(F274,[1]Wait!$H$225:$I$260,2,0)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VLOOKUP(F275,[1]Wait!$H$225:$I$260,2,0)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VLOOKUP(F276,[1]Wait!$H$225:$I$260,2,0)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VLOOKUP(F277,[1]Wait!$H$225:$I$260,2,0)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VLOOKUP(F278,[1]Wait!$H$225:$I$260,2,0)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VLOOKUP(F279,[1]Wait!$H$225:$I$260,2,0)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VLOOKUP(F280,[1]Wait!$H$225:$I$260,2,0)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VLOOKUP(F281,[1]Wait!$H$225:$I$260,2,0)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VLOOKUP(F282,[1]Wait!$H$225:$I$260,2,0)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VLOOKUP(F283,[1]Wait!$H$225:$I$260,2,0)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VLOOKUP(F284,[1]Wait!$H$225:$I$260,2,0)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VLOOKUP(F285,[1]Wait!$H$225:$I$260,2,0)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VLOOKUP(F286,[1]Wait!$H$225:$I$260,2,0)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VLOOKUP(F287,[1]Wait!$H$225:$I$260,2,0)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VLOOKUP(F288,[1]Wait!$H$225:$I$260,2,0)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VLOOKUP(F289,[1]Wait!$H$225:$I$260,2,0)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VLOOKUP(F290,[1]Wait!$H$225:$I$260,2,0)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VLOOKUP(F291,[1]Wait!$H$225:$I$260,2,0)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VLOOKUP(F292,[1]Wait!$H$225:$I$260,2,0)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VLOOKUP(F293,[1]Wait!$H$225:$I$260,2,0)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VLOOKUP(F294,[1]Wait!$H$225:$I$260,2,0)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VLOOKUP(F295,[1]Wait!$H$225:$I$260,2,0)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VLOOKUP(F296,[1]Wait!$H$225:$I$260,2,0)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VLOOKUP(F297,[1]Wait!$H$225:$I$260,2,0)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VLOOKUP(F298,[1]Wait!$H$225:$I$260,2,0)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VLOOKUP(F299,[1]Wait!$H$225:$I$260,2,0)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VLOOKUP(F300,[1]Wait!$H$225:$I$260,2,0)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VLOOKUP(F301,[1]Wait!$H$225:$I$260,2,0)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VLOOKUP(F302,[1]Wait!$H$225:$I$260,2,0)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VLOOKUP(F303,[1]Wait!$H$225:$I$260,2,0)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VLOOKUP(F304,[1]Wait!$H$225:$I$260,2,0)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VLOOKUP(F305,[1]Wait!$H$225:$I$260,2,0)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VLOOKUP(F306,[1]Wait!$H$225:$I$260,2,0)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VLOOKUP(F307,[1]Wait!$H$225:$I$260,2,0)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VLOOKUP(F308,[1]Wait!$H$225:$I$260,2,0)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VLOOKUP(F309,[1]Wait!$H$225:$I$260,2,0)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VLOOKUP(F310,[1]Wait!$H$225:$I$260,2,0)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VLOOKUP(F311,[1]Wait!$H$225:$I$260,2,0)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VLOOKUP(F312,[1]Wait!$H$225:$I$260,2,0)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VLOOKUP(F313,[1]Wait!$H$225:$I$260,2,0)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VLOOKUP(F314,[1]Wait!$H$225:$I$260,2,0)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VLOOKUP(F315,[1]Wait!$H$225:$I$260,2,0)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VLOOKUP(F316,[1]Wait!$H$225:$I$260,2,0)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VLOOKUP(F317,[1]Wait!$H$225:$I$260,2,0)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VLOOKUP(F318,[1]Wait!$H$225:$I$260,2,0)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VLOOKUP(F319,[1]Wait!$H$225:$I$260,2,0)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VLOOKUP(F320,[1]Wait!$H$225:$I$260,2,0)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VLOOKUP(F321,[1]Wait!$H$225:$I$260,2,0)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VLOOKUP(F322,[1]Wait!$H$225:$I$260,2,0)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VLOOKUP(F323,[1]Wait!$H$225:$I$260,2,0)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VLOOKUP(F324,[1]Wait!$H$225:$I$260,2,0)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VLOOKUP(F325,[1]Wait!$H$225:$I$260,2,0)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VLOOKUP(F326,[1]Wait!$H$225:$I$260,2,0)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VLOOKUP(F327,[1]Wait!$H$225:$I$260,2,0)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VLOOKUP(F328,[1]Wait!$H$225:$I$260,2,0)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VLOOKUP(F329,[1]Wait!$H$225:$I$260,2,0)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VLOOKUP(F330,[1]Wait!$H$225:$I$260,2,0)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VLOOKUP(F331,[1]Wait!$H$225:$I$260,2,0)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VLOOKUP(F332,[1]Wait!$H$225:$I$260,2,0)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VLOOKUP(F333,[1]Wait!$H$225:$I$260,2,0)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VLOOKUP(F334,[1]Wait!$H$225:$I$260,2,0)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VLOOKUP(F335,[1]Wait!$H$225:$I$260,2,0)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VLOOKUP(F336,[1]Wait!$H$225:$I$260,2,0)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VLOOKUP(F337,[1]Wait!$H$225:$I$260,2,0)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VLOOKUP(F338,[1]Wait!$H$225:$I$260,2,0)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VLOOKUP(F339,[1]Wait!$H$225:$I$260,2,0)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VLOOKUP(F340,[1]Wait!$H$225:$I$260,2,0)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VLOOKUP(F341,[1]Wait!$H$225:$I$260,2,0)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VLOOKUP(F342,[1]Wait!$H$225:$I$260,2,0)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VLOOKUP(F343,[1]Wait!$H$225:$I$260,2,0)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VLOOKUP(F344,[1]Wait!$H$225:$I$260,2,0)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VLOOKUP(F345,[1]Wait!$H$225:$I$260,2,0)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VLOOKUP(F346,[1]Wait!$H$225:$I$260,2,0)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VLOOKUP(F347,[1]Wait!$H$225:$I$260,2,0)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VLOOKUP(F348,[1]Wait!$H$225:$I$260,2,0)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VLOOKUP(F349,[1]Wait!$H$225:$I$260,2,0)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VLOOKUP(F350,[1]Wait!$H$225:$I$260,2,0)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VLOOKUP(F351,[1]Wait!$H$225:$I$260,2,0)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VLOOKUP(F352,[1]Wait!$H$225:$I$260,2,0)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VLOOKUP(F353,[1]Wait!$H$225:$I$260,2,0)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VLOOKUP(F354,[1]Wait!$H$225:$I$260,2,0)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VLOOKUP(F355,[1]Wait!$H$225:$I$260,2,0)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VLOOKUP(F356,[1]Wait!$H$225:$I$260,2,0)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VLOOKUP(F357,[1]Wait!$H$225:$I$260,2,0)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VLOOKUP(F358,[1]Wait!$H$225:$I$260,2,0)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VLOOKUP(F359,[1]Wait!$H$225:$I$260,2,0)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VLOOKUP(F360,[1]Wait!$H$225:$I$260,2,0)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VLOOKUP(F361,[1]Wait!$H$225:$I$260,2,0)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VLOOKUP(F362,[1]Wait!$H$225:$I$260,2,0)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VLOOKUP(F363,[1]Wait!$H$225:$I$260,2,0)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VLOOKUP(F364,[1]Wait!$H$225:$I$260,2,0)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VLOOKUP(F365,[1]Wait!$H$225:$I$260,2,0)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VLOOKUP(F366,[1]Wait!$H$225:$I$260,2,0)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VLOOKUP(F367,[1]Wait!$H$225:$I$260,2,0)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VLOOKUP(F368,[1]Wait!$H$225:$I$260,2,0)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VLOOKUP(F369,[1]Wait!$H$225:$I$260,2,0)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VLOOKUP(F370,[1]Wait!$H$225:$I$260,2,0)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VLOOKUP(F371,[1]Wait!$H$225:$I$260,2,0)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VLOOKUP(F372,[1]Wait!$H$225:$I$260,2,0)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VLOOKUP(F373,[1]Wait!$H$225:$I$260,2,0)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VLOOKUP(F374,[1]Wait!$H$225:$I$260,2,0)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VLOOKUP(F375,[1]Wait!$H$225:$I$260,2,0)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VLOOKUP(F376,[1]Wait!$H$225:$I$260,2,0)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VLOOKUP(F377,[1]Wait!$H$225:$I$260,2,0)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VLOOKUP(F378,[1]Wait!$H$225:$I$260,2,0)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VLOOKUP(F379,[1]Wait!$H$225:$I$260,2,0)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VLOOKUP(F380,[1]Wait!$H$225:$I$260,2,0)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VLOOKUP(F381,[1]Wait!$H$225:$I$260,2,0)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VLOOKUP(F382,[1]Wait!$H$225:$I$260,2,0)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VLOOKUP(F383,[1]Wait!$H$225:$I$260,2,0)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VLOOKUP(F384,[1]Wait!$H$225:$I$260,2,0)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VLOOKUP(F385,[1]Wait!$H$225:$I$260,2,0)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VLOOKUP(F386,[1]Wait!$H$225:$I$260,2,0)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VLOOKUP(F387,[1]Wait!$H$225:$I$260,2,0)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VLOOKUP(F388,[1]Wait!$H$225:$I$260,2,0)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VLOOKUP(F389,[1]Wait!$H$225:$I$260,2,0)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VLOOKUP(F390,[1]Wait!$H$225:$I$260,2,0)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VLOOKUP(F391,[1]Wait!$H$225:$I$260,2,0)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VLOOKUP(F392,[1]Wait!$H$225:$I$260,2,0)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VLOOKUP(F393,[1]Wait!$H$225:$I$260,2,0)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VLOOKUP(F394,[1]Wait!$H$225:$I$260,2,0)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VLOOKUP(F395,[1]Wait!$H$225:$I$260,2,0)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VLOOKUP(F396,[1]Wait!$H$225:$I$260,2,0)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VLOOKUP(F397,[1]Wait!$H$225:$I$260,2,0)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VLOOKUP(F398,[1]Wait!$H$225:$I$260,2,0)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VLOOKUP(F399,[1]Wait!$H$225:$I$260,2,0)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VLOOKUP(F400,[1]Wait!$H$225:$I$260,2,0)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VLOOKUP(F401,[1]Wait!$H$225:$I$260,2,0)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VLOOKUP(F402,[1]Wait!$H$225:$I$260,2,0)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VLOOKUP(F403,[1]Wait!$H$225:$I$260,2,0)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VLOOKUP(F404,[1]Wait!$H$225:$I$260,2,0)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VLOOKUP(F405,[1]Wait!$H$225:$I$260,2,0)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VLOOKUP(F406,[1]Wait!$H$225:$I$260,2,0)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VLOOKUP(F407,[1]Wait!$H$225:$I$260,2,0)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VLOOKUP(F408,[1]Wait!$H$225:$I$260,2,0)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VLOOKUP(F409,[1]Wait!$H$225:$I$260,2,0)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VLOOKUP(F410,[1]Wait!$H$225:$I$260,2,0)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VLOOKUP(F411,[1]Wait!$H$225:$I$260,2,0)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VLOOKUP(F412,[1]Wait!$H$225:$I$260,2,0)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VLOOKUP(F413,[1]Wait!$H$225:$I$260,2,0)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VLOOKUP(F414,[1]Wait!$H$225:$I$260,2,0)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VLOOKUP(F415,[1]Wait!$H$225:$I$260,2,0)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VLOOKUP(F416,[1]Wait!$H$225:$I$260,2,0)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VLOOKUP(F417,[1]Wait!$H$225:$I$260,2,0)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VLOOKUP(F418,[1]Wait!$H$225:$I$260,2,0)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VLOOKUP(F419,[1]Wait!$H$225:$I$260,2,0)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VLOOKUP(F420,[1]Wait!$H$225:$I$260,2,0)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VLOOKUP(F421,[1]Wait!$H$225:$I$260,2,0)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VLOOKUP(F422,[1]Wait!$H$225:$I$260,2,0)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VLOOKUP(F423,[1]Wait!$H$225:$I$260,2,0)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VLOOKUP(F424,[1]Wait!$H$225:$I$260,2,0)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VLOOKUP(F425,[1]Wait!$H$225:$I$260,2,0)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VLOOKUP(F426,[1]Wait!$H$225:$I$260,2,0)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VLOOKUP(F427,[1]Wait!$H$225:$I$260,2,0)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VLOOKUP(F428,[1]Wait!$H$225:$I$260,2,0)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VLOOKUP(F429,[1]Wait!$H$225:$I$260,2,0)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VLOOKUP(F430,[1]Wait!$H$225:$I$260,2,0)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VLOOKUP(F431,[1]Wait!$H$225:$I$260,2,0)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VLOOKUP(F432,[1]Wait!$H$225:$I$260,2,0)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VLOOKUP(F433,[1]Wait!$H$225:$I$260,2,0)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VLOOKUP(F434,[1]Wait!$H$225:$I$260,2,0)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VLOOKUP(F435,[1]Wait!$H$225:$I$260,2,0)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VLOOKUP(F436,[1]Wait!$H$225:$I$260,2,0)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VLOOKUP(F437,[1]Wait!$H$225:$I$260,2,0)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VLOOKUP(F438,[1]Wait!$H$225:$I$260,2,0)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VLOOKUP(F439,[1]Wait!$H$225:$I$260,2,0)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VLOOKUP(F440,[1]Wait!$H$225:$I$260,2,0)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VLOOKUP(F441,[1]Wait!$H$225:$I$260,2,0)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VLOOKUP(F442,[1]Wait!$H$225:$I$260,2,0)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VLOOKUP(F443,[1]Wait!$H$225:$I$260,2,0)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VLOOKUP(F444,[1]Wait!$H$225:$I$260,2,0)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VLOOKUP(F445,[1]Wait!$H$225:$I$260,2,0)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VLOOKUP(F446,[1]Wait!$H$225:$I$260,2,0)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VLOOKUP(F447,[1]Wait!$H$225:$I$260,2,0)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VLOOKUP(F448,[1]Wait!$H$225:$I$260,2,0)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VLOOKUP(F449,[1]Wait!$H$225:$I$260,2,0)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VLOOKUP(F450,[1]Wait!$H$225:$I$260,2,0)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VLOOKUP(F451,[1]Wait!$H$225:$I$260,2,0)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VLOOKUP(F452,[1]Wait!$H$225:$I$260,2,0)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VLOOKUP(F453,[1]Wait!$H$225:$I$260,2,0)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VLOOKUP(F454,[1]Wait!$H$225:$I$260,2,0)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VLOOKUP(F455,[1]Wait!$H$225:$I$260,2,0)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VLOOKUP(F456,[1]Wait!$H$225:$I$260,2,0)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VLOOKUP(F457,[1]Wait!$H$225:$I$260,2,0)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VLOOKUP(F458,[1]Wait!$H$225:$I$260,2,0)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VLOOKUP(F459,[1]Wait!$H$225:$I$260,2,0)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VLOOKUP(F460,[1]Wait!$H$225:$I$260,2,0)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VLOOKUP(F461,[1]Wait!$H$225:$I$260,2,0)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VLOOKUP(F462,[1]Wait!$H$225:$I$260,2,0)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VLOOKUP(F463,[1]Wait!$H$225:$I$260,2,0)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VLOOKUP(F464,[1]Wait!$H$225:$I$260,2,0)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VLOOKUP(F465,[1]Wait!$H$225:$I$260,2,0)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VLOOKUP(F466,[1]Wait!$H$225:$I$260,2,0)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VLOOKUP(F467,[1]Wait!$H$225:$I$260,2,0)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VLOOKUP(F468,[1]Wait!$H$225:$I$260,2,0)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VLOOKUP(F469,[1]Wait!$H$225:$I$260,2,0)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VLOOKUP(F470,[1]Wait!$H$225:$I$260,2,0)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VLOOKUP(F471,[1]Wait!$H$225:$I$260,2,0)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VLOOKUP(F472,[1]Wait!$H$225:$I$260,2,0)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VLOOKUP(F473,[1]Wait!$H$225:$I$260,2,0)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VLOOKUP(F474,[1]Wait!$H$225:$I$260,2,0)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VLOOKUP(F475,[1]Wait!$H$225:$I$260,2,0)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VLOOKUP(F476,[1]Wait!$H$225:$I$260,2,0)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VLOOKUP(F477,[1]Wait!$H$225:$I$260,2,0)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VLOOKUP(F478,[1]Wait!$H$225:$I$260,2,0)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VLOOKUP(F479,[1]Wait!$H$225:$I$260,2,0)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VLOOKUP(F480,[1]Wait!$H$225:$I$260,2,0)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VLOOKUP(F481,[1]Wait!$H$225:$I$260,2,0)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VLOOKUP(F482,[1]Wait!$H$225:$I$260,2,0)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VLOOKUP(F483,[1]Wait!$H$225:$I$260,2,0)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VLOOKUP(F484,[1]Wait!$H$225:$I$260,2,0)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VLOOKUP(F485,[1]Wait!$H$225:$I$260,2,0)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VLOOKUP(F486,[1]Wait!$H$225:$I$260,2,0)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VLOOKUP(F487,[1]Wait!$H$225:$I$260,2,0)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VLOOKUP(F488,[1]Wait!$H$225:$I$260,2,0)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VLOOKUP(F489,[1]Wait!$H$225:$I$260,2,0)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VLOOKUP(F490,[1]Wait!$H$225:$I$260,2,0)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VLOOKUP(F491,[1]Wait!$H$225:$I$260,2,0)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VLOOKUP(F492,[1]Wait!$H$225:$I$260,2,0)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VLOOKUP(F493,[1]Wait!$H$225:$I$260,2,0)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VLOOKUP(F494,[1]Wait!$H$225:$I$260,2,0)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VLOOKUP(F495,[1]Wait!$H$225:$I$260,2,0)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VLOOKUP(F496,[1]Wait!$H$225:$I$260,2,0)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VLOOKUP(F497,[1]Wait!$H$225:$I$260,2,0)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VLOOKUP(F498,[1]Wait!$H$225:$I$260,2,0)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VLOOKUP(F499,[1]Wait!$H$225:$I$260,2,0)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VLOOKUP(F500,[1]Wait!$H$225:$I$260,2,0)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VLOOKUP(F501,[1]Wait!$H$225:$I$260,2,0)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VLOOKUP(F502,[1]Wait!$H$225:$I$260,2,0)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VLOOKUP(F503,[1]Wait!$H$225:$I$260,2,0)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VLOOKUP(F504,[1]Wait!$H$225:$I$260,2,0)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VLOOKUP(F505,[1]Wait!$H$225:$I$260,2,0)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VLOOKUP(F506,[1]Wait!$H$225:$I$260,2,0)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VLOOKUP(F507,[1]Wait!$H$225:$I$260,2,0)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VLOOKUP(F508,[1]Wait!$H$225:$I$260,2,0)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VLOOKUP(F509,[1]Wait!$H$225:$I$260,2,0)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VLOOKUP(F510,[1]Wait!$H$225:$I$260,2,0)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VLOOKUP(F511,[1]Wait!$H$225:$I$260,2,0)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VLOOKUP(F512,[1]Wait!$H$225:$I$260,2,0)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VLOOKUP(F513,[1]Wait!$H$225:$I$260,2,0)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VLOOKUP(F514,[1]Wait!$H$225:$I$260,2,0)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VLOOKUP(F515,[1]Wait!$H$225:$I$260,2,0)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VLOOKUP(F516,[1]Wait!$H$225:$I$260,2,0)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VLOOKUP(F517,[1]Wait!$H$225:$I$260,2,0)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VLOOKUP(F518,[1]Wait!$H$225:$I$260,2,0)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VLOOKUP(F519,[1]Wait!$H$225:$I$260,2,0)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VLOOKUP(F520,[1]Wait!$H$225:$I$260,2,0)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VLOOKUP(F521,[1]Wait!$H$225:$I$260,2,0)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VLOOKUP(F522,[1]Wait!$H$225:$I$260,2,0)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VLOOKUP(F523,[1]Wait!$H$225:$I$260,2,0)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VLOOKUP(F524,[1]Wait!$H$225:$I$260,2,0)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VLOOKUP(F525,[1]Wait!$H$225:$I$260,2,0)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VLOOKUP(F526,[1]Wait!$H$225:$I$260,2,0)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VLOOKUP(F527,[1]Wait!$H$225:$I$260,2,0)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VLOOKUP(F528,[1]Wait!$H$225:$I$260,2,0)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VLOOKUP(F529,[1]Wait!$H$225:$I$260,2,0)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VLOOKUP(F530,[1]Wait!$H$225:$I$260,2,0)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VLOOKUP(F531,[1]Wait!$H$225:$I$260,2,0)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VLOOKUP(F532,[1]Wait!$H$225:$I$260,2,0)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VLOOKUP(F533,[1]Wait!$H$225:$I$260,2,0)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VLOOKUP(F534,[1]Wait!$H$225:$I$260,2,0)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VLOOKUP(F535,[1]Wait!$H$225:$I$260,2,0)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VLOOKUP(F536,[1]Wait!$H$225:$I$260,2,0)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VLOOKUP(F537,[1]Wait!$H$225:$I$260,2,0)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VLOOKUP(F538,[1]Wait!$H$225:$I$260,2,0)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VLOOKUP(F539,[1]Wait!$H$225:$I$260,2,0)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VLOOKUP(F540,[1]Wait!$H$225:$I$260,2,0)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VLOOKUP(F541,[1]Wait!$H$225:$I$260,2,0)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VLOOKUP(F542,[1]Wait!$H$225:$I$260,2,0)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VLOOKUP(F543,[1]Wait!$H$225:$I$260,2,0)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VLOOKUP(F544,[1]Wait!$H$225:$I$260,2,0)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VLOOKUP(F545,[1]Wait!$H$225:$I$260,2,0)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VLOOKUP(F546,[1]Wait!$H$225:$I$260,2,0)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VLOOKUP(F547,[1]Wait!$H$225:$I$260,2,0)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VLOOKUP(F548,[1]Wait!$H$225:$I$260,2,0)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VLOOKUP(F549,[1]Wait!$H$225:$I$260,2,0)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VLOOKUP(F550,[1]Wait!$H$225:$I$260,2,0)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VLOOKUP(F551,[1]Wait!$H$225:$I$260,2,0)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VLOOKUP(F552,[1]Wait!$H$225:$I$260,2,0)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VLOOKUP(F553,[1]Wait!$H$225:$I$260,2,0)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VLOOKUP(F554,[1]Wait!$H$225:$I$260,2,0)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VLOOKUP(F555,[1]Wait!$H$225:$I$260,2,0)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VLOOKUP(F556,[1]Wait!$H$225:$I$260,2,0)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VLOOKUP(F557,[1]Wait!$H$225:$I$260,2,0)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VLOOKUP(F558,[1]Wait!$H$225:$I$260,2,0)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VLOOKUP(F559,[1]Wait!$H$225:$I$260,2,0)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VLOOKUP(F560,[1]Wait!$H$225:$I$260,2,0)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VLOOKUP(F561,[1]Wait!$H$225:$I$260,2,0)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VLOOKUP(F562,[1]Wait!$H$225:$I$260,2,0)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VLOOKUP(F563,[1]Wait!$H$225:$I$260,2,0)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VLOOKUP(F564,[1]Wait!$H$225:$I$260,2,0)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VLOOKUP(F565,[1]Wait!$H$225:$I$260,2,0)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VLOOKUP(F566,[1]Wait!$H$225:$I$260,2,0)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VLOOKUP(F567,[1]Wait!$H$225:$I$260,2,0)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VLOOKUP(F568,[1]Wait!$H$225:$I$260,2,0)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VLOOKUP(F569,[1]Wait!$H$225:$I$260,2,0)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VLOOKUP(F570,[1]Wait!$H$225:$I$260,2,0)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VLOOKUP(F571,[1]Wait!$H$225:$I$260,2,0)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VLOOKUP(F572,[1]Wait!$H$225:$I$260,2,0)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VLOOKUP(F573,[1]Wait!$H$225:$I$260,2,0)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VLOOKUP(F574,[1]Wait!$H$225:$I$260,2,0)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VLOOKUP(F575,[1]Wait!$H$225:$I$260,2,0)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VLOOKUP(F576,[1]Wait!$H$225:$I$260,2,0)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VLOOKUP(F577,[1]Wait!$H$225:$I$260,2,0)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VLOOKUP(F578,[1]Wait!$H$225:$I$260,2,0)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VLOOKUP(F579,[1]Wait!$H$225:$I$260,2,0)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VLOOKUP(F580,[1]Wait!$H$225:$I$260,2,0)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VLOOKUP(F581,[1]Wait!$H$225:$I$260,2,0)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VLOOKUP(F582,[1]Wait!$H$225:$I$260,2,0)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VLOOKUP(F583,[1]Wait!$H$225:$I$260,2,0)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VLOOKUP(F584,[1]Wait!$H$225:$I$260,2,0)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VLOOKUP(F585,[1]Wait!$H$225:$I$260,2,0)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VLOOKUP(F586,[1]Wait!$H$225:$I$260,2,0)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VLOOKUP(F587,[1]Wait!$H$225:$I$260,2,0)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VLOOKUP(F588,[1]Wait!$H$225:$I$260,2,0)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VLOOKUP(F589,[1]Wait!$H$225:$I$260,2,0)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VLOOKUP(F590,[1]Wait!$H$225:$I$260,2,0)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VLOOKUP(F591,[1]Wait!$H$225:$I$260,2,0)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VLOOKUP(F592,[1]Wait!$H$225:$I$260,2,0)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VLOOKUP(F593,[1]Wait!$H$225:$I$260,2,0)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VLOOKUP(F594,[1]Wait!$H$225:$I$260,2,0)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VLOOKUP(F595,[1]Wait!$H$225:$I$260,2,0)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VLOOKUP(F596,[1]Wait!$H$225:$I$260,2,0)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VLOOKUP(F597,[1]Wait!$H$225:$I$260,2,0)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VLOOKUP(F598,[1]Wait!$H$225:$I$260,2,0)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VLOOKUP(F599,[1]Wait!$H$225:$I$260,2,0)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VLOOKUP(F600,[1]Wait!$H$225:$I$260,2,0)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VLOOKUP(F601,[1]Wait!$H$225:$I$260,2,0)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VLOOKUP(F602,[1]Wait!$H$225:$I$260,2,0)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VLOOKUP(F603,[1]Wait!$H$225:$I$260,2,0)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VLOOKUP(F604,[1]Wait!$H$225:$I$260,2,0)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VLOOKUP(F605,[1]Wait!$H$225:$I$260,2,0)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VLOOKUP(F606,[1]Wait!$H$225:$I$260,2,0)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VLOOKUP(F607,[1]Wait!$H$225:$I$260,2,0)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VLOOKUP(F608,[1]Wait!$H$225:$I$260,2,0)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VLOOKUP(F609,[1]Wait!$H$225:$I$260,2,0)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VLOOKUP(F610,[1]Wait!$H$225:$I$260,2,0)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VLOOKUP(F611,[1]Wait!$H$225:$I$260,2,0)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VLOOKUP(F612,[1]Wait!$H$225:$I$260,2,0)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VLOOKUP(F613,[1]Wait!$H$225:$I$260,2,0)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VLOOKUP(F614,[1]Wait!$H$225:$I$260,2,0)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VLOOKUP(F615,[1]Wait!$H$225:$I$260,2,0)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VLOOKUP(F616,[1]Wait!$H$225:$I$260,2,0)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VLOOKUP(F617,[1]Wait!$H$225:$I$260,2,0)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VLOOKUP(F618,[1]Wait!$H$225:$I$260,2,0)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VLOOKUP(F619,[1]Wait!$H$225:$I$260,2,0)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VLOOKUP(F620,[1]Wait!$H$225:$I$260,2,0)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VLOOKUP(F621,[1]Wait!$H$225:$I$260,2,0)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VLOOKUP(F622,[1]Wait!$H$225:$I$260,2,0)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VLOOKUP(F623,[1]Wait!$H$225:$I$260,2,0)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VLOOKUP(F624,[1]Wait!$H$225:$I$260,2,0)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VLOOKUP(F625,[1]Wait!$H$225:$I$260,2,0)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VLOOKUP(F626,[1]Wait!$H$225:$I$260,2,0)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VLOOKUP(F627,[1]Wait!$H$225:$I$260,2,0)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VLOOKUP(F628,[1]Wait!$H$225:$I$260,2,0)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VLOOKUP(F629,[1]Wait!$H$225:$I$260,2,0)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VLOOKUP(F630,[1]Wait!$H$225:$I$260,2,0)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VLOOKUP(F631,[1]Wait!$H$225:$I$260,2,0)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VLOOKUP(F632,[1]Wait!$H$225:$I$260,2,0)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VLOOKUP(F633,[1]Wait!$H$225:$I$260,2,0)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VLOOKUP(F634,[1]Wait!$H$225:$I$260,2,0)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VLOOKUP(F635,[1]Wait!$H$225:$I$260,2,0)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VLOOKUP(F636,[1]Wait!$H$225:$I$260,2,0)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VLOOKUP(F637,[1]Wait!$H$225:$I$260,2,0)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VLOOKUP(F638,[1]Wait!$H$225:$I$260,2,0)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VLOOKUP(F639,[1]Wait!$H$225:$I$260,2,0)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VLOOKUP(F640,[1]Wait!$H$225:$I$260,2,0)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VLOOKUP(F641,[1]Wait!$H$225:$I$260,2,0)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VLOOKUP(F642,[1]Wait!$H$225:$I$260,2,0)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VLOOKUP(F643,[1]Wait!$H$225:$I$260,2,0)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VLOOKUP(F644,[1]Wait!$H$225:$I$260,2,0)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VLOOKUP(F645,[1]Wait!$H$225:$I$260,2,0)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VLOOKUP(F646,[1]Wait!$H$225:$I$260,2,0)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VLOOKUP(F647,[1]Wait!$H$225:$I$260,2,0)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VLOOKUP(F648,[1]Wait!$H$225:$I$260,2,0)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VLOOKUP(F649,[1]Wait!$H$225:$I$260,2,0)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VLOOKUP(F650,[1]Wait!$H$225:$I$260,2,0)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VLOOKUP(F651,[1]Wait!$H$225:$I$260,2,0)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VLOOKUP(F652,[1]Wait!$H$225:$I$260,2,0)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VLOOKUP(F653,[1]Wait!$H$225:$I$260,2,0)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VLOOKUP(F654,[1]Wait!$H$225:$I$260,2,0)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VLOOKUP(F655,[1]Wait!$H$225:$I$260,2,0)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VLOOKUP(F656,[1]Wait!$H$225:$I$260,2,0)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VLOOKUP(F657,[1]Wait!$H$225:$I$260,2,0)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VLOOKUP(F658,[1]Wait!$H$225:$I$260,2,0)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VLOOKUP(F659,[1]Wait!$H$225:$I$260,2,0)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VLOOKUP(F660,[1]Wait!$H$225:$I$260,2,0)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VLOOKUP(F661,[1]Wait!$H$225:$I$260,2,0)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VLOOKUP(F662,[1]Wait!$H$225:$I$260,2,0)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VLOOKUP(F663,[1]Wait!$H$225:$I$260,2,0)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VLOOKUP(F664,[1]Wait!$H$225:$I$260,2,0)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VLOOKUP(F665,[1]Wait!$H$225:$I$260,2,0)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VLOOKUP(F666,[1]Wait!$H$225:$I$260,2,0)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VLOOKUP(F667,[1]Wait!$H$225:$I$260,2,0)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VLOOKUP(F668,[1]Wait!$H$225:$I$260,2,0)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VLOOKUP(F669,[1]Wait!$H$225:$I$260,2,0)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VLOOKUP(F670,[1]Wait!$H$225:$I$260,2,0)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VLOOKUP(F671,[1]Wait!$H$225:$I$260,2,0)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VLOOKUP(F672,[1]Wait!$H$225:$I$260,2,0)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VLOOKUP(F673,[1]Wait!$H$225:$I$260,2,0)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VLOOKUP(F674,[1]Wait!$H$225:$I$260,2,0)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VLOOKUP(F675,[1]Wait!$H$225:$I$260,2,0)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VLOOKUP(F676,[1]Wait!$H$225:$I$260,2,0)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VLOOKUP(F677,[1]Wait!$H$225:$I$260,2,0)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VLOOKUP(F678,[1]Wait!$H$225:$I$260,2,0)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VLOOKUP(F679,[1]Wait!$H$225:$I$260,2,0)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VLOOKUP(F680,[1]Wait!$H$225:$I$260,2,0)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VLOOKUP(F681,[1]Wait!$H$225:$I$260,2,0)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VLOOKUP(F682,[1]Wait!$H$225:$I$260,2,0)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VLOOKUP(F683,[1]Wait!$H$225:$I$260,2,0)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VLOOKUP(F684,[1]Wait!$H$225:$I$260,2,0)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VLOOKUP(F685,[1]Wait!$H$225:$I$260,2,0)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VLOOKUP(F686,[1]Wait!$H$225:$I$260,2,0)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VLOOKUP(F687,[1]Wait!$H$225:$I$260,2,0)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VLOOKUP(F688,[1]Wait!$H$225:$I$260,2,0)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VLOOKUP(F689,[1]Wait!$H$225:$I$260,2,0)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VLOOKUP(F690,[1]Wait!$H$225:$I$260,2,0)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VLOOKUP(F691,[1]Wait!$H$225:$I$260,2,0)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VLOOKUP(F692,[1]Wait!$H$225:$I$260,2,0)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VLOOKUP(F693,[1]Wait!$H$225:$I$260,2,0)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VLOOKUP(F694,[1]Wait!$H$225:$I$260,2,0)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VLOOKUP(F695,[1]Wait!$H$225:$I$260,2,0)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VLOOKUP(F696,[1]Wait!$H$225:$I$260,2,0)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VLOOKUP(F697,[1]Wait!$H$225:$I$260,2,0)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VLOOKUP(F698,[1]Wait!$H$225:$I$260,2,0)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VLOOKUP(F699,[1]Wait!$H$225:$I$260,2,0)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VLOOKUP(F700,[1]Wait!$H$225:$I$260,2,0)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VLOOKUP(F701,[1]Wait!$H$225:$I$260,2,0)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VLOOKUP(F702,[1]Wait!$H$225:$I$260,2,0)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VLOOKUP(F703,[1]Wait!$H$225:$I$260,2,0)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VLOOKUP(F704,[1]Wait!$H$225:$I$260,2,0)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VLOOKUP(F705,[1]Wait!$H$225:$I$260,2,0)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VLOOKUP(F706,[1]Wait!$H$225:$I$260,2,0)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VLOOKUP(F707,[1]Wait!$H$225:$I$260,2,0)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VLOOKUP(F708,[1]Wait!$H$225:$I$260,2,0)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VLOOKUP(F709,[1]Wait!$H$225:$I$260,2,0)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VLOOKUP(F710,[1]Wait!$H$225:$I$260,2,0)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VLOOKUP(F711,[1]Wait!$H$225:$I$260,2,0)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VLOOKUP(F712,[1]Wait!$H$225:$I$260,2,0)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VLOOKUP(F713,[1]Wait!$H$225:$I$260,2,0)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VLOOKUP(F714,[1]Wait!$H$225:$I$260,2,0)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VLOOKUP(F715,[1]Wait!$H$225:$I$260,2,0)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VLOOKUP(F716,[1]Wait!$H$225:$I$260,2,0)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VLOOKUP(F717,[1]Wait!$H$225:$I$260,2,0)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VLOOKUP(F718,[1]Wait!$H$225:$I$260,2,0)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VLOOKUP(F719,[1]Wait!$H$225:$I$260,2,0)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VLOOKUP(F720,[1]Wait!$H$225:$I$260,2,0)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VLOOKUP(F721,[1]Wait!$H$225:$I$260,2,0)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VLOOKUP(F722,[1]Wait!$H$225:$I$260,2,0)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VLOOKUP(F723,[1]Wait!$H$225:$I$260,2,0)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VLOOKUP(F724,[1]Wait!$H$225:$I$260,2,0)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VLOOKUP(F725,[1]Wait!$H$225:$I$260,2,0)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VLOOKUP(F726,[1]Wait!$H$225:$I$260,2,0)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VLOOKUP(F727,[1]Wait!$H$225:$I$260,2,0)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VLOOKUP(F728,[1]Wait!$H$225:$I$260,2,0)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VLOOKUP(F729,[1]Wait!$H$225:$I$260,2,0)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VLOOKUP(F730,[1]Wait!$H$225:$I$260,2,0)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VLOOKUP(F731,[1]Wait!$H$225:$I$260,2,0)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VLOOKUP(F732,[1]Wait!$H$225:$I$260,2,0)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VLOOKUP(F733,[1]Wait!$H$225:$I$260,2,0)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VLOOKUP(F734,[1]Wait!$H$225:$I$260,2,0)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VLOOKUP(F735,[1]Wait!$H$225:$I$260,2,0)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VLOOKUP(F736,[1]Wait!$H$225:$I$260,2,0)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VLOOKUP(F737,[1]Wait!$H$225:$I$260,2,0)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VLOOKUP(F738,[1]Wait!$H$225:$I$260,2,0)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VLOOKUP(F739,[1]Wait!$H$225:$I$260,2,0)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VLOOKUP(F740,[1]Wait!$H$225:$I$260,2,0)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VLOOKUP(F741,[1]Wait!$H$225:$I$260,2,0)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VLOOKUP(F742,[1]Wait!$H$225:$I$260,2,0)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VLOOKUP(F743,[1]Wait!$H$225:$I$260,2,0)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VLOOKUP(F744,[1]Wait!$H$225:$I$260,2,0)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VLOOKUP(F745,[1]Wait!$H$225:$I$260,2,0)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VLOOKUP(F746,[1]Wait!$H$225:$I$260,2,0)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VLOOKUP(F747,[1]Wait!$H$225:$I$260,2,0)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VLOOKUP(F748,[1]Wait!$H$225:$I$260,2,0)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VLOOKUP(F749,[1]Wait!$H$225:$I$260,2,0)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VLOOKUP(F750,[1]Wait!$H$225:$I$260,2,0)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VLOOKUP(F751,[1]Wait!$H$225:$I$260,2,0)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VLOOKUP(F752,[1]Wait!$H$225:$I$260,2,0)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VLOOKUP(F753,[1]Wait!$H$225:$I$260,2,0)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VLOOKUP(F754,[1]Wait!$H$225:$I$260,2,0)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VLOOKUP(F755,[1]Wait!$H$225:$I$260,2,0)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VLOOKUP(F756,[1]Wait!$H$225:$I$260,2,0)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VLOOKUP(F757,[1]Wait!$H$225:$I$260,2,0)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VLOOKUP(F758,[1]Wait!$H$225:$I$260,2,0)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VLOOKUP(F759,[1]Wait!$H$225:$I$260,2,0)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VLOOKUP(F760,[1]Wait!$H$225:$I$260,2,0)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VLOOKUP(F761,[1]Wait!$H$225:$I$260,2,0)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VLOOKUP(F762,[1]Wait!$H$225:$I$260,2,0)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VLOOKUP(F763,[1]Wait!$H$225:$I$260,2,0)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VLOOKUP(F764,[1]Wait!$H$225:$I$260,2,0)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VLOOKUP(F765,[1]Wait!$H$225:$I$260,2,0)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VLOOKUP(F766,[1]Wait!$H$225:$I$260,2,0)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VLOOKUP(F767,[1]Wait!$H$225:$I$260,2,0)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VLOOKUP(F768,[1]Wait!$H$225:$I$260,2,0)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VLOOKUP(F769,[1]Wait!$H$225:$I$260,2,0)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VLOOKUP(F770,[1]Wait!$H$225:$I$260,2,0)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VLOOKUP(F771,[1]Wait!$H$225:$I$260,2,0)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VLOOKUP(F772,[1]Wait!$H$225:$I$260,2,0)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VLOOKUP(F773,[1]Wait!$H$225:$I$260,2,0)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VLOOKUP(F774,[1]Wait!$H$225:$I$260,2,0)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VLOOKUP(F775,[1]Wait!$H$225:$I$260,2,0)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VLOOKUP(F776,[1]Wait!$H$225:$I$260,2,0)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VLOOKUP(F777,[1]Wait!$H$225:$I$260,2,0)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VLOOKUP(F778,[1]Wait!$H$225:$I$260,2,0)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VLOOKUP(F779,[1]Wait!$H$225:$I$260,2,0)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VLOOKUP(F780,[1]Wait!$H$225:$I$260,2,0)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VLOOKUP(F781,[1]Wait!$H$225:$I$260,2,0)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VLOOKUP(F782,[1]Wait!$H$225:$I$260,2,0)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VLOOKUP(F783,[1]Wait!$H$225:$I$260,2,0)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VLOOKUP(F784,[1]Wait!$H$225:$I$260,2,0)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VLOOKUP(F785,[1]Wait!$H$225:$I$260,2,0)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VLOOKUP(F786,[1]Wait!$H$225:$I$260,2,0)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VLOOKUP(F787,[1]Wait!$H$225:$I$260,2,0)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VLOOKUP(F788,[1]Wait!$H$225:$I$260,2,0)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VLOOKUP(F789,[1]Wait!$H$225:$I$260,2,0)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VLOOKUP(F790,[1]Wait!$H$225:$I$260,2,0)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VLOOKUP(F791,[1]Wait!$H$225:$I$260,2,0)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VLOOKUP(F792,[1]Wait!$H$225:$I$260,2,0)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VLOOKUP(F793,[1]Wait!$H$225:$I$260,2,0)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VLOOKUP(F794,[1]Wait!$H$225:$I$260,2,0)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VLOOKUP(F795,[1]Wait!$H$225:$I$260,2,0)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VLOOKUP(F796,[1]Wait!$H$225:$I$260,2,0)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VLOOKUP(F797,[1]Wait!$H$225:$I$260,2,0)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VLOOKUP(F798,[1]Wait!$H$225:$I$260,2,0)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VLOOKUP(F799,[1]Wait!$H$225:$I$260,2,0)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VLOOKUP(F800,[1]Wait!$H$225:$I$260,2,0)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VLOOKUP(F801,[1]Wait!$H$225:$I$260,2,0)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VLOOKUP(F802,[1]Wait!$H$225:$I$260,2,0)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VLOOKUP(F803,[1]Wait!$H$225:$I$260,2,0)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VLOOKUP(F804,[1]Wait!$H$225:$I$260,2,0)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VLOOKUP(F805,[1]Wait!$H$225:$I$260,2,0)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VLOOKUP(F806,[1]Wait!$H$225:$I$260,2,0)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VLOOKUP(F807,[1]Wait!$H$225:$I$260,2,0)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VLOOKUP(F808,[1]Wait!$H$225:$I$260,2,0)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VLOOKUP(F809,[1]Wait!$H$225:$I$260,2,0)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VLOOKUP(F810,[1]Wait!$H$225:$I$260,2,0)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VLOOKUP(F811,[1]Wait!$H$225:$I$260,2,0)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VLOOKUP(F812,[1]Wait!$H$225:$I$260,2,0)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VLOOKUP(F813,[1]Wait!$H$225:$I$260,2,0)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VLOOKUP(F814,[1]Wait!$H$225:$I$260,2,0)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VLOOKUP(F815,[1]Wait!$H$225:$I$260,2,0)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VLOOKUP(F816,[1]Wait!$H$225:$I$260,2,0)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VLOOKUP(F817,[1]Wait!$H$225:$I$260,2,0)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VLOOKUP(F818,[1]Wait!$H$225:$I$260,2,0)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VLOOKUP(F819,[1]Wait!$H$225:$I$260,2,0)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VLOOKUP(F820,[1]Wait!$H$225:$I$260,2,0)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VLOOKUP(F821,[1]Wait!$H$225:$I$260,2,0)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VLOOKUP(F822,[1]Wait!$H$225:$I$260,2,0)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VLOOKUP(F823,[1]Wait!$H$225:$I$260,2,0)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VLOOKUP(F824,[1]Wait!$H$225:$I$260,2,0)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VLOOKUP(F825,[1]Wait!$H$225:$I$260,2,0)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VLOOKUP(F826,[1]Wait!$H$225:$I$260,2,0)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VLOOKUP(F827,[1]Wait!$H$225:$I$260,2,0)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VLOOKUP(F828,[1]Wait!$H$225:$I$260,2,0)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VLOOKUP(F829,[1]Wait!$H$225:$I$260,2,0)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VLOOKUP(F830,[1]Wait!$H$225:$I$260,2,0)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VLOOKUP(F831,[1]Wait!$H$225:$I$260,2,0)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VLOOKUP(F832,[1]Wait!$H$225:$I$260,2,0)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VLOOKUP(F833,[1]Wait!$H$225:$I$260,2,0)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VLOOKUP(F834,[1]Wait!$H$225:$I$260,2,0)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VLOOKUP(F835,[1]Wait!$H$225:$I$260,2,0)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VLOOKUP(F836,[1]Wait!$H$225:$I$260,2,0)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VLOOKUP(F837,[1]Wait!$H$225:$I$260,2,0)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VLOOKUP(F838,[1]Wait!$H$225:$I$260,2,0)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VLOOKUP(F839,[1]Wait!$H$225:$I$260,2,0)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VLOOKUP(F840,[1]Wait!$H$225:$I$260,2,0)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VLOOKUP(F841,[1]Wait!$H$225:$I$260,2,0)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VLOOKUP(F842,[1]Wait!$H$225:$I$260,2,0)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VLOOKUP(F843,[1]Wait!$H$225:$I$260,2,0)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VLOOKUP(F844,[1]Wait!$H$225:$I$260,2,0)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VLOOKUP(F845,[1]Wait!$H$225:$I$260,2,0)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VLOOKUP(F846,[1]Wait!$H$225:$I$260,2,0)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VLOOKUP(F847,[1]Wait!$H$225:$I$260,2,0)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VLOOKUP(F848,[1]Wait!$H$225:$I$260,2,0)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VLOOKUP(F849,[1]Wait!$H$225:$I$260,2,0)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VLOOKUP(F850,[1]Wait!$H$225:$I$260,2,0)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VLOOKUP(F851,[1]Wait!$H$225:$I$260,2,0)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VLOOKUP(F852,[1]Wait!$H$225:$I$260,2,0)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VLOOKUP(F853,[1]Wait!$H$225:$I$260,2,0)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VLOOKUP(F854,[1]Wait!$H$225:$I$260,2,0)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VLOOKUP(F855,[1]Wait!$H$225:$I$260,2,0)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VLOOKUP(F856,[1]Wait!$H$225:$I$260,2,0)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VLOOKUP(F857,[1]Wait!$H$225:$I$260,2,0)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VLOOKUP(F858,[1]Wait!$H$225:$I$260,2,0)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VLOOKUP(F859,[1]Wait!$H$225:$I$260,2,0)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VLOOKUP(F860,[1]Wait!$H$225:$I$260,2,0)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VLOOKUP(F861,[1]Wait!$H$225:$I$260,2,0)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VLOOKUP(F862,[1]Wait!$H$225:$I$260,2,0)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VLOOKUP(F863,[1]Wait!$H$225:$I$260,2,0)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VLOOKUP(F864,[1]Wait!$H$225:$I$260,2,0)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VLOOKUP(F865,[1]Wait!$H$225:$I$260,2,0)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VLOOKUP(F866,[1]Wait!$H$225:$I$260,2,0)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VLOOKUP(F867,[1]Wait!$H$225:$I$260,2,0)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VLOOKUP(F868,[1]Wait!$H$225:$I$260,2,0)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VLOOKUP(F869,[1]Wait!$H$225:$I$260,2,0)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VLOOKUP(F870,[1]Wait!$H$225:$I$260,2,0)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VLOOKUP(F871,[1]Wait!$H$225:$I$260,2,0)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VLOOKUP(F872,[1]Wait!$H$225:$I$260,2,0)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VLOOKUP(F873,[1]Wait!$H$225:$I$260,2,0)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VLOOKUP(F874,[1]Wait!$H$225:$I$260,2,0)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VLOOKUP(F875,[1]Wait!$H$225:$I$260,2,0)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VLOOKUP(F876,[1]Wait!$H$225:$I$260,2,0)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VLOOKUP(F877,[1]Wait!$H$225:$I$260,2,0)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VLOOKUP(F878,[1]Wait!$H$225:$I$260,2,0)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VLOOKUP(F879,[1]Wait!$H$225:$I$260,2,0)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VLOOKUP(F880,[1]Wait!$H$225:$I$260,2,0)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VLOOKUP(F881,[1]Wait!$H$225:$I$260,2,0)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VLOOKUP(F882,[1]Wait!$H$225:$I$260,2,0)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VLOOKUP(F883,[1]Wait!$H$225:$I$260,2,0)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VLOOKUP(F884,[1]Wait!$H$225:$I$260,2,0)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VLOOKUP(F885,[1]Wait!$H$225:$I$260,2,0)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VLOOKUP(F886,[1]Wait!$H$225:$I$260,2,0)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VLOOKUP(F887,[1]Wait!$H$225:$I$260,2,0)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VLOOKUP(F888,[1]Wait!$H$225:$I$260,2,0)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VLOOKUP(F889,[1]Wait!$H$225:$I$260,2,0)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VLOOKUP(F890,[1]Wait!$H$225:$I$260,2,0)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VLOOKUP(F891,[1]Wait!$H$225:$I$260,2,0)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VLOOKUP(F892,[1]Wait!$H$225:$I$260,2,0)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VLOOKUP(F893,[1]Wait!$H$225:$I$260,2,0)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VLOOKUP(F894,[1]Wait!$H$225:$I$260,2,0)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VLOOKUP(F895,[1]Wait!$H$225:$I$260,2,0)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VLOOKUP(F896,[1]Wait!$H$225:$I$260,2,0)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VLOOKUP(F897,[1]Wait!$H$225:$I$260,2,0)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VLOOKUP(F898,[1]Wait!$H$225:$I$260,2,0)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VLOOKUP(F899,[1]Wait!$H$225:$I$260,2,0)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VLOOKUP(F900,[1]Wait!$H$225:$I$260,2,0)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VLOOKUP(F901,[1]Wait!$H$225:$I$260,2,0)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VLOOKUP(F902,[1]Wait!$H$225:$I$260,2,0)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VLOOKUP(F903,[1]Wait!$H$225:$I$260,2,0)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VLOOKUP(F904,[1]Wait!$H$225:$I$260,2,0)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VLOOKUP(F905,[1]Wait!$H$225:$I$260,2,0)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VLOOKUP(F906,[1]Wait!$H$225:$I$260,2,0)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VLOOKUP(F907,[1]Wait!$H$225:$I$260,2,0)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VLOOKUP(F908,[1]Wait!$H$225:$I$260,2,0)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VLOOKUP(F909,[1]Wait!$H$225:$I$260,2,0)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VLOOKUP(F910,[1]Wait!$H$225:$I$260,2,0)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VLOOKUP(F911,[1]Wait!$H$225:$I$260,2,0)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VLOOKUP(F912,[1]Wait!$H$225:$I$260,2,0)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VLOOKUP(F913,[1]Wait!$H$225:$I$260,2,0)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VLOOKUP(F914,[1]Wait!$H$225:$I$260,2,0)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VLOOKUP(F915,[1]Wait!$H$225:$I$260,2,0)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VLOOKUP(F916,[1]Wait!$H$225:$I$260,2,0)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VLOOKUP(F917,[1]Wait!$H$225:$I$260,2,0)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VLOOKUP(F918,[1]Wait!$H$225:$I$260,2,0)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VLOOKUP(F919,[1]Wait!$H$225:$I$260,2,0)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VLOOKUP(F920,[1]Wait!$H$225:$I$260,2,0)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VLOOKUP(F921,[1]Wait!$H$225:$I$260,2,0)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VLOOKUP(F922,[1]Wait!$H$225:$I$260,2,0)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VLOOKUP(F923,[1]Wait!$H$225:$I$260,2,0)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VLOOKUP(F924,[1]Wait!$H$225:$I$260,2,0)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VLOOKUP(F925,[1]Wait!$H$225:$I$260,2,0)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VLOOKUP(F926,[1]Wait!$H$225:$I$260,2,0)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VLOOKUP(F927,[1]Wait!$H$225:$I$260,2,0)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VLOOKUP(F928,[1]Wait!$H$225:$I$260,2,0)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VLOOKUP(F929,[1]Wait!$H$225:$I$260,2,0)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VLOOKUP(F930,[1]Wait!$H$225:$I$260,2,0)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VLOOKUP(F931,[1]Wait!$H$225:$I$260,2,0)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VLOOKUP(F932,[1]Wait!$H$225:$I$260,2,0)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VLOOKUP(F933,[1]Wait!$H$225:$I$260,2,0)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VLOOKUP(F934,[1]Wait!$H$225:$I$260,2,0)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VLOOKUP(F935,[1]Wait!$H$225:$I$260,2,0)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VLOOKUP(F936,[1]Wait!$H$225:$I$260,2,0)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VLOOKUP(F937,[1]Wait!$H$225:$I$260,2,0)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VLOOKUP(F938,[1]Wait!$H$225:$I$260,2,0)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VLOOKUP(F939,[1]Wait!$H$225:$I$260,2,0)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VLOOKUP(F940,[1]Wait!$H$225:$I$260,2,0)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VLOOKUP(F941,[1]Wait!$H$225:$I$260,2,0)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VLOOKUP(F942,[1]Wait!$H$225:$I$260,2,0)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VLOOKUP(F943,[1]Wait!$H$225:$I$260,2,0)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VLOOKUP(F944,[1]Wait!$H$225:$I$260,2,0)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VLOOKUP(F945,[1]Wait!$H$225:$I$260,2,0)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VLOOKUP(F946,[1]Wait!$H$225:$I$260,2,0)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VLOOKUP(F947,[1]Wait!$H$225:$I$260,2,0)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VLOOKUP(F948,[1]Wait!$H$225:$I$260,2,0)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VLOOKUP(F949,[1]Wait!$H$225:$I$260,2,0)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VLOOKUP(F950,[1]Wait!$H$225:$I$260,2,0)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VLOOKUP(F951,[1]Wait!$H$225:$I$260,2,0)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VLOOKUP(F952,[1]Wait!$H$225:$I$260,2,0)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VLOOKUP(F953,[1]Wait!$H$225:$I$260,2,0)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VLOOKUP(F954,[1]Wait!$H$225:$I$260,2,0)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VLOOKUP(F955,[1]Wait!$H$225:$I$260,2,0)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VLOOKUP(F956,[1]Wait!$H$225:$I$260,2,0)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VLOOKUP(F957,[1]Wait!$H$225:$I$260,2,0)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VLOOKUP(F958,[1]Wait!$H$225:$I$260,2,0)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VLOOKUP(F959,[1]Wait!$H$225:$I$260,2,0)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VLOOKUP(F960,[1]Wait!$H$225:$I$260,2,0)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VLOOKUP(F961,[1]Wait!$H$225:$I$260,2,0)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VLOOKUP(F962,[1]Wait!$H$225:$I$260,2,0)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VLOOKUP(F963,[1]Wait!$H$225:$I$260,2,0)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VLOOKUP(F964,[1]Wait!$H$225:$I$260,2,0)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VLOOKUP(F965,[1]Wait!$H$225:$I$260,2,0)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VLOOKUP(F966,[1]Wait!$H$225:$I$260,2,0)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VLOOKUP(F967,[1]Wait!$H$225:$I$260,2,0)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VLOOKUP(F968,[1]Wait!$H$225:$I$260,2,0)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VLOOKUP(F969,[1]Wait!$H$225:$I$260,2,0)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VLOOKUP(F970,[1]Wait!$H$225:$I$260,2,0)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VLOOKUP(F971,[1]Wait!$H$225:$I$260,2,0)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VLOOKUP(F972,[1]Wait!$H$225:$I$260,2,0)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VLOOKUP(F973,[1]Wait!$H$225:$I$260,2,0)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VLOOKUP(F974,[1]Wait!$H$225:$I$260,2,0)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VLOOKUP(F975,[1]Wait!$H$225:$I$260,2,0)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VLOOKUP(F976,[1]Wait!$H$225:$I$260,2,0)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VLOOKUP(F977,[1]Wait!$H$225:$I$260,2,0)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VLOOKUP(F978,[1]Wait!$H$225:$I$260,2,0)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VLOOKUP(F979,[1]Wait!$H$225:$I$260,2,0)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VLOOKUP(F980,[1]Wait!$H$225:$I$260,2,0)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VLOOKUP(F981,[1]Wait!$H$225:$I$260,2,0)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VLOOKUP(F982,[1]Wait!$H$225:$I$260,2,0)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VLOOKUP(F983,[1]Wait!$H$225:$I$260,2,0)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VLOOKUP(F984,[1]Wait!$H$225:$I$260,2,0)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VLOOKUP(F985,[1]Wait!$H$225:$I$260,2,0)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VLOOKUP(F986,[1]Wait!$H$225:$I$260,2,0)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VLOOKUP(F987,[1]Wait!$H$225:$I$260,2,0)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VLOOKUP(F988,[1]Wait!$H$225:$I$260,2,0)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VLOOKUP(F989,[1]Wait!$H$225:$I$260,2,0)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VLOOKUP(F990,[1]Wait!$H$225:$I$260,2,0)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VLOOKUP(F991,[1]Wait!$H$225:$I$260,2,0)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VLOOKUP(F992,[1]Wait!$H$225:$I$260,2,0)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VLOOKUP(F993,[1]Wait!$H$225:$I$260,2,0)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VLOOKUP(F994,[1]Wait!$H$225:$I$260,2,0)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VLOOKUP(F995,[1]Wait!$H$225:$I$260,2,0)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VLOOKUP(F996,[1]Wait!$H$225:$I$260,2,0)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VLOOKUP(F997,[1]Wait!$H$225:$I$260,2,0)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VLOOKUP(F998,[1]Wait!$H$225:$I$260,2,0)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VLOOKUP(F999,[1]Wait!$H$225:$I$260,2,0)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VLOOKUP(F1000,[1]Wait!$H$225:$I$260,2,0)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VLOOKUP(F1001,[1]Wait!$H$225:$I$260,2,0)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VLOOKUP(F1002,[1]Wait!$H$225:$I$260,2,0)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VLOOKUP(F1003,[1]Wait!$H$225:$I$260,2,0)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VLOOKUP(F1004,[1]Wait!$H$225:$I$260,2,0)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VLOOKUP(F1005,[1]Wait!$H$225:$I$260,2,0)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VLOOKUP(F1006,[1]Wait!$H$225:$I$260,2,0)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VLOOKUP(F1007,[1]Wait!$H$225:$I$260,2,0)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VLOOKUP(F1008,[1]Wait!$H$225:$I$260,2,0)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VLOOKUP(F1009,[1]Wait!$H$225:$I$260,2,0)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VLOOKUP(F1010,[1]Wait!$H$225:$I$260,2,0)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VLOOKUP(F1011,[1]Wait!$H$225:$I$260,2,0)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VLOOKUP(F1012,[1]Wait!$H$225:$I$260,2,0)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VLOOKUP(F1013,[1]Wait!$H$225:$I$260,2,0)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VLOOKUP(F1014,[1]Wait!$H$225:$I$260,2,0)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VLOOKUP(F1015,[1]Wait!$H$225:$I$260,2,0)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VLOOKUP(F1016,[1]Wait!$H$225:$I$260,2,0)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VLOOKUP(F1017,[1]Wait!$H$225:$I$260,2,0)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VLOOKUP(F1018,[1]Wait!$H$225:$I$260,2,0)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VLOOKUP(F1019,[1]Wait!$H$225:$I$260,2,0)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VLOOKUP(F1020,[1]Wait!$H$225:$I$260,2,0)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VLOOKUP(F1021,[1]Wait!$H$225:$I$260,2,0)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VLOOKUP(F1022,[1]Wait!$H$225:$I$260,2,0)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VLOOKUP(F1023,[1]Wait!$H$225:$I$260,2,0)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VLOOKUP(F1024,[1]Wait!$H$225:$I$260,2,0)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VLOOKUP(F1025,[1]Wait!$H$225:$I$260,2,0)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VLOOKUP(F1026,[1]Wait!$H$225:$I$260,2,0)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VLOOKUP(F1027,[1]Wait!$H$225:$I$260,2,0)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VLOOKUP(F1028,[1]Wait!$H$225:$I$260,2,0)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VLOOKUP(F1029,[1]Wait!$H$225:$I$260,2,0)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VLOOKUP(F1030,[1]Wait!$H$225:$I$260,2,0)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VLOOKUP(F1031,[1]Wait!$H$225:$I$260,2,0)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VLOOKUP(F1032,[1]Wait!$H$225:$I$260,2,0)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VLOOKUP(F1033,[1]Wait!$H$225:$I$260,2,0)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VLOOKUP(F1034,[1]Wait!$H$225:$I$260,2,0)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VLOOKUP(F1035,[1]Wait!$H$225:$I$260,2,0)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VLOOKUP(F1036,[1]Wait!$H$225:$I$260,2,0)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VLOOKUP(F1037,[1]Wait!$H$225:$I$260,2,0)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VLOOKUP(F1038,[1]Wait!$H$225:$I$260,2,0)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VLOOKUP(F1039,[1]Wait!$H$225:$I$260,2,0)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VLOOKUP(F1040,[1]Wait!$H$225:$I$260,2,0)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VLOOKUP(F1041,[1]Wait!$H$225:$I$260,2,0)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VLOOKUP(F1042,[1]Wait!$H$225:$I$260,2,0)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VLOOKUP(F1043,[1]Wait!$H$225:$I$260,2,0)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VLOOKUP(F1044,[1]Wait!$H$225:$I$260,2,0)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VLOOKUP(F1045,[1]Wait!$H$225:$I$260,2,0)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VLOOKUP(F1046,[1]Wait!$H$225:$I$260,2,0)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VLOOKUP(F1047,[1]Wait!$H$225:$I$260,2,0)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VLOOKUP(F1048,[1]Wait!$H$225:$I$260,2,0)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VLOOKUP(F1049,[1]Wait!$H$225:$I$260,2,0)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VLOOKUP(F1050,[1]Wait!$H$225:$I$260,2,0)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VLOOKUP(F1051,[1]Wait!$H$225:$I$260,2,0)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VLOOKUP(F1052,[1]Wait!$H$225:$I$260,2,0)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VLOOKUP(F1053,[1]Wait!$H$225:$I$260,2,0)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VLOOKUP(F1054,[1]Wait!$H$225:$I$260,2,0)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VLOOKUP(F1055,[1]Wait!$H$225:$I$260,2,0)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VLOOKUP(F1056,[1]Wait!$H$225:$I$260,2,0)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VLOOKUP(F1057,[1]Wait!$H$225:$I$260,2,0)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VLOOKUP(F1058,[1]Wait!$H$225:$I$260,2,0)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VLOOKUP(F1059,[1]Wait!$H$225:$I$260,2,0)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VLOOKUP(F1060,[1]Wait!$H$225:$I$260,2,0)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VLOOKUP(F1061,[1]Wait!$H$225:$I$260,2,0)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VLOOKUP(F1062,[1]Wait!$H$225:$I$260,2,0)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VLOOKUP(F1063,[1]Wait!$H$225:$I$260,2,0)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VLOOKUP(F1064,[1]Wait!$H$225:$I$260,2,0)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VLOOKUP(F1065,[1]Wait!$H$225:$I$260,2,0)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VLOOKUP(F1066,[1]Wait!$H$225:$I$260,2,0)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VLOOKUP(F1067,[1]Wait!$H$225:$I$260,2,0)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VLOOKUP(F1068,[1]Wait!$H$225:$I$260,2,0)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VLOOKUP(F1069,[1]Wait!$H$225:$I$260,2,0)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VLOOKUP(F1070,[1]Wait!$H$225:$I$260,2,0)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VLOOKUP(F1071,[1]Wait!$H$225:$I$260,2,0)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VLOOKUP(F1072,[1]Wait!$H$225:$I$260,2,0)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VLOOKUP(F1073,[1]Wait!$H$225:$I$260,2,0)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VLOOKUP(F1074,[1]Wait!$H$225:$I$260,2,0)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VLOOKUP(F1075,[1]Wait!$H$225:$I$260,2,0)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VLOOKUP(F1076,[1]Wait!$H$225:$I$260,2,0)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VLOOKUP(F1077,[1]Wait!$H$225:$I$260,2,0)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VLOOKUP(F1078,[1]Wait!$H$225:$I$260,2,0)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VLOOKUP(F1079,[1]Wait!$H$225:$I$260,2,0)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VLOOKUP(F1080,[1]Wait!$H$225:$I$260,2,0)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VLOOKUP(F1081,[1]Wait!$H$225:$I$260,2,0)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VLOOKUP(F1082,[1]Wait!$H$225:$I$260,2,0)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VLOOKUP(F1083,[1]Wait!$H$225:$I$260,2,0)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VLOOKUP(F1084,[1]Wait!$H$225:$I$260,2,0)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VLOOKUP(F1085,[1]Wait!$H$225:$I$260,2,0)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VLOOKUP(F1086,[1]Wait!$H$225:$I$260,2,0)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VLOOKUP(F1087,[1]Wait!$H$225:$I$260,2,0)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VLOOKUP(F1088,[1]Wait!$H$225:$I$260,2,0)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VLOOKUP(F1089,[1]Wait!$H$225:$I$260,2,0)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VLOOKUP(F1090,[1]Wait!$H$225:$I$260,2,0)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VLOOKUP(F1091,[1]Wait!$H$225:$I$260,2,0)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VLOOKUP(F1092,[1]Wait!$H$225:$I$260,2,0)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VLOOKUP(F1093,[1]Wait!$H$225:$I$260,2,0)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VLOOKUP(F1094,[1]Wait!$H$225:$I$260,2,0)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VLOOKUP(F1095,[1]Wait!$H$225:$I$260,2,0)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VLOOKUP(F1096,[1]Wait!$H$225:$I$260,2,0)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VLOOKUP(F1097,[1]Wait!$H$225:$I$260,2,0)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VLOOKUP(F1098,[1]Wait!$H$225:$I$260,2,0)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VLOOKUP(F1099,[1]Wait!$H$225:$I$260,2,0)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VLOOKUP(F1100,[1]Wait!$H$225:$I$260,2,0)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VLOOKUP(F1101,[1]Wait!$H$225:$I$260,2,0)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VLOOKUP(F1102,[1]Wait!$H$225:$I$260,2,0)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VLOOKUP(F1103,[1]Wait!$H$225:$I$260,2,0)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VLOOKUP(F1104,[1]Wait!$H$225:$I$260,2,0)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VLOOKUP(F1105,[1]Wait!$H$225:$I$260,2,0)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VLOOKUP(F1106,[1]Wait!$H$225:$I$260,2,0)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VLOOKUP(F1107,[1]Wait!$H$225:$I$260,2,0)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VLOOKUP(F1108,[1]Wait!$H$225:$I$260,2,0)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VLOOKUP(F1109,[1]Wait!$H$225:$I$260,2,0)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VLOOKUP(F1110,[1]Wait!$H$225:$I$260,2,0)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VLOOKUP(F1111,[1]Wait!$H$225:$I$260,2,0)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VLOOKUP(F1112,[1]Wait!$H$225:$I$260,2,0)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VLOOKUP(F1113,[1]Wait!$H$225:$I$260,2,0)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VLOOKUP(F1114,[1]Wait!$H$225:$I$260,2,0)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VLOOKUP(F1115,[1]Wait!$H$225:$I$260,2,0)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VLOOKUP(F1116,[1]Wait!$H$225:$I$260,2,0)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VLOOKUP(F1117,[1]Wait!$H$225:$I$260,2,0)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VLOOKUP(F1118,[1]Wait!$H$225:$I$260,2,0)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VLOOKUP(F1119,[1]Wait!$H$225:$I$260,2,0)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VLOOKUP(F1120,[1]Wait!$H$225:$I$260,2,0)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VLOOKUP(F1121,[1]Wait!$H$225:$I$260,2,0)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VLOOKUP(F1122,[1]Wait!$H$225:$I$260,2,0)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2026-10-02T01:11:56Z</dcterms:modified>
</cp:coreProperties>
</file>