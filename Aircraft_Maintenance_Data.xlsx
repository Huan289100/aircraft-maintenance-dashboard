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Template TEXT\"/>
    </mc:Choice>
  </mc:AlternateContent>
  <bookViews>
    <workbookView xWindow="0" yWindow="0" windowWidth="28800" windowHeight="13215" activeTab="1"/>
  </bookViews>
  <sheets>
    <sheet name="TKP" sheetId="3" r:id="rId1"/>
    <sheet name="TEXT TKP" sheetId="4" r:id="rId2"/>
    <sheet name="TQM" sheetId="1" r:id="rId3"/>
    <sheet name="TEXT TQM" sheetId="5" r:id="rId4"/>
    <sheet name="TEV" sheetId="2" r:id="rId5"/>
    <sheet name="TEXT TEV" sheetId="6" r:id="rId6"/>
  </sheets>
  <definedNames>
    <definedName name="_xlnm._FilterDatabase" localSheetId="0" hidden="1">TKP!$A$7:$Z$125</definedName>
    <definedName name="_xlnm._FilterDatabase" localSheetId="2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<sst xmlns="http://schemas.openxmlformats.org/spreadsheetml/2006/main" count="29709" uniqueCount="4706">
  <si>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</si>
  <si>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</si>
  <si>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</si>
  <si>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</si>
  <si>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</si>
  <si>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</si>
  <si>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</si>
  <si>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</si>
  <si>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</si>
  <si>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</si>
  <si>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</si>
  <si>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</si>
  <si>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</si>
  <si>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</si>
  <si>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</si>
  <si>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</si>
  <si>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</si>
  <si>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</si>
  <si>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</si>
  <si>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</si>
  <si>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</si>
  <si>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</si>
  <si>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</si>
  <si>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</si>
  <si>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</si>
  <si>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</si>
  <si>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</si>
  <si>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</si>
  <si>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</si>
  <si>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</si>
  <si>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</si>
  <si>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</si>
  <si>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</si>
  <si>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</si>
  <si>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</si>
  <si>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</si>
  <si>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</si>
  <si>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</si>
  <si>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</si>
  <si>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</si>
  <si>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</si>
  <si>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</si>
  <si>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</si>
  <si>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</si>
  <si>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</si>
  <si>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</si>
  <si>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</si>
  <si>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</si>
  <si>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</si>
  <si>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</si>
  <si>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</si>
  <si>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</si>
  <si>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</si>
  <si>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</si>
  <si>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</si>
  <si>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</si>
  <si>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</si>
  <si>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</si>
  <si>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</si>
  <si>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</si>
  <si>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</si>
  <si>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</si>
  <si>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</si>
  <si>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</si>
  <si>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</si>
  <si>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</si>
  <si>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</si>
  <si>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</si>
  <si>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</si>
  <si>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</si>
  <si>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</si>
  <si>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</si>
  <si>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</si>
  <si>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</si>
  <si>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</si>
  <si>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</si>
  <si>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</si>
  <si>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</si>
  <si>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</si>
  <si>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</si>
  <si>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</si>
  <si>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</si>
  <si>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</si>
  <si>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</si>
  <si>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</si>
  <si>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</si>
  <si>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</si>
  <si>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</si>
  <si>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</si>
  <si>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</si>
  <si>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</si>
  <si>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</si>
  <si>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</si>
  <si>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</si>
  <si>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</si>
  <si>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</si>
  <si>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</si>
  <si>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</si>
  <si>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</si>
  <si>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</si>
  <si>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</si>
  <si>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</si>
  <si>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</si>
  <si>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</si>
  <si>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</si>
  <si>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</si>
  <si>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</si>
  <si>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</si>
  <si>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</si>
  <si>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</si>
  <si>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</si>
  <si>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</si>
  <si>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</si>
  <si>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</si>
  <si>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</si>
  <si>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</si>
  <si>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</si>
  <si>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</si>
  <si>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</si>
  <si>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</si>
  <si>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</si>
  <si>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</si>
  <si>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</si>
  <si>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</si>
  <si>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</si>
  <si>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</si>
  <si>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</si>
  <si>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</si>
  <si>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</si>
  <si>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</si>
  <si>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</si>
  <si>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</si>
  <si>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</si>
  <si>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</si>
  <si>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</si>
  <si>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</si>
  <si>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</si>
  <si>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</si>
  <si>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</si>
  <si>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</si>
  <si>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</si>
  <si>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</si>
  <si>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</si>
  <si>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</si>
  <si>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</si>
  <si>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</si>
  <si>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</si>
  <si>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</si>
  <si>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</si>
  <si>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</si>
  <si>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</si>
  <si>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</si>
  <si>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</si>
  <si>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</si>
  <si>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</si>
  <si>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</si>
  <si>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</si>
  <si>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</si>
  <si>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</si>
  <si>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</si>
  <si>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</si>
  <si>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</si>
  <si>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</si>
  <si>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</si>
  <si>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</si>
  <si>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</si>
  <si>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</si>
  <si>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</si>
  <si>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</si>
  <si>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</si>
  <si>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</si>
  <si>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</si>
  <si>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</si>
  <si>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</si>
  <si>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</si>
  <si>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</si>
  <si>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</si>
  <si>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</si>
  <si>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</si>
  <si>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</si>
  <si>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</si>
  <si>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</si>
  <si>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</si>
  <si>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</si>
  <si>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</si>
  <si>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</si>
  <si>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</si>
  <si>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</si>
  <si>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</si>
  <si>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</si>
  <si>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</si>
  <si>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</si>
  <si>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</si>
  <si>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</si>
  <si>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</si>
  <si>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</si>
  <si>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</si>
  <si>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</si>
  <si>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</si>
  <si>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</si>
  <si>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</si>
  <si>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</si>
  <si>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</si>
  <si>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</si>
  <si>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</si>
  <si>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</si>
  <si>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</si>
  <si>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</si>
  <si>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</si>
  <si>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</si>
  <si>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</si>
  <si>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</si>
  <si>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</si>
  <si>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</si>
  <si>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</si>
  <si>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</si>
  <si>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</si>
  <si>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</si>
  <si>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</si>
  <si>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</si>
  <si>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</si>
  <si>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</si>
  <si>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</si>
  <si>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</si>
  <si>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</si>
  <si>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</si>
  <si>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</si>
  <si>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</si>
  <si>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</si>
  <si>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</si>
  <si>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</si>
  <si>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</si>
  <si>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</si>
  <si>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</si>
  <si>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</si>
  <si>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</si>
  <si>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</si>
  <si>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</si>
  <si>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</si>
  <si>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</si>
  <si>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</si>
  <si>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</si>
  <si>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</si>
  <si>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</si>
  <si>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</si>
  <si>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</si>
  <si>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</si>
  <si>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</si>
  <si>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</si>
  <si>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</si>
  <si>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</si>
  <si>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</si>
  <si>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</si>
  <si>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</si>
  <si>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</si>
  <si>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</si>
  <si>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</si>
  <si>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</si>
  <si>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</si>
  <si>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</si>
  <si>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</si>
  <si>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</si>
  <si>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</si>
  <si>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</si>
  <si>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</si>
  <si>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</si>
  <si>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</si>
  <si>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</si>
  <si>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</si>
  <si>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</si>
  <si>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</si>
  <si>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</si>
  <si>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</si>
  <si>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</si>
  <si>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</si>
  <si>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</si>
  <si>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</si>
  <si>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</si>
  <si>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</si>
  <si>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</si>
  <si>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</si>
  <si>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</si>
  <si>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</si>
  <si>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</si>
  <si>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</si>
  <si>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</si>
  <si>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</si>
  <si>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</si>
  <si>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</si>
  <si>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</si>
  <si>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</si>
  <si>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</si>
  <si>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</si>
  <si>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</si>
  <si>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</si>
  <si>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</si>
  <si>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</si>
  <si>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</si>
  <si>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</si>
  <si>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</si>
  <si>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</si>
  <si>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</si>
  <si>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</si>
  <si>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</si>
  <si>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</si>
  <si>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</si>
  <si>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</si>
  <si>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</si>
  <si>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</si>
  <si>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</si>
  <si>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</si>
  <si>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</si>
  <si>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</si>
  <si>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</si>
  <si>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</si>
  <si>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</si>
  <si>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</si>
  <si>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</si>
  <si>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</si>
  <si>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</si>
  <si>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</si>
  <si>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</si>
  <si>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</si>
  <si>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</si>
  <si>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</si>
  <si>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</si>
  <si>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</si>
  <si>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</si>
  <si>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</si>
  <si>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</si>
  <si>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</si>
  <si>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</si>
  <si>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</si>
  <si>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</si>
  <si>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</si>
  <si>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</si>
  <si>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</si>
  <si>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</si>
  <si>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</si>
  <si>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</si>
  <si>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</si>
  <si>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</si>
  <si>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</si>
  <si>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</si>
  <si>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</si>
  <si>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</si>
  <si>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</si>
  <si>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</si>
  <si>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</si>
  <si>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</si>
  <si>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</si>
  <si>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</si>
  <si>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</si>
  <si>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</si>
  <si>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</si>
  <si>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</si>
  <si>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</si>
  <si>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</si>
  <si>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</si>
  <si>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</si>
  <si>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</si>
  <si>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</si>
  <si>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</si>
  <si>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</si>
  <si>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</si>
  <si>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</si>
  <si>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</si>
  <si>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</si>
  <si>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</si>
  <si>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</si>
  <si>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</si>
  <si>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</si>
  <si>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</si>
  <si>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</si>
  <si>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</si>
  <si>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</si>
  <si>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</si>
  <si>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</si>
  <si>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</si>
  <si>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</si>
  <si>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</si>
  <si>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</si>
  <si>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</si>
  <si>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</si>
  <si>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</si>
  <si>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</si>
  <si>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</si>
  <si>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</si>
  <si>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</si>
  <si>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</si>
  <si>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</si>
  <si>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</si>
  <si>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</si>
  <si>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</si>
  <si>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</si>
  <si>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</si>
  <si>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</si>
  <si>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</si>
  <si>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</si>
  <si>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</si>
  <si>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</si>
  <si>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</si>
  <si>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</si>
  <si>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</si>
  <si>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</si>
  <si>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</si>
  <si>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</si>
  <si>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</si>
  <si>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</si>
  <si>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</si>
  <si>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</si>
  <si>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</si>
  <si>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</si>
  <si>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</si>
  <si>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</si>
  <si>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</si>
  <si>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</si>
  <si>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</si>
  <si>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</si>
  <si>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</si>
  <si>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</si>
  <si>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</si>
  <si>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</si>
  <si>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</si>
  <si>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</si>
  <si>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</si>
  <si>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</si>
  <si>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</si>
  <si>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</si>
  <si>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</si>
  <si>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</si>
  <si>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</si>
  <si>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</si>
  <si>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</si>
  <si>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</si>
  <si>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</si>
  <si>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</si>
  <si>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</si>
  <si>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</si>
  <si>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</si>
  <si>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</si>
  <si>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</si>
  <si>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</si>
  <si>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</si>
  <si>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</si>
  <si>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</si>
  <si>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</si>
  <si>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</si>
  <si>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</si>
  <si>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</si>
  <si>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</si>
  <si>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</si>
  <si>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</si>
  <si>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</si>
  <si>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</si>
  <si>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</si>
  <si>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</si>
  <si>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</si>
  <si>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</si>
  <si>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</si>
  <si>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</si>
  <si>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</si>
  <si>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</si>
  <si>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</si>
  <si>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</si>
  <si>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</si>
  <si>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</si>
  <si>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</si>
  <si>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</si>
  <si>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</si>
  <si>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</si>
  <si>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</si>
  <si>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</si>
  <si>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</si>
  <si>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</si>
  <si>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</si>
  <si>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</si>
  <si>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</si>
  <si>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</si>
  <si>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</si>
  <si>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</si>
  <si>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</si>
  <si>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</si>
  <si>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</si>
  <si>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</si>
  <si>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</si>
  <si>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</si>
  <si>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</si>
  <si>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</si>
  <si>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</si>
  <si>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</si>
  <si>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</si>
  <si>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</si>
  <si>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</si>
  <si>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</si>
  <si>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</si>
  <si>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</si>
  <si>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</si>
  <si>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</si>
  <si>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</si>
  <si>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</si>
  <si>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</si>
  <si>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</si>
  <si>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</si>
  <si>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</si>
  <si>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</si>
  <si>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</si>
  <si>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</si>
  <si>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</si>
  <si>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</si>
  <si>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</si>
  <si>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</si>
  <si>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</si>
  <si>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</si>
  <si>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</si>
  <si>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</si>
  <si>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</si>
  <si>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</si>
  <si>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</si>
  <si>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</si>
  <si>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</si>
  <si>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</si>
  <si>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</si>
  <si>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</si>
  <si>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</si>
  <si>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</si>
  <si>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</si>
  <si>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</si>
  <si>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</si>
  <si>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</si>
  <si>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</si>
  <si>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</si>
  <si>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</si>
  <si>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</si>
  <si>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</si>
  <si>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</si>
  <si>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</si>
  <si>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</si>
  <si>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</si>
  <si>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</si>
  <si>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</si>
  <si>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</si>
  <si>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</si>
  <si>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</si>
  <si>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</si>
  <si>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</si>
  <si>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</si>
  <si>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</si>
  <si>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</si>
  <si>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</si>
  <si>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</si>
  <si>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</si>
  <si>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</si>
  <si>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</si>
  <si>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</si>
  <si>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</si>
  <si>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</si>
  <si>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</si>
  <si>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</si>
  <si>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</si>
  <si>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</si>
  <si>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</si>
  <si>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</si>
  <si>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</si>
  <si>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</si>
  <si>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</si>
  <si>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</si>
  <si>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</si>
  <si>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</si>
  <si>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</si>
  <si>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</si>
  <si>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</si>
  <si>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</si>
  <si>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</si>
  <si>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</si>
  <si>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</si>
  <si>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</si>
  <si>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</si>
  <si>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</si>
  <si>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</si>
  <si>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</si>
  <si>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</si>
  <si>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</si>
  <si>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</si>
  <si>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</si>
  <si>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</si>
  <si>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</si>
  <si>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</si>
  <si>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</si>
  <si>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</si>
  <si>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</si>
  <si>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</si>
  <si>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</si>
  <si>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</si>
  <si>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</si>
  <si>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</si>
  <si>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</si>
  <si>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</si>
  <si>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</si>
  <si>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</si>
  <si>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</si>
  <si>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</si>
  <si>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</si>
  <si>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</si>
  <si>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</si>
  <si>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</si>
  <si>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</si>
  <si>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</si>
  <si>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</si>
  <si>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</si>
  <si>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</si>
  <si>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</si>
  <si>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</si>
  <si>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</si>
  <si>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</si>
  <si>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</si>
  <si>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</si>
  <si>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</si>
  <si>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</si>
  <si>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</si>
  <si>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</si>
  <si>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</si>
  <si>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</si>
  <si>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</si>
  <si>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</si>
  <si>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</si>
  <si>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</si>
  <si>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</si>
  <si>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</si>
  <si>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</si>
  <si>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</si>
  <si>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</si>
  <si>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</si>
  <si>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</si>
  <si>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</si>
  <si>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</si>
  <si>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</si>
  <si>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</si>
  <si>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</si>
  <si>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</si>
  <si>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</si>
  <si>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</si>
  <si>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</si>
  <si>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</si>
  <si>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</si>
  <si>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</si>
  <si>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</si>
  <si>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</si>
  <si>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</si>
  <si>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</si>
  <si>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</si>
  <si>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</si>
  <si>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</si>
  <si>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</si>
  <si>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</si>
  <si>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</si>
  <si>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</si>
  <si>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</si>
  <si>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</si>
  <si>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</si>
  <si>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</si>
  <si>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</si>
  <si>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</si>
  <si>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</si>
  <si>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</si>
  <si>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</si>
  <si>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</si>
  <si>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</si>
  <si>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</si>
  <si>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</si>
  <si>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</si>
  <si>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</si>
  <si>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</si>
  <si>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</si>
  <si>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</si>
  <si>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</si>
  <si>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</si>
  <si>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</si>
  <si>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</si>
  <si>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</si>
  <si>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</si>
  <si>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</si>
  <si>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</si>
  <si>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</si>
  <si>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</si>
  <si>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</si>
  <si>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</si>
  <si>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</si>
  <si>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</si>
  <si>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</si>
  <si>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</si>
  <si>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</si>
  <si>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</si>
  <si>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</si>
  <si>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</si>
  <si>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</si>
  <si>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</si>
  <si>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</si>
  <si>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</si>
  <si>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</si>
  <si>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</si>
  <si>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</si>
  <si>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</si>
  <si>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</si>
  <si>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</si>
  <si>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</si>
  <si>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</si>
  <si>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</si>
  <si>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</si>
  <si>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</si>
  <si>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</si>
  <si>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</si>
  <si>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</si>
  <si>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</si>
  <si>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</si>
  <si>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</si>
  <si>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</si>
  <si>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</si>
  <si>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</si>
  <si>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</si>
  <si>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</si>
  <si>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</si>
  <si>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</si>
  <si>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</si>
  <si>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</si>
  <si>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</si>
  <si>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</si>
  <si>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</si>
  <si>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</si>
  <si>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</si>
  <si>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</si>
  <si>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</si>
  <si>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</si>
  <si>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</si>
  <si>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</si>
  <si>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</si>
  <si>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</si>
  <si>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</si>
  <si>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</si>
  <si>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</si>
  <si>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</si>
  <si>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</si>
  <si>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</si>
  <si>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</si>
  <si>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</si>
  <si>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</si>
  <si>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</si>
  <si>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</si>
  <si>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</si>
  <si>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</si>
  <si>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</si>
  <si>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</si>
  <si>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</si>
  <si>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</si>
  <si>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</si>
  <si>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</si>
  <si>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</si>
  <si>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</si>
  <si>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</si>
  <si>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</si>
  <si>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</si>
  <si>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</si>
  <si>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</si>
  <si>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</si>
  <si>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</si>
  <si>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</si>
  <si>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</si>
  <si>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</si>
  <si>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</si>
  <si>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</si>
  <si>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</si>
  <si>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</si>
  <si>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</si>
  <si>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</si>
  <si>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</si>
  <si>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</si>
  <si>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</si>
  <si>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</si>
  <si>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</si>
  <si>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</si>
  <si>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</si>
  <si>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</si>
  <si>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</si>
  <si>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</si>
  <si>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</si>
  <si>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</si>
  <si>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</si>
  <si>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</si>
  <si>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</si>
  <si>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</si>
  <si>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</si>
  <si>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</si>
  <si>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</si>
  <si>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</si>
  <si>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</si>
  <si>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</si>
  <si>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</si>
  <si>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</si>
  <si>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</si>
  <si>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</si>
  <si>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</si>
  <si>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</si>
  <si>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</si>
  <si>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</si>
  <si>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</si>
  <si>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</si>
  <si>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</si>
  <si>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</si>
  <si>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</si>
  <si>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</si>
  <si>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</si>
  <si>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</si>
  <si>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</si>
  <si>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</si>
  <si>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</si>
  <si>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</si>
  <si>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</si>
  <si>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</si>
  <si>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</si>
  <si>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</si>
  <si>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</si>
  <si>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</si>
  <si>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</si>
  <si>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</si>
  <si>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</si>
  <si>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</si>
  <si>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</si>
  <si>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</si>
  <si>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</si>
  <si>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</si>
  <si>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</si>
  <si>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</si>
  <si>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</si>
  <si>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</si>
  <si>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</si>
  <si>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</si>
  <si>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</si>
  <si>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</si>
  <si>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</si>
  <si>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</si>
  <si>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</si>
  <si>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</si>
  <si>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</si>
  <si>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</si>
  <si>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</si>
  <si>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</si>
  <si>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</si>
  <si>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</si>
  <si>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</si>
  <si>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</si>
  <si>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</si>
  <si>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</si>
  <si>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</si>
  <si>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</si>
  <si>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</si>
  <si>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</si>
  <si>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</si>
  <si>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</si>
  <si>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</si>
  <si>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</si>
  <si>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</si>
  <si>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</si>
  <si>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</si>
  <si>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</si>
  <si>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</si>
  <si>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</si>
  <si>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</si>
  <si>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</si>
  <si>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</si>
  <si>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</si>
  <si>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</si>
  <si>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</si>
  <si>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</si>
  <si>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</si>
  <si>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</si>
  <si>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</si>
  <si>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</si>
  <si>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</si>
  <si>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</si>
  <si>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</si>
  <si>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</si>
  <si>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</si>
  <si>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</si>
  <si>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</si>
  <si>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</si>
  <si>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</si>
  <si>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</si>
  <si>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</si>
  <si>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</si>
  <si>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</si>
  <si>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</si>
  <si>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</si>
  <si>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</si>
  <si>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</si>
  <si>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</si>
  <si>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</si>
  <si>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</si>
  <si>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</si>
  <si>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</si>
  <si>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</si>
  <si>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</si>
  <si>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</si>
  <si>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</si>
  <si>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</si>
  <si>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</si>
  <si>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</si>
  <si>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</si>
  <si>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</si>
  <si>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</si>
  <si>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</si>
  <si>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</si>
  <si>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</si>
  <si>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</si>
  <si>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</si>
  <si>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</si>
  <si>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</si>
  <si>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</si>
  <si>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</si>
  <si>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</si>
  <si>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</si>
  <si>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</si>
  <si>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</si>
  <si>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</si>
  <si>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</si>
  <si>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</si>
  <si>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</si>
  <si>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</si>
  <si>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</si>
  <si>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</si>
  <si>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</si>
  <si>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</si>
  <si>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</si>
  <si>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</si>
  <si>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</si>
  <si>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</si>
  <si>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</si>
  <si>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</si>
  <si>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</si>
  <si>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</si>
  <si>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</si>
  <si>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</si>
  <si>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</si>
  <si>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</si>
  <si>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</si>
  <si>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</si>
  <si>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</si>
  <si>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</si>
  <si>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</si>
  <si>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</si>
  <si>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</si>
  <si>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</si>
  <si>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</si>
  <si>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</si>
  <si>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</si>
  <si>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</si>
  <si>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</si>
  <si>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</si>
  <si>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</si>
  <si>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</si>
  <si>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</si>
  <si>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</si>
  <si>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</si>
  <si>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</si>
  <si>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</si>
  <si>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</si>
  <si>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</si>
  <si>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</si>
  <si>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</si>
  <si>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</si>
  <si>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</si>
  <si>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</si>
  <si>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</si>
  <si>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</si>
  <si>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</si>
  <si>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</si>
  <si>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</si>
  <si>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</si>
  <si>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</si>
  <si>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</si>
  <si>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</si>
  <si>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</si>
  <si>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</si>
  <si>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</si>
  <si>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</si>
  <si>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</si>
  <si>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</si>
  <si>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</si>
  <si>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</si>
  <si>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</si>
  <si>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</si>
  <si>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</si>
  <si>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</si>
  <si>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</si>
  <si>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</si>
  <si>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</si>
  <si>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</si>
  <si>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</si>
  <si>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</si>
  <si>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</si>
  <si>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</si>
  <si>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</si>
  <si>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</si>
  <si>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</si>
  <si>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</si>
  <si>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</si>
  <si>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</si>
  <si>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</si>
  <si>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</si>
  <si>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</si>
  <si>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</si>
  <si>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</si>
  <si>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</si>
  <si>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</si>
  <si>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</si>
  <si>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</si>
  <si>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</si>
  <si>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</si>
  <si>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</si>
  <si>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</si>
  <si>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</si>
  <si>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</si>
  <si>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</si>
  <si>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</si>
  <si>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</si>
  <si>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</si>
  <si>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</si>
  <si>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</si>
  <si>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</si>
  <si>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</si>
  <si>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</si>
  <si>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</si>
  <si>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</si>
  <si>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</si>
  <si>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</si>
  <si>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</si>
  <si>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</si>
  <si>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</si>
  <si>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</si>
  <si>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</si>
  <si>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</si>
  <si>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</si>
  <si>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</si>
  <si>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</si>
  <si>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</si>
  <si>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</si>
  <si>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</si>
  <si>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</si>
  <si>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</si>
  <si>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</si>
  <si>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</si>
  <si>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</si>
  <si>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</si>
  <si>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</si>
  <si>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</si>
  <si>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</si>
  <si>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</si>
  <si>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</si>
  <si>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</si>
  <si>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</si>
  <si>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</si>
  <si>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</si>
  <si>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</si>
  <si>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</si>
  <si>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</si>
  <si>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</si>
  <si>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</si>
  <si>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</si>
  <si>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</si>
  <si>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</si>
  <si>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</si>
  <si>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</si>
  <si>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</si>
  <si>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</si>
  <si>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</si>
  <si>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</si>
  <si>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</si>
  <si>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</si>
  <si>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</si>
  <si>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</si>
  <si>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</si>
  <si>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</si>
  <si>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</si>
  <si>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</si>
  <si>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</si>
  <si>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</si>
  <si>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</si>
  <si>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</si>
  <si>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</si>
  <si>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</si>
  <si>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</si>
  <si>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</si>
  <si>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</si>
  <si>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</si>
  <si>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</si>
  <si>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</si>
  <si>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</si>
  <si>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</si>
  <si>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</si>
  <si>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</si>
  <si>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</si>
  <si>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</si>
  <si>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</si>
  <si>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</si>
  <si>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</si>
  <si>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</si>
  <si>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</si>
  <si>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</si>
  <si>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</si>
  <si>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</si>
  <si>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</si>
  <si>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</si>
  <si>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</si>
  <si>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</si>
  <si>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</si>
  <si>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</si>
  <si>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</si>
  <si>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</si>
  <si>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</si>
  <si>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</si>
  <si>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</si>
  <si>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</si>
  <si>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</si>
  <si>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</si>
  <si>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</si>
  <si>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</si>
  <si>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</si>
  <si>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</si>
  <si>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</si>
  <si>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</si>
  <si>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</si>
  <si>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</si>
  <si>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</si>
  <si>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</si>
  <si>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</si>
  <si>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</si>
  <si>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</si>
  <si>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</si>
  <si>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</si>
  <si>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</si>
  <si>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</si>
  <si>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</si>
  <si>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</si>
  <si>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</si>
  <si>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</si>
  <si>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</si>
  <si>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</si>
  <si>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</si>
  <si>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</si>
  <si>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</si>
  <si>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</si>
  <si>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</si>
  <si>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</si>
  <si>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</si>
  <si>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</si>
  <si>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</si>
  <si>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</si>
  <si>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</si>
  <si>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</si>
  <si>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</si>
  <si>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</si>
  <si>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</si>
  <si>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</si>
  <si>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</si>
  <si>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</si>
  <si>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</si>
  <si>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</si>
  <si>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</si>
  <si>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</si>
  <si>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</si>
  <si>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</si>
  <si>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</si>
  <si>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</si>
  <si>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</si>
  <si>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</si>
  <si>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</si>
  <si>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</si>
  <si>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</si>
  <si>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</si>
  <si>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</si>
  <si>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</si>
  <si>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</si>
  <si>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</si>
  <si>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</si>
  <si>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</si>
  <si>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</si>
  <si>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</si>
  <si>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</si>
  <si>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</si>
  <si>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</si>
  <si>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</si>
  <si>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</si>
  <si>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</si>
  <si>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</si>
  <si>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</si>
  <si>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</si>
  <si>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</si>
  <si>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</si>
  <si>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</si>
  <si>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</si>
  <si>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</si>
  <si>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</si>
  <si>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</si>
  <si>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</si>
  <si>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</si>
  <si>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</si>
  <si>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</si>
  <si>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</si>
  <si>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</si>
  <si>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</si>
  <si>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</si>
  <si>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</si>
  <si>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</si>
  <si>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</si>
  <si>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</si>
  <si>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</si>
  <si>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</si>
  <si>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</si>
  <si>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</si>
  <si>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</si>
  <si>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</si>
  <si>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</si>
  <si>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</si>
  <si>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</si>
  <si>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</si>
  <si>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</si>
  <si>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</si>
  <si>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</si>
  <si>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</si>
  <si>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</si>
  <si>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</si>
  <si>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</si>
  <si>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</si>
  <si>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</si>
  <si>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</si>
  <si>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</si>
  <si>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</si>
  <si>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</si>
  <si>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</si>
  <si>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</si>
  <si>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</si>
  <si>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</si>
  <si>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</si>
  <si>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</si>
  <si>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</si>
  <si>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</si>
  <si>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</si>
  <si>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</si>
  <si>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</si>
  <si>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</si>
  <si>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</si>
  <si>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</si>
  <si>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</si>
  <si>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</si>
  <si>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</si>
  <si>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</si>
  <si>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</si>
  <si>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</si>
  <si>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</si>
  <si>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</si>
  <si>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</si>
  <si>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</si>
  <si>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</si>
  <si>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</si>
  <si>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</si>
  <si>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</si>
  <si>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</si>
  <si>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</si>
  <si>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</si>
  <si>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</si>
  <si>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</si>
  <si>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</si>
  <si>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</si>
  <si>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</si>
  <si>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</si>
  <si>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</si>
  <si>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</si>
  <si>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</si>
  <si>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</si>
  <si>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</si>
  <si>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</si>
  <si>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</si>
  <si>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</si>
  <si>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</si>
  <si>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</si>
  <si>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</si>
  <si>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</si>
  <si>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</si>
  <si>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</si>
  <si>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</si>
  <si>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</si>
  <si>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</si>
  <si>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</si>
  <si>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</si>
  <si>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</si>
  <si>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</si>
  <si>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</si>
  <si>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</si>
  <si>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</si>
  <si>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</si>
  <si>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</si>
  <si>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</si>
  <si>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</si>
  <si>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</si>
  <si>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</si>
  <si>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</si>
  <si>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</si>
  <si>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</si>
  <si>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</si>
  <si>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</si>
  <si>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</si>
  <si>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</si>
  <si>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</si>
  <si>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</si>
  <si>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</si>
  <si>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</si>
  <si>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</si>
  <si>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</si>
  <si>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</si>
  <si>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</si>
  <si>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</si>
  <si>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</si>
  <si>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</si>
  <si>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</si>
  <si>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</si>
  <si>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</si>
  <si>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</si>
  <si>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</si>
  <si>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</si>
  <si>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</si>
  <si>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</si>
  <si>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</si>
  <si>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</si>
  <si>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</si>
  <si>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</si>
  <si>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</si>
  <si>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</si>
  <si>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</si>
  <si>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</si>
  <si>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</si>
  <si>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</si>
  <si>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</si>
  <si>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</si>
  <si>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</si>
  <si>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</si>
  <si>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</si>
  <si>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</si>
  <si>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</si>
  <si>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</si>
  <si>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</si>
  <si>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</si>
  <si>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</si>
  <si>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</si>
  <si>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</si>
  <si>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</si>
  <si>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</si>
  <si>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</si>
  <si>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</si>
  <si>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</si>
  <si>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</si>
  <si>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</si>
  <si>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</si>
  <si>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</si>
  <si>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</si>
  <si>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</si>
  <si>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</si>
  <si>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</si>
  <si>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</si>
  <si>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</si>
  <si>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</si>
  <si>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</si>
  <si>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</si>
  <si>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</si>
  <si>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</si>
  <si>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</si>
  <si>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</si>
  <si>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</si>
  <si>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</si>
  <si>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</si>
  <si>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</si>
  <si>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</si>
  <si>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</si>
  <si>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</si>
  <si>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</si>
  <si>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</si>
  <si>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</si>
  <si>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</si>
  <si>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</si>
  <si>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</si>
  <si>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</si>
  <si>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</si>
  <si>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</si>
  <si>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</si>
  <si>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</si>
  <si>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</si>
  <si>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</si>
  <si>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</si>
  <si>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</si>
  <si>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</si>
  <si>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</si>
  <si>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</si>
  <si>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</si>
  <si>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</si>
  <si>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</si>
  <si>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</si>
  <si>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</si>
  <si>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</si>
  <si>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</si>
  <si>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</si>
  <si>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</si>
  <si>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</si>
  <si>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</si>
  <si>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</si>
  <si>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</si>
  <si>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</si>
  <si>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</si>
  <si>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</si>
  <si>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</si>
  <si>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</si>
  <si>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</si>
  <si>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</si>
  <si>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</si>
  <si>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</si>
  <si>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</si>
  <si>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</si>
  <si>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</si>
  <si>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</si>
  <si>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</si>
  <si>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</si>
  <si>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</si>
  <si>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</si>
  <si>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</si>
  <si>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</si>
  <si>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</si>
  <si>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</si>
  <si>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</si>
  <si>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</si>
  <si>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</si>
  <si>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</si>
  <si>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</si>
  <si>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</si>
  <si>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</si>
  <si>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</si>
  <si>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</si>
  <si>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</si>
  <si>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</si>
  <si>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</si>
  <si>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</si>
  <si>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</si>
  <si>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</si>
  <si>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</si>
  <si>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</si>
  <si>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</si>
  <si>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</si>
  <si>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</si>
  <si>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</si>
  <si>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</si>
  <si>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</si>
  <si>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</si>
  <si>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</si>
  <si>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</si>
  <si>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</si>
  <si>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</si>
  <si>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</si>
  <si>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</si>
  <si>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</si>
  <si>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</si>
  <si>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</si>
  <si>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</si>
  <si>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</si>
  <si>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</si>
  <si>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</si>
  <si>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</si>
  <si>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</si>
  <si>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</si>
  <si>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</si>
  <si>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</si>
  <si>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</si>
  <si>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</si>
  <si>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</si>
  <si>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</si>
  <si>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</si>
  <si>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</si>
  <si>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</si>
  <si>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</si>
  <si>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</si>
  <si>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</si>
  <si>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</si>
  <si>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</si>
  <si>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</si>
  <si>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</si>
  <si>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</si>
  <si>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</si>
  <si>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</si>
  <si>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</si>
  <si>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</si>
  <si>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</si>
  <si>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</si>
  <si>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</si>
  <si>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</si>
  <si>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</si>
  <si>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</si>
  <si>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</si>
  <si>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</si>
  <si>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</si>
  <si>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</si>
  <si>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</si>
  <si>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</si>
  <si>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</si>
  <si>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</si>
  <si>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</si>
  <si>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</si>
  <si>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</si>
  <si>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</si>
  <si>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</si>
  <si>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</si>
  <si>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</si>
  <si>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</si>
  <si>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</si>
  <si>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</si>
  <si>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</si>
  <si>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</si>
  <si>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</si>
  <si>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</si>
  <si>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</si>
  <si>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</si>
  <si>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</si>
  <si>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</si>
  <si>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</si>
  <si>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</si>
  <si>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</si>
  <si>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</si>
  <si>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</si>
  <si>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</si>
  <si>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</si>
  <si>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</si>
  <si>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</si>
  <si>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</si>
  <si>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</si>
  <si>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</si>
  <si>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</si>
  <si>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</si>
  <si>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</si>
  <si>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</si>
  <si>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</si>
  <si>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</si>
  <si>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</si>
  <si>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</si>
  <si>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</si>
  <si>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</si>
  <si>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</si>
  <si>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</si>
  <si>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</si>
  <si>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</si>
  <si>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</si>
  <si>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</si>
  <si>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</si>
  <si>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</si>
  <si>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</si>
  <si>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</si>
  <si>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</si>
  <si>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</si>
  <si>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</si>
  <si>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</si>
  <si>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</si>
  <si>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</si>
  <si>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</si>
  <si>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</si>
  <si>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</si>
  <si>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</si>
  <si>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</si>
  <si>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</si>
  <si>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</si>
  <si>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</si>
  <si>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</si>
  <si>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</si>
  <si>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</si>
  <si>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</si>
  <si>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</si>
  <si>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</si>
  <si>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</si>
  <si>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</si>
  <si>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</si>
  <si>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</si>
  <si>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</si>
  <si>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</si>
  <si>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</si>
  <si>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</si>
  <si>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</si>
  <si>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</si>
  <si>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</si>
  <si>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</si>
  <si>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</si>
  <si>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</si>
  <si>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</si>
  <si>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</si>
  <si>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</si>
  <si>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</si>
  <si>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</si>
  <si>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</si>
  <si>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</si>
  <si>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</si>
  <si>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</si>
  <si>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</si>
  <si>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</si>
  <si>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</si>
  <si>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</si>
  <si>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</si>
  <si>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</si>
  <si>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</si>
  <si>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</si>
  <si>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</si>
  <si>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</si>
  <si>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</si>
  <si>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</si>
  <si>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</si>
  <si>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</si>
  <si>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</si>
  <si>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</si>
  <si>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</si>
  <si>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</si>
  <si>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</si>
  <si>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</si>
  <si>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</si>
  <si>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</si>
  <si>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</si>
  <si>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</si>
  <si>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</si>
  <si>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</si>
  <si>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</si>
  <si>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</si>
  <si>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</si>
  <si>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</si>
  <si>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</si>
  <si>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</si>
  <si>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</si>
  <si>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</si>
  <si>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</si>
  <si>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</si>
  <si>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</si>
  <si>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</si>
  <si>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</si>
  <si>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</si>
  <si>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</si>
  <si>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</si>
  <si>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</si>
  <si>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</si>
  <si>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</si>
  <si>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</si>
  <si>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</si>
  <si>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</si>
  <si>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</si>
  <si>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</si>
  <si>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</si>
  <si>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</si>
  <si>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</si>
  <si>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</si>
  <si>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</si>
  <si>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</si>
  <si>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</si>
  <si>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</si>
  <si>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</si>
  <si>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</si>
  <si>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</si>
  <si>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</si>
  <si>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</si>
  <si>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</si>
  <si>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</si>
  <si>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</si>
  <si>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</si>
  <si>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</si>
  <si>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</si>
  <si>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</si>
  <si>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</si>
  <si>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</si>
  <si>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</si>
  <si>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</si>
  <si>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</si>
  <si>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</si>
  <si>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</si>
  <si>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</si>
  <si>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</si>
  <si>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</si>
  <si>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</si>
  <si>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</si>
  <si>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</si>
  <si>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</si>
  <si>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</si>
  <si>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</si>
  <si>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</si>
  <si>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</si>
  <si>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</si>
  <si>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</si>
  <si>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</si>
  <si>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</si>
  <si>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</si>
  <si>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</si>
  <si>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</si>
  <si>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</si>
  <si>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</si>
  <si>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</si>
  <si>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</si>
  <si>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</si>
  <si>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</si>
  <si>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</si>
  <si>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</si>
  <si>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</si>
  <si>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</si>
  <si>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</si>
  <si>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</si>
  <si>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</si>
  <si>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</si>
  <si>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</si>
  <si>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</si>
  <si>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</si>
  <si>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</si>
  <si>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</si>
  <si>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</si>
  <si>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</si>
  <si>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</si>
  <si>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</si>
  <si>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</si>
  <si>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</si>
  <si>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</si>
  <si>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</si>
  <si>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</si>
  <si>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</si>
  <si>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</si>
  <si>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</si>
  <si>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</si>
  <si>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</si>
  <si>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</si>
  <si>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</si>
  <si>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</si>
  <si>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</si>
  <si>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</si>
  <si>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</si>
  <si>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</si>
  <si>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</si>
  <si>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</si>
  <si>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</si>
  <si>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</si>
  <si>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</si>
  <si>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</si>
  <si>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</si>
  <si>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</si>
  <si>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</si>
  <si>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</si>
  <si>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</si>
  <si>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</si>
  <si>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</si>
  <si>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</si>
  <si>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</si>
  <si>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</si>
  <si>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</si>
  <si>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</si>
  <si>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</si>
  <si>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</si>
  <si>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</si>
  <si>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</si>
  <si>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</si>
  <si>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</si>
  <si>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</si>
  <si>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</si>
  <si>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</si>
  <si>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</si>
  <si>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</si>
  <si>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</si>
  <si>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</si>
  <si>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</si>
  <si>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</si>
  <si>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</si>
  <si>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</si>
  <si>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</si>
  <si>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</si>
  <si>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</si>
  <si>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</si>
  <si>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</si>
  <si>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</si>
  <si>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</si>
  <si>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</si>
  <si>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</si>
  <si>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</si>
  <si>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</si>
  <si>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</si>
  <si>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</si>
  <si>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</si>
  <si>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</si>
  <si>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</si>
  <si>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</si>
  <si>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</si>
  <si>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</si>
  <si>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</si>
  <si>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</si>
  <si>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</si>
  <si>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</si>
  <si>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</si>
  <si>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</si>
  <si>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</si>
  <si>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</si>
  <si>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</si>
  <si>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</si>
  <si>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</si>
  <si>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</si>
  <si>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</si>
  <si>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</si>
  <si>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</si>
  <si>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</si>
  <si>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</si>
  <si>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</si>
  <si>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</si>
  <si>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</si>
  <si>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</si>
  <si>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</si>
  <si>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</si>
  <si>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</si>
  <si>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</si>
  <si>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</si>
  <si>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</si>
  <si>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</si>
  <si>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</si>
  <si>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</si>
  <si>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</si>
  <si>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</si>
  <si>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</si>
  <si>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</si>
  <si>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</si>
  <si>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</si>
  <si>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</si>
  <si>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</si>
  <si>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</si>
  <si>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</si>
  <si>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</si>
  <si>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</si>
  <si>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</si>
  <si>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</si>
  <si>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</si>
  <si>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</si>
  <si>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</si>
  <si>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</si>
  <si>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</si>
  <si>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</si>
  <si>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</si>
  <si>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</si>
  <si>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</si>
  <si>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</si>
  <si>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</si>
  <si>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</si>
  <si>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</si>
  <si>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</si>
  <si>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</si>
  <si>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</si>
  <si>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</si>
  <si>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</si>
  <si>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</si>
  <si>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</si>
  <si>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</si>
  <si>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</si>
  <si>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</si>
  <si>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</si>
  <si>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</si>
  <si>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</si>
  <si>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</si>
  <si>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</si>
  <si>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</si>
  <si>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</si>
  <si>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</si>
  <si>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</si>
  <si>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</si>
  <si>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</si>
  <si>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</si>
  <si>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</si>
  <si>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</si>
  <si>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</si>
  <si>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</si>
  <si>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</si>
  <si>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</si>
  <si>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</si>
  <si>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</si>
  <si>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</si>
  <si>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</si>
  <si>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</si>
  <si>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</si>
  <si>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</si>
  <si>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</si>
  <si>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</si>
  <si>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</si>
  <si>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</si>
  <si>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</si>
  <si>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</si>
  <si>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</si>
  <si>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</si>
  <si>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</si>
  <si>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</si>
  <si>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</si>
  <si>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</si>
  <si>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</si>
  <si>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</si>
  <si>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</si>
  <si>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</si>
  <si>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</si>
  <si>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</si>
  <si>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</si>
  <si>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</si>
  <si>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</si>
  <si>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</si>
  <si>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</si>
  <si>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</si>
  <si>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</si>
  <si>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</si>
  <si>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</si>
  <si>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</si>
  <si>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</si>
  <si>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</si>
  <si>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</si>
  <si>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</si>
  <si>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</si>
  <si>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</si>
  <si>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</si>
  <si>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</si>
  <si>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</si>
  <si>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</si>
  <si>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</si>
  <si>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</si>
  <si>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</si>
  <si>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</si>
  <si>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</si>
  <si>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</si>
  <si>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</si>
  <si>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</si>
  <si>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</si>
  <si>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</si>
  <si>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</si>
  <si>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</si>
  <si>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</si>
  <si>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</si>
  <si>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</si>
  <si>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</si>
  <si>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</si>
  <si>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</si>
  <si>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</si>
  <si>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</si>
  <si>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</si>
  <si>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</si>
  <si>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</si>
  <si>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</si>
  <si>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</si>
  <si>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</si>
  <si>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</si>
  <si>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</si>
  <si>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</si>
  <si>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</si>
  <si>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</si>
  <si>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</si>
  <si>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</si>
  <si>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</si>
  <si>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</si>
  <si>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</si>
  <si>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</si>
  <si>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</si>
  <si>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</si>
  <si>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</si>
  <si>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</si>
  <si>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</si>
  <si>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</si>
  <si>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</si>
  <si>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</si>
  <si>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</si>
  <si>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</si>
  <si>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</si>
  <si>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</si>
  <si>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</si>
  <si>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</si>
  <si>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</si>
  <si>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</si>
  <si>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</si>
  <si>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</si>
  <si>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</si>
  <si>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</si>
  <si>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</si>
  <si>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</si>
  <si>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</si>
  <si>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</si>
  <si>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</si>
  <si>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</si>
  <si>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</si>
  <si>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</si>
  <si>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</si>
  <si>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</si>
  <si>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</si>
  <si>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</si>
  <si>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</si>
  <si>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</si>
  <si>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</si>
  <si>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</si>
  <si>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</si>
  <si>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</si>
  <si>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</si>
  <si>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</si>
  <si>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</si>
  <si>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</si>
  <si>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</si>
  <si>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</si>
  <si>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</si>
  <si>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</si>
  <si>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</si>
  <si>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</si>
  <si>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</si>
  <si>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</si>
  <si>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</si>
  <si>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</si>
  <si>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</si>
  <si>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</si>
  <si>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</si>
  <si>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</si>
  <si>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</si>
  <si>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</si>
  <si>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</si>
  <si>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</si>
  <si>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</si>
  <si>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</si>
  <si>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</si>
  <si>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</si>
  <si>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</si>
  <si>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</si>
  <si>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</si>
  <si>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</si>
  <si>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</si>
  <si>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</si>
  <si>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</si>
  <si>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</si>
  <si>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</si>
  <si>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</si>
  <si>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</si>
  <si>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</si>
  <si>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</si>
  <si>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</si>
  <si>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</si>
  <si>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</si>
  <si>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</si>
  <si>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</si>
  <si>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</si>
  <si>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</si>
  <si>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</si>
  <si>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</si>
  <si>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</si>
  <si>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</si>
  <si>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</si>
  <si>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</si>
  <si>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</si>
  <si>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</si>
  <si>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</si>
  <si>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</si>
  <si>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</si>
  <si>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</si>
  <si>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</si>
  <si>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</si>
  <si>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</si>
  <si>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</si>
  <si>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</si>
  <si>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</si>
  <si>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</si>
  <si>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</si>
  <si>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</si>
  <si>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</si>
  <si>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</si>
  <si>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</si>
  <si>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</si>
  <si>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</si>
  <si>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</si>
  <si>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</si>
  <si>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</si>
  <si>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</si>
  <si>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</si>
  <si>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</si>
  <si>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</si>
  <si>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</si>
  <si>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</si>
  <si>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</si>
  <si>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</si>
  <si>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</si>
  <si>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</si>
  <si>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</si>
  <si>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</si>
  <si>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</si>
  <si>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</si>
  <si>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</si>
  <si>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</si>
  <si>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</si>
  <si>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</si>
  <si>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</si>
  <si>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</si>
  <si>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</si>
  <si>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</si>
  <si>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</si>
  <si>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</si>
  <si>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</si>
  <si>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</si>
  <si>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</si>
  <si>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</si>
  <si>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</si>
  <si>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</si>
  <si>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</si>
  <si>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</si>
  <si>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</si>
  <si>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</si>
  <si>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</si>
  <si>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</si>
  <si>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</si>
  <si>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</si>
  <si>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</si>
  <si>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</si>
  <si>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</si>
  <si>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</si>
  <si>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</si>
  <si>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</si>
  <si>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</si>
  <si>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</si>
  <si>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</si>
  <si>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</si>
  <si>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</si>
  <si>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</si>
  <si>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</si>
  <si>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</si>
  <si>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</si>
  <si>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</si>
  <si>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</si>
  <si>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</si>
  <si>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</si>
  <si>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</si>
  <si>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</si>
  <si>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</si>
  <si>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</si>
  <si>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</si>
  <si>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</si>
  <si>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</si>
  <si>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</si>
  <si>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</si>
  <si>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</si>
  <si>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</si>
  <si>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</si>
  <si>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</si>
  <si>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</si>
  <si>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</si>
  <si>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</si>
  <si>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</si>
  <si>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</si>
  <si>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</si>
  <si>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</si>
  <si>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</si>
  <si>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</si>
  <si>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</si>
  <si>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</si>
  <si>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</si>
  <si>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</si>
  <si>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</si>
  <si>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</si>
  <si>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</si>
  <si>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</si>
  <si>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</si>
  <si>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</si>
  <si>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</si>
  <si>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</si>
  <si>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</si>
  <si>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</si>
  <si>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</si>
  <si>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</si>
  <si>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</si>
  <si>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</si>
  <si>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</si>
  <si>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</si>
  <si>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</si>
  <si>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</si>
  <si>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</si>
  <si>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</si>
  <si>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</si>
  <si>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</si>
  <si>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</si>
  <si>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</si>
  <si>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</si>
  <si>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</si>
  <si>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</si>
  <si>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</si>
  <si>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</si>
  <si>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</si>
  <si>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</si>
  <si>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</si>
  <si>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</si>
  <si>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</si>
  <si>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</si>
  <si>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</si>
  <si>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</si>
  <si>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</si>
  <si>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</si>
  <si>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</si>
  <si>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</si>
  <si>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</si>
  <si>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</si>
  <si>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</si>
  <si>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</si>
  <si>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</si>
  <si>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</si>
  <si>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</si>
  <si>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</si>
  <si>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</si>
  <si>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</si>
  <si>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</si>
  <si>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</si>
  <si>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</si>
  <si>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</si>
  <si>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</si>
  <si>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</si>
  <si>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</si>
  <si>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</si>
  <si>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</si>
  <si>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</si>
  <si>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</si>
  <si>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</si>
  <si>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</si>
  <si>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</si>
  <si>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</si>
  <si>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</si>
  <si>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</si>
  <si>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</si>
  <si>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</si>
  <si>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</si>
  <si>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</si>
  <si>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</si>
  <si>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</si>
  <si>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</si>
  <si>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</si>
  <si>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</si>
  <si>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</si>
  <si>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</si>
  <si>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</si>
  <si>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</si>
  <si>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</si>
  <si>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</si>
  <si>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</si>
  <si>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</si>
  <si>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</si>
  <si>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</si>
  <si>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</si>
  <si>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</si>
  <si>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</si>
  <si>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</si>
  <si>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</si>
  <si>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</si>
  <si>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</si>
  <si>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</si>
  <si>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</si>
  <si>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</si>
  <si>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</si>
  <si>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</si>
  <si>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</si>
  <si>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</si>
  <si>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</si>
  <si>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</si>
  <si>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</si>
  <si>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</si>
  <si>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</si>
  <si>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</si>
  <si>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</si>
  <si>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</si>
  <si>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</si>
  <si>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</si>
  <si>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</si>
  <si>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</si>
  <si>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</si>
  <si>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</si>
  <si>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</si>
  <si>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</si>
  <si>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</si>
  <si>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</si>
  <si>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</si>
  <si>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</si>
  <si>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</si>
  <si>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</si>
  <si>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</si>
  <si>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</si>
  <si>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</si>
  <si>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</si>
  <si>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</si>
  <si>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</si>
  <si>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</si>
  <si>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</si>
  <si>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</si>
  <si>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</si>
  <si>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</si>
  <si>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</si>
  <si>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</si>
  <si>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</si>
  <si>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</si>
  <si>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</si>
  <si>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</si>
  <si>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</si>
  <si>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</si>
  <si>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</si>
  <si>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</si>
  <si>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</si>
  <si>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</si>
  <si>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</si>
  <si>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</si>
  <si>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</si>
  <si>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</si>
  <si>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</si>
  <si>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</si>
  <si>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</si>
  <si>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</si>
  <si>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</si>
  <si>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</si>
  <si>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</si>
  <si>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</si>
  <si>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</si>
  <si>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</si>
  <si>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</si>
  <si>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</si>
  <si>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</si>
  <si>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</si>
  <si>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</si>
  <si>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</si>
  <si>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</si>
  <si>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</si>
  <si>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</si>
  <si>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</si>
  <si>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</si>
  <si>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</si>
  <si>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</si>
  <si>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</si>
  <si>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</si>
  <si>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</si>
  <si>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</si>
  <si>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</si>
  <si>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</si>
  <si>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</si>
  <si>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</si>
  <si>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</si>
  <si>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</si>
  <si>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</si>
  <si>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</si>
  <si>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</si>
  <si>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</si>
  <si>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</si>
  <si>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</si>
  <si>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</si>
  <si>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</si>
  <si>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</si>
  <si>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</si>
  <si>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</si>
  <si>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</si>
  <si>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</si>
  <si>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</si>
  <si>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</si>
  <si>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</si>
  <si>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</si>
  <si>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</si>
  <si>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</si>
  <si>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</si>
  <si>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</si>
  <si>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</si>
  <si>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</si>
  <si>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</si>
  <si>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</si>
  <si>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</si>
  <si>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</si>
  <si>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</si>
  <si>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</si>
  <si>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</si>
  <si>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</si>
  <si>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</si>
  <si>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</si>
  <si>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</si>
  <si>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</si>
  <si>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</si>
  <si>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</si>
  <si>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</si>
  <si>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</si>
  <si>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</si>
  <si>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</si>
  <si>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</si>
  <si>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</si>
  <si>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</si>
  <si>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</si>
  <si>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</si>
  <si>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</si>
  <si>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</si>
  <si>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</si>
  <si>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</si>
  <si>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</si>
  <si>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</si>
  <si>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</si>
  <si>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</si>
  <si>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</si>
  <si>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</si>
  <si>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</si>
  <si>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</si>
  <si>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</si>
  <si>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</si>
  <si>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</si>
  <si>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</si>
  <si>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</si>
  <si>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</si>
  <si>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</si>
  <si>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</si>
  <si>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</si>
  <si>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</si>
  <si>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</si>
  <si>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</si>
  <si>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</si>
  <si>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</si>
  <si>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</si>
  <si>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</si>
  <si>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</si>
  <si>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</si>
  <si>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</si>
  <si>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</si>
  <si>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</si>
  <si>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</si>
  <si>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</si>
  <si>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</si>
  <si>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</si>
  <si>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</si>
  <si>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</si>
  <si>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</si>
  <si>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</si>
  <si>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</si>
  <si>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</si>
  <si>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</si>
  <si>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</si>
  <si>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</si>
  <si>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</si>
  <si>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</si>
  <si>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</si>
  <si>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</si>
  <si>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</si>
  <si>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</si>
  <si>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</si>
  <si>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</si>
  <si>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</si>
  <si>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</si>
  <si>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</si>
  <si>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</si>
  <si>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</si>
  <si>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</si>
  <si>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</si>
  <si>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</si>
  <si>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</si>
  <si>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</si>
  <si>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</si>
  <si>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</si>
  <si>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</si>
  <si>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</si>
  <si>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</si>
  <si>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</si>
  <si>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</si>
  <si>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</si>
  <si>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</si>
  <si>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</si>
  <si>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</si>
  <si>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</si>
  <si>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</si>
  <si>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</si>
  <si>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</si>
  <si>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</si>
  <si>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</si>
  <si>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</si>
  <si>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</si>
  <si>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</si>
  <si>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</si>
  <si>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</si>
  <si>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</si>
  <si>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</si>
  <si>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</si>
  <si>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</si>
  <si>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</si>
  <si>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</si>
  <si>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</si>
  <si>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</si>
  <si>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</si>
  <si>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</si>
  <si>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</si>
  <si>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</si>
  <si>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</si>
  <si>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</si>
  <si>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</si>
  <si>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</si>
  <si>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</si>
  <si>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</si>
  <si>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</si>
  <si>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</si>
  <si>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</si>
  <si>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</si>
  <si>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</si>
  <si>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</si>
  <si>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</si>
  <si>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</si>
  <si>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</si>
  <si>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</si>
  <si>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</si>
  <si>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</si>
  <si>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</si>
  <si>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</si>
  <si>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</si>
  <si>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</si>
  <si>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</si>
  <si>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</si>
  <si>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</si>
  <si>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</si>
  <si>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</si>
  <si>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</si>
  <si>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</si>
  <si>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</si>
  <si>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</si>
  <si>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</si>
  <si>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</si>
  <si>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</si>
  <si>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</si>
  <si>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</si>
  <si>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</si>
  <si>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</si>
  <si>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</si>
  <si>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</si>
  <si>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</si>
  <si>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</si>
  <si>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</si>
  <si>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</si>
  <si>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</si>
  <si>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</si>
  <si>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</si>
  <si>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</si>
  <si>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</si>
  <si>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</si>
  <si>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</si>
  <si>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</si>
  <si>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</si>
  <si>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</si>
  <si>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</si>
  <si>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</si>
  <si>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</si>
  <si>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</si>
  <si>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</si>
  <si>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</si>
  <si>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</si>
  <si>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</si>
  <si>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</si>
  <si>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</si>
  <si>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</si>
  <si>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</si>
  <si>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</si>
  <si>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</si>
  <si>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</si>
  <si>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</si>
  <si>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</si>
  <si>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</si>
  <si>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</si>
  <si>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</si>
  <si>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</si>
  <si>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</si>
  <si>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</si>
  <si>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</si>
  <si>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</si>
  <si>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</si>
  <si>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</si>
  <si>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</si>
  <si>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</si>
  <si>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</si>
  <si>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</si>
  <si>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</si>
  <si>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</si>
  <si>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</si>
  <si>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</si>
  <si>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</si>
  <si>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</si>
  <si>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</si>
  <si>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</si>
  <si>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</si>
  <si>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</si>
  <si>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</si>
  <si>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</si>
  <si>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</si>
  <si>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</si>
  <si>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</si>
  <si>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</si>
  <si>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</si>
  <si>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</si>
  <si>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</si>
  <si>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</si>
  <si>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</si>
  <si>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</si>
  <si>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</si>
  <si>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</si>
  <si>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</si>
  <si>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</si>
  <si>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</si>
  <si>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</si>
  <si>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</si>
  <si>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</si>
  <si>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</si>
  <si>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</si>
  <si>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</si>
  <si>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</si>
  <si>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</si>
  <si>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</si>
  <si>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</si>
  <si>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</si>
  <si>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</si>
  <si>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</si>
  <si>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</si>
  <si>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</si>
  <si>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</si>
  <si>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</si>
  <si>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</si>
  <si>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</si>
  <si>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</si>
  <si>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</si>
  <si>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</si>
  <si>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</si>
  <si>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</si>
  <si>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</si>
  <si>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</si>
  <si>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</si>
  <si>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</si>
  <si>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</si>
  <si>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</si>
  <si>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</si>
  <si>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</si>
  <si>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</si>
  <si>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</si>
  <si>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</si>
  <si>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</si>
  <si>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</si>
  <si>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</si>
  <si>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</si>
  <si>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</si>
  <si>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</si>
  <si>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</si>
  <si>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</si>
  <si>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</si>
  <si>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</si>
  <si>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</si>
  <si>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</si>
  <si>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</si>
  <si>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</si>
  <si>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</si>
  <si>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</si>
  <si>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</si>
  <si>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</si>
  <si>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</si>
  <si>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</si>
  <si>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</si>
  <si>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</si>
  <si>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</si>
  <si>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</si>
  <si>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</si>
  <si>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</si>
  <si>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</si>
  <si>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</si>
  <si>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</si>
  <si>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</si>
  <si>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</si>
  <si>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</si>
  <si>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</si>
  <si>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</si>
  <si>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</si>
  <si>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</si>
  <si>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</si>
  <si>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</si>
  <si>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</si>
  <si>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</si>
  <si>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</si>
  <si>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</si>
  <si>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</si>
  <si>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</si>
  <si>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</si>
  <si>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</si>
  <si>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</si>
  <si>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</si>
  <si>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</si>
  <si>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</si>
  <si>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</si>
  <si>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</si>
  <si>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</si>
  <si>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</si>
  <si>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</si>
  <si>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</si>
  <si>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</si>
  <si>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</si>
  <si>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</si>
  <si>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</si>
  <si>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</si>
  <si>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</si>
  <si>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</si>
  <si>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</si>
  <si>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</si>
  <si>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</si>
  <si>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</si>
  <si>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</si>
  <si>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</si>
  <si>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</si>
  <si>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</si>
  <si>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</si>
  <si>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</si>
  <si>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</si>
  <si>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</si>
  <si>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</si>
  <si>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</si>
  <si>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</si>
  <si>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</si>
  <si>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</si>
  <si>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</si>
  <si>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</si>
  <si>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</si>
  <si>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</si>
  <si>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</si>
  <si>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</si>
  <si>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</si>
  <si>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</si>
  <si>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</si>
  <si>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</si>
  <si>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</si>
  <si>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</si>
  <si>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</si>
  <si>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</si>
  <si>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</si>
  <si>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</si>
  <si>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</si>
  <si>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</si>
  <si>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</si>
  <si>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</si>
  <si>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</si>
  <si>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</si>
  <si>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</si>
  <si>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</si>
  <si>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</si>
  <si>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</si>
  <si>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</si>
  <si>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</si>
  <si>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</si>
  <si>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</si>
  <si>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</si>
  <si>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</si>
  <si>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</si>
  <si>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</si>
  <si>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</si>
  <si>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</si>
  <si>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</si>
  <si>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</si>
  <si>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</si>
  <si>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</si>
  <si>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</si>
  <si>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</si>
  <si>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</si>
  <si>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</si>
  <si>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</si>
  <si>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</si>
  <si>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</si>
  <si>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</si>
  <si>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</si>
  <si>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</si>
  <si>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</si>
  <si>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</si>
  <si>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</si>
  <si>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</si>
  <si>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</si>
  <si>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</si>
  <si>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</si>
  <si>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</si>
  <si>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</si>
  <si>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</si>
  <si>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</si>
  <si>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</si>
  <si>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</si>
  <si>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</si>
  <si>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</si>
  <si>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</si>
  <si>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</si>
  <si>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</si>
  <si>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</si>
  <si>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</si>
  <si>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</si>
  <si>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</si>
  <si>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</si>
  <si>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</si>
  <si>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</si>
  <si>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</si>
  <si>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</si>
  <si>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</si>
  <si>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</si>
  <si>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</si>
  <si>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</si>
  <si>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</si>
  <si>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</si>
  <si>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</si>
  <si>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</si>
  <si>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</si>
  <si>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</si>
  <si>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</si>
  <si>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</si>
  <si>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</si>
  <si>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</si>
  <si>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</si>
  <si>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</si>
  <si>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</si>
  <si>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</si>
  <si>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</si>
  <si>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</si>
  <si>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</si>
  <si>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</si>
  <si>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</si>
  <si>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</si>
  <si>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</si>
  <si>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</si>
  <si>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</si>
  <si>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</si>
  <si>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</si>
  <si>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</si>
  <si>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</si>
  <si>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</si>
  <si>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</si>
  <si>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</si>
  <si>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</si>
  <si>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</si>
  <si>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</si>
  <si>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</si>
  <si>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</si>
  <si>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</si>
  <si>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</si>
  <si>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</si>
  <si>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</si>
  <si>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</si>
  <si>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</si>
  <si>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</si>
  <si>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</si>
  <si>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</si>
  <si>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</si>
  <si>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</si>
  <si>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</si>
  <si>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</si>
  <si>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</si>
  <si>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</si>
  <si>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</si>
  <si>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</si>
  <si>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</si>
  <si>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</si>
  <si>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</si>
  <si>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</si>
  <si>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</si>
  <si>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</si>
  <si>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</si>
  <si>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</si>
  <si>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</si>
  <si>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</si>
  <si>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</si>
  <si>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</si>
  <si>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</si>
  <si>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</si>
  <si>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</si>
  <si>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</si>
  <si>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</si>
  <si>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</si>
  <si>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</si>
  <si>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</si>
  <si>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</si>
  <si>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</si>
  <si>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</si>
  <si>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</si>
  <si>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</si>
  <si>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</si>
  <si>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</si>
  <si>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</si>
  <si>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</si>
  <si>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</si>
  <si>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</si>
  <si>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</si>
  <si>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</si>
  <si>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</si>
  <si>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</si>
  <si>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</si>
  <si>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</si>
  <si>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</si>
  <si>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</si>
  <si>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</si>
  <si>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</si>
  <si>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</si>
  <si>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</si>
  <si>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</si>
  <si>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</si>
  <si>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</si>
  <si>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</si>
  <si>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</si>
  <si>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</si>
  <si>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</si>
  <si>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</si>
  <si>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</si>
  <si>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</si>
  <si>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</si>
  <si>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</si>
  <si>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</si>
  <si>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</si>
  <si>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</si>
  <si>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</si>
  <si>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</si>
  <si>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</si>
  <si>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</si>
  <si>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</si>
  <si>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</si>
  <si>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</si>
  <si>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</si>
  <si>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</si>
  <si>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</si>
  <si>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</si>
  <si>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</si>
  <si>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</si>
  <si>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</si>
  <si>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</si>
  <si>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</si>
  <si>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</si>
  <si>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</si>
  <si>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</si>
  <si>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</si>
  <si>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</si>
  <si>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</si>
  <si>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</si>
  <si>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</si>
  <si>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</si>
  <si>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</si>
  <si>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</si>
  <si>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</si>
  <si>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</si>
  <si>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</si>
  <si>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</si>
  <si>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</si>
  <si>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</si>
  <si>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</si>
  <si>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</si>
  <si>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</si>
  <si>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</si>
  <si>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</si>
  <si>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</si>
  <si>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</si>
  <si>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</si>
  <si>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</si>
  <si>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</si>
  <si>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</si>
  <si>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</si>
  <si>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</si>
  <si>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</si>
  <si>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</si>
  <si>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</si>
  <si>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</si>
  <si>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</si>
  <si>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</si>
  <si>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</si>
  <si>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</si>
  <si>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</si>
  <si>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</si>
  <si>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</si>
  <si>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</si>
  <si>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</si>
  <si>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</si>
  <si>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</si>
  <si>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</si>
  <si>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</si>
  <si>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</si>
  <si>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</si>
  <si>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</si>
  <si>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</si>
  <si>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</si>
  <si>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</si>
  <si>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</si>
  <si>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</si>
  <si>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</si>
  <si>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</si>
  <si>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</si>
  <si>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</si>
  <si>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</si>
  <si>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</si>
  <si>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</si>
  <si>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</si>
  <si>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</si>
  <si>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</si>
  <si>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</si>
  <si>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</si>
  <si>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</si>
  <si>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</si>
  <si>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</si>
  <si>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</si>
  <si>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</si>
  <si>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</si>
  <si>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</si>
  <si>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</si>
  <si>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</si>
  <si>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</si>
  <si>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</si>
  <si>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</si>
  <si>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</si>
  <si>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</si>
  <si>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</si>
  <si>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</si>
  <si>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</si>
  <si>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</si>
  <si>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</si>
  <si>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</si>
  <si>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</si>
  <si>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</si>
  <si>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</si>
  <si>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</si>
  <si>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</si>
  <si>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</si>
  <si>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</si>
  <si>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</si>
  <si>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</si>
  <si>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</si>
  <si>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</si>
  <si>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</si>
  <si>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</si>
  <si>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</si>
  <si>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</si>
  <si>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</si>
  <si>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</si>
  <si>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</si>
  <si>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</si>
  <si>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</si>
  <si>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</si>
  <si>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</si>
  <si>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</si>
  <si>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</si>
  <si>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</si>
  <si>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</si>
  <si>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</si>
  <si>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</si>
  <si>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</si>
  <si>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</si>
  <si>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</si>
  <si>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</si>
  <si>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</si>
  <si>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</si>
  <si>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</si>
  <si>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</si>
  <si>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</si>
  <si>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</si>
  <si>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</si>
  <si>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</si>
  <si>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</si>
  <si>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</si>
  <si>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</si>
  <si>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</si>
  <si>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</si>
  <si>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</si>
  <si>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</si>
  <si>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</si>
  <si>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</si>
  <si>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</si>
  <si>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</si>
  <si>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</si>
  <si>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</si>
  <si>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</si>
  <si>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</si>
  <si>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</si>
  <si>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</si>
  <si>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</si>
  <si>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</si>
  <si>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</si>
  <si>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</si>
  <si>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</si>
  <si>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</si>
  <si>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</si>
  <si>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</si>
  <si>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</si>
  <si>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</si>
  <si>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</si>
  <si>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</si>
  <si>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</si>
  <si>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</si>
  <si>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</si>
  <si>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</si>
  <si>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</si>
  <si>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</si>
  <si>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</si>
  <si>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</si>
  <si>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</si>
  <si>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</si>
  <si>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</si>
  <si>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</si>
  <si>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</si>
  <si>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</si>
  <si>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</si>
  <si>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</si>
  <si>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</si>
  <si>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</si>
  <si>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</si>
  <si>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</si>
  <si>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</si>
  <si>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</si>
  <si>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</si>
  <si>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</si>
  <si>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</si>
  <si>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</si>
  <si>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</si>
  <si>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</si>
  <si>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</si>
  <si>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</si>
  <si>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</si>
  <si>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</si>
  <si>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</si>
  <si>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</si>
  <si>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</si>
  <si>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</si>
  <si>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</si>
  <si>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</si>
  <si>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</si>
  <si>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</si>
  <si>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</si>
  <si>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</si>
  <si>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</si>
  <si>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</si>
  <si>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</si>
  <si>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</si>
  <si>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</si>
  <si>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</si>
  <si>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</si>
  <si>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</si>
  <si>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</si>
  <si>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</si>
  <si>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</si>
  <si>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</si>
  <si>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</si>
  <si>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</si>
  <si>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</si>
  <si>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</si>
  <si>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</si>
  <si>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</si>
  <si>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</si>
  <si>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</si>
  <si>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</si>
  <si>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</si>
  <si>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</si>
  <si>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</si>
  <si>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</si>
  <si>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</si>
  <si>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</si>
  <si>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</si>
  <si>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</si>
  <si>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</si>
  <si>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</si>
  <si>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</si>
  <si>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</si>
  <si>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</si>
  <si>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</si>
  <si>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</si>
  <si>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</si>
  <si>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</si>
  <si>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</si>
  <si>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</si>
  <si>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</si>
  <si>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</si>
  <si>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</si>
  <si>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</si>
  <si>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</si>
  <si>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</si>
  <si>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</si>
  <si>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</si>
  <si>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</si>
  <si>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</si>
  <si>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</si>
  <si>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</si>
  <si>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</si>
  <si>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</si>
  <si>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</si>
  <si>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</si>
  <si>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</si>
  <si>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</si>
  <si>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</si>
  <si>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</si>
  <si>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</si>
  <si>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</si>
  <si>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</si>
  <si>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</si>
  <si>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</si>
  <si>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</si>
  <si>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</si>
  <si>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</si>
  <si>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</si>
  <si>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</si>
  <si>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</si>
  <si>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</si>
  <si>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</si>
  <si>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</si>
  <si>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</si>
  <si>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</si>
  <si>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</si>
  <si>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</si>
  <si>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</si>
  <si>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</si>
  <si>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</si>
  <si>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</si>
  <si>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</si>
  <si>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</si>
  <si>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</si>
  <si>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</si>
  <si>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</si>
  <si>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</si>
  <si>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</si>
  <si>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</si>
  <si>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</si>
  <si>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</si>
  <si>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</si>
  <si>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</si>
  <si>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</si>
  <si>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</si>
  <si>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</si>
  <si>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</si>
  <si>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</si>
  <si>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</si>
  <si>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</si>
  <si>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</si>
  <si>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</si>
  <si>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</si>
  <si>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</si>
  <si>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</si>
  <si>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</si>
  <si>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</si>
  <si>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</si>
  <si>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</si>
  <si>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</si>
  <si>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</si>
  <si>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</si>
  <si>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</si>
  <si>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</si>
  <si>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</si>
  <si>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</si>
  <si>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</si>
  <si>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</si>
  <si>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</si>
  <si>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</si>
  <si>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</si>
  <si>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</si>
  <si>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</si>
  <si>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</si>
  <si>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</si>
  <si>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</si>
  <si>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</si>
  <si>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</si>
  <si>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</si>
  <si>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</si>
  <si>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</si>
  <si>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</si>
  <si>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</si>
  <si>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</si>
  <si>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</si>
  <si>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</si>
  <si>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</si>
  <si>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</si>
  <si>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</si>
  <si>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</si>
  <si>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</si>
  <si>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</si>
  <si>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</si>
  <si>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</si>
  <si>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</si>
  <si>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</si>
  <si>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</si>
  <si>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</si>
  <si>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</si>
  <si>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</si>
  <si>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</si>
  <si>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</si>
  <si>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</si>
  <si>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</si>
  <si>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</si>
  <si>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</si>
  <si>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</si>
  <si>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</si>
  <si>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</si>
  <si>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</si>
  <si>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</si>
  <si>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</si>
  <si>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</si>
  <si>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</si>
  <si>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</si>
  <si>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</si>
  <si>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</si>
  <si>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</si>
  <si>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</si>
  <si>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</si>
  <si>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</si>
  <si>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</si>
  <si>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</si>
  <si>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</si>
  <si>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</si>
  <si>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</si>
  <si>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</si>
  <si>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</si>
  <si>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</si>
  <si>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</si>
  <si>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</si>
  <si>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</si>
  <si>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</si>
  <si>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</si>
  <si>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</si>
  <si>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</si>
  <si>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</si>
  <si>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</si>
  <si>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</si>
  <si>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</si>
  <si>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</si>
  <si>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</si>
  <si>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</si>
  <si>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</si>
  <si>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</si>
  <si>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</si>
  <si>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</si>
  <si>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</si>
  <si>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</si>
  <si>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</si>
  <si>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</si>
  <si>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</si>
  <si>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</si>
  <si>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</si>
  <si>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</si>
  <si>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</si>
  <si>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</si>
  <si>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</si>
  <si>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</si>
  <si>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</si>
  <si>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</si>
  <si>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</si>
  <si>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</si>
  <si>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</si>
  <si>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</si>
  <si>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</si>
  <si>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</si>
  <si>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</si>
  <si>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</si>
  <si>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</si>
  <si>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</si>
  <si>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</si>
  <si>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</si>
  <si>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</si>
  <si>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</si>
  <si>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</si>
  <si>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</si>
  <si>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</si>
  <si>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</si>
  <si>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</si>
  <si>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</si>
  <si>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</si>
  <si>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</si>
  <si>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</si>
  <si>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</si>
  <si>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</si>
  <si>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</si>
  <si>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</si>
  <si>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</si>
  <si>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</si>
  <si>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</si>
  <si>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</si>
  <si>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</si>
  <si>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</si>
  <si>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</si>
  <si>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</si>
  <si>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</si>
  <si>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</si>
  <si>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</si>
  <si>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</si>
  <si>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</si>
  <si>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</si>
  <si>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</si>
  <si>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</si>
  <si>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</si>
  <si>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</si>
  <si>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</si>
  <si>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</si>
  <si>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</si>
  <si>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</si>
  <si>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</si>
  <si>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</si>
  <si>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</si>
  <si>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</si>
  <si>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</si>
  <si>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</si>
  <si>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</si>
  <si>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</si>
  <si>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</si>
  <si>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</si>
  <si>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</si>
  <si>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</si>
  <si>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</si>
  <si>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</si>
  <si>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</si>
  <si>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</si>
  <si>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</si>
  <si>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</si>
  <si>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</si>
  <si>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</si>
  <si>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</si>
  <si>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</si>
  <si>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</si>
  <si>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</si>
  <si>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</si>
  <si>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</si>
  <si>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</si>
  <si>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</si>
  <si>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</si>
  <si>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</si>
  <si>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</si>
  <si>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</si>
  <si>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</si>
  <si>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</si>
  <si>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</si>
  <si>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</si>
  <si>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</si>
  <si>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</si>
  <si>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</si>
  <si>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</si>
  <si>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</si>
  <si>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</si>
  <si>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</si>
  <si>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</si>
  <si>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</si>
  <si>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</si>
  <si>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</si>
  <si>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</si>
  <si>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</si>
  <si>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</si>
  <si>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</si>
  <si>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</si>
  <si>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</si>
  <si>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</si>
  <si>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</si>
  <si>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</si>
  <si>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</si>
  <si>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</si>
  <si>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</si>
  <si>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</si>
  <si>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</si>
  <si>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</si>
  <si>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</si>
  <si>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</si>
  <si>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</si>
  <si>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</si>
  <si>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</si>
  <si>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</si>
  <si>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</si>
  <si>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</si>
  <si>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</si>
  <si>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</si>
  <si>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</si>
  <si>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</si>
  <si>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</si>
  <si>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</si>
  <si>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</si>
  <si>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</si>
  <si>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</si>
  <si>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</si>
  <si>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</si>
  <si>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</si>
  <si>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</si>
  <si>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</si>
  <si>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</si>
  <si>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</si>
  <si>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</si>
  <si>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</si>
  <si>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</si>
  <si>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</si>
  <si>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</si>
  <si>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</si>
  <si>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</si>
  <si>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</si>
  <si>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</si>
  <si>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</si>
  <si>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</si>
  <si>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</si>
  <si>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</si>
  <si>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</si>
  <si>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</si>
  <si>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</si>
  <si>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</si>
  <si>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</si>
  <si>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</si>
  <si>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</si>
  <si>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</si>
  <si>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</si>
  <si>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</si>
  <si>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</si>
  <si>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</si>
  <si>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</si>
  <si>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</si>
  <si>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</si>
  <si>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</si>
  <si>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</si>
  <si>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</si>
  <si>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</si>
  <si>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</si>
  <si>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</si>
  <si>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</si>
  <si>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</si>
  <si>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</si>
  <si>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</si>
  <si>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</si>
  <si>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</si>
  <si>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</si>
  <si>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</si>
  <si>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</si>
  <si>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</si>
  <si>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</si>
  <si>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</si>
  <si>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</si>
  <si>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</si>
  <si>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</si>
  <si>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</si>
  <si>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</si>
  <si>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</si>
  <si>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</si>
  <si>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</si>
  <si>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</si>
  <si>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</si>
  <si>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</si>
  <si>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</si>
  <si>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</si>
  <si>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</si>
  <si>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</si>
  <si>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</si>
  <si>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</si>
  <si>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</si>
  <si>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</si>
  <si>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</si>
  <si>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</si>
  <si>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</si>
  <si>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</si>
  <si>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</si>
  <si>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</si>
  <si>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</si>
  <si>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</si>
  <si>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</si>
  <si>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</si>
  <si>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</si>
  <si>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</si>
  <si>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</si>
  <si>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</si>
  <si>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</si>
  <si>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</si>
  <si>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</si>
  <si>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</si>
  <si>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</si>
  <si>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</si>
  <si>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</si>
  <si>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</si>
  <si>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</si>
  <si>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</si>
  <si>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</si>
  <si>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</si>
  <si>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</si>
  <si>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</si>
  <si>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</si>
  <si>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</si>
  <si>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</si>
  <si>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</si>
  <si>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</si>
  <si>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</si>
  <si>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</si>
  <si>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</si>
  <si>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</si>
  <si>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</si>
  <si>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</si>
  <si>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</si>
  <si>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</si>
  <si>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</si>
  <si>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</si>
  <si>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</si>
  <si>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</si>
  <si>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</si>
  <si>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</si>
  <si>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</si>
  <si>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</si>
  <si>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</si>
  <si>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</si>
  <si>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</si>
  <si>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</si>
  <si>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</si>
  <si>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</si>
  <si>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</si>
  <si>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</si>
  <si>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</si>
  <si>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</si>
  <si>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</si>
  <si>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</si>
  <si>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</si>
  <si>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</si>
  <si>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</si>
  <si>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</si>
  <si>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</si>
  <si>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</si>
  <si>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</si>
  <si>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</si>
  <si>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</si>
  <si>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</si>
  <si>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</si>
  <si>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</si>
  <si>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</si>
  <si>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</si>
  <si>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</si>
  <si>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</si>
  <si>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</si>
  <si>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</si>
  <si>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</si>
  <si>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</si>
  <si>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</si>
  <si>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</si>
  <si>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</si>
  <si>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</si>
  <si>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</si>
  <si>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</si>
  <si>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</si>
  <si>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</si>
  <si>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</si>
  <si>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</si>
  <si>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</si>
  <si>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</si>
  <si>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</si>
  <si>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</si>
  <si>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</si>
  <si>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</si>
  <si>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</si>
  <si>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</si>
  <si>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</si>
  <si>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</si>
  <si>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</si>
  <si>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</si>
  <si>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</si>
  <si>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</si>
  <si>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</si>
  <si>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</si>
  <si>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</si>
  <si>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</si>
  <si>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</si>
  <si>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</si>
  <si>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</si>
  <si>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</si>
  <si>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</si>
  <si>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</si>
  <si>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</si>
  <si>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</si>
  <si>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</si>
  <si>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</si>
  <si>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</si>
  <si>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</si>
  <si>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</si>
  <si>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</si>
  <si>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</si>
  <si>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</si>
  <si>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</si>
  <si>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</si>
  <si>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</si>
  <si>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</si>
  <si>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</si>
  <si>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</si>
  <si>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</si>
  <si>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</si>
  <si>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</si>
  <si>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</si>
  <si>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</si>
  <si>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</si>
  <si>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</si>
  <si>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</si>
  <si>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</si>
  <si>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</si>
  <si>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</si>
  <si>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</si>
  <si>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</si>
  <si>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</si>
  <si>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</si>
  <si>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</si>
  <si>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</si>
  <si>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</si>
  <si>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</si>
  <si>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</si>
  <si>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</si>
  <si>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</si>
  <si>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</si>
  <si>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</si>
  <si>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</si>
  <si>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</si>
  <si>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</si>
  <si>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</si>
  <si>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</si>
  <si>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</si>
  <si>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</si>
  <si>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</si>
  <si>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</si>
  <si>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</si>
  <si>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</si>
  <si>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</si>
  <si>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</si>
  <si>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</si>
  <si>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</si>
  <si>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</si>
  <si>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</si>
  <si>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</si>
  <si>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</si>
  <si>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</si>
  <si>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</si>
  <si>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</si>
  <si>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</si>
  <si>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</si>
  <si>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</si>
  <si>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</si>
  <si>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</si>
  <si>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</si>
  <si>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</si>
  <si>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</si>
  <si>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</si>
  <si>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</si>
  <si>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</si>
  <si>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</si>
  <si>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</si>
  <si>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</si>
  <si>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</si>
  <si>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</si>
  <si>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</si>
  <si>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</si>
  <si>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</si>
  <si>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</si>
  <si>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</si>
  <si>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</si>
  <si>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</si>
  <si>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</si>
  <si>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</si>
  <si>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</si>
  <si>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</si>
  <si>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</si>
  <si>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</si>
  <si>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</si>
  <si>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</si>
  <si>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</si>
  <si>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</si>
  <si>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</si>
  <si>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</si>
  <si>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</si>
  <si>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</si>
  <si>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</si>
  <si>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</si>
  <si>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</si>
  <si>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</si>
  <si>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</si>
  <si>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</si>
  <si>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</si>
  <si>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</si>
  <si>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</si>
  <si>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</si>
  <si>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</si>
  <si>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</si>
  <si>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</si>
  <si>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</si>
  <si>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</si>
  <si>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</si>
  <si>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</si>
  <si>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</si>
  <si>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</si>
  <si>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</si>
  <si>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</si>
  <si>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</si>
  <si>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</si>
  <si>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</si>
  <si>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</si>
  <si>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</si>
  <si>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</si>
  <si>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</si>
  <si>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</si>
  <si>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</si>
  <si>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</si>
  <si>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</si>
  <si>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</si>
  <si>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</si>
  <si>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</si>
  <si>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</si>
  <si>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</si>
  <si>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</si>
  <si>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</si>
  <si>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</si>
  <si>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</si>
  <si>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</si>
  <si>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</si>
  <si>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</si>
  <si>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</si>
  <si>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</si>
  <si>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</si>
  <si>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</si>
  <si>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</si>
  <si>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</si>
  <si>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</si>
  <si>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</si>
  <si>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</si>
  <si>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</si>
  <si>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</si>
  <si>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</si>
  <si>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</si>
  <si>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</si>
  <si>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</si>
  <si>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</si>
  <si>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</si>
  <si>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</si>
  <si>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</si>
  <si>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</si>
  <si>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</si>
  <si>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</si>
  <si>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</si>
  <si>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</si>
  <si>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</si>
  <si>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</si>
  <si>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</si>
  <si>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</si>
  <si>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</si>
  <si>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</si>
  <si>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</si>
  <si>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</si>
  <si>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</si>
  <si>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</si>
  <si>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</si>
  <si>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</si>
  <si>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</si>
  <si>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</si>
  <si>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</si>
  <si>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</si>
  <si>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</si>
  <si>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</si>
  <si>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</si>
  <si>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</si>
  <si>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</si>
  <si>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</si>
  <si>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</si>
  <si>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</si>
  <si>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</si>
  <si>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</si>
  <si>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</si>
  <si>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</si>
  <si>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</si>
  <si>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</si>
  <si>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</si>
  <si>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</si>
  <si>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</si>
  <si>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</si>
  <si>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</si>
  <si>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</si>
  <si>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</si>
  <si>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</si>
  <si>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</si>
  <si>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</si>
  <si>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</si>
  <si>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</si>
  <si>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</si>
  <si>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</si>
  <si>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</si>
  <si>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</si>
  <si>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</si>
  <si>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</si>
  <si>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</si>
  <si>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</si>
  <si>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</si>
  <si>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</si>
  <si>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</si>
  <si>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</si>
  <si>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</si>
  <si>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</si>
  <si>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</si>
  <si>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</si>
  <si>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</si>
  <si>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</si>
  <si>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</si>
  <si>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</si>
  <si>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</si>
  <si>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</si>
  <si>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</si>
  <si>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</si>
  <si>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</si>
  <si>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</si>
  <si>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</si>
  <si>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</si>
  <si>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</si>
  <si>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</si>
  <si>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</si>
  <si>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</si>
  <si>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</si>
  <si>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</si>
  <si>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</si>
  <si>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</si>
  <si>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</si>
  <si>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</si>
  <si>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</si>
  <si>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</si>
  <si>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</si>
  <si>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</si>
  <si>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</si>
  <si>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</si>
  <si>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</si>
  <si>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</si>
  <si>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</si>
  <si>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</si>
  <si>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</si>
  <si>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</si>
  <si>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</si>
  <si>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</si>
  <si>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</si>
  <si>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</si>
  <si>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</si>
  <si>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</si>
  <si>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</si>
  <si>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</si>
  <si>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</si>
  <si>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</si>
  <si>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</si>
  <si>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</si>
  <si>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</si>
  <si>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</si>
  <si>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</si>
  <si>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</si>
  <si>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</si>
  <si>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</si>
  <si>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</si>
  <si>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</si>
  <si>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</si>
  <si>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</si>
  <si>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</si>
  <si>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</si>
  <si>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</si>
  <si>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</si>
  <si>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</si>
  <si>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</si>
  <si>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</si>
  <si>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</si>
  <si>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</si>
  <si>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</si>
  <si>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</si>
  <si>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</si>
  <si>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</si>
  <si>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</si>
  <si>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</si>
  <si>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</si>
  <si>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</si>
  <si>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</si>
  <si>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</si>
  <si>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</si>
  <si>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</si>
  <si>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</si>
  <si>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</si>
  <si>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</si>
  <si>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</si>
  <si>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</si>
  <si>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</si>
  <si>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</si>
  <si>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</si>
  <si>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</si>
  <si>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</si>
  <si>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</si>
  <si>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</si>
  <si>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</si>
  <si>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</si>
  <si>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</si>
  <si>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</si>
  <si>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</si>
  <si>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</si>
  <si>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</si>
  <si>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</si>
  <si>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</si>
  <si>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</si>
  <si>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</si>
  <si>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</si>
  <si>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</si>
  <si>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</si>
  <si>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</si>
  <si>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</si>
  <si>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</si>
  <si>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</si>
  <si>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</si>
  <si>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</si>
  <si>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</si>
  <si>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</si>
  <si>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</si>
  <si>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</si>
  <si>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</si>
  <si>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</si>
  <si>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</si>
  <si>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</si>
  <si>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</si>
  <si>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</si>
  <si>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</si>
  <si>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</si>
  <si>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</si>
  <si>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</si>
  <si>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</si>
  <si>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</si>
  <si>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</si>
  <si>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</si>
  <si>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</si>
  <si>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</si>
  <si>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</si>
  <si>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</si>
  <si>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</si>
  <si>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</si>
  <si>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</si>
  <si>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</si>
  <si>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</si>
  <si>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</si>
  <si>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</si>
  <si>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</si>
  <si>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</si>
  <si>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</si>
  <si>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</si>
  <si>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</si>
  <si>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</si>
  <si>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</si>
  <si>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</si>
  <si>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</si>
  <si>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</si>
  <si>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</si>
  <si>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</si>
  <si>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</si>
  <si>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</si>
  <si>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</si>
  <si>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</si>
  <si>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</si>
  <si>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</si>
  <si>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</si>
  <si>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</si>
  <si>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</si>
  <si>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</si>
  <si>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</si>
  <si>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</si>
  <si>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</si>
  <si>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</si>
  <si>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</si>
  <si>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</si>
  <si>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</si>
  <si>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</si>
  <si>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</si>
  <si>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</si>
  <si>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</si>
  <si>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</si>
  <si>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</si>
  <si>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</si>
  <si>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</si>
  <si>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</si>
  <si>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</si>
  <si>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</si>
  <si>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</si>
  <si>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</si>
  <si>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</si>
  <si>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</si>
  <si>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</si>
  <si>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</si>
  <si>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</si>
  <si>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</si>
  <si>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</si>
  <si>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</si>
  <si>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</si>
  <si>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</si>
  <si>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</si>
  <si>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</si>
  <si>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</si>
  <si>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</si>
  <si>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</si>
  <si>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</si>
  <si>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</si>
  <si>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</si>
  <si>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</si>
  <si>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</si>
  <si>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</si>
  <si>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</si>
  <si>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</si>
  <si>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</si>
  <si>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</si>
  <si>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</si>
  <si>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</si>
  <si>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</si>
  <si>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</si>
  <si>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</si>
  <si>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</si>
  <si>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</si>
  <si>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</si>
  <si>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</si>
  <si>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</si>
  <si>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</si>
  <si>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</si>
  <si>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</si>
  <si>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</si>
  <si>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</si>
  <si>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</si>
  <si>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</si>
  <si>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</si>
  <si>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</si>
  <si>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</si>
  <si>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</si>
  <si>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</si>
  <si>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</si>
  <si>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</si>
  <si>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</si>
  <si>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</si>
  <si>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</si>
  <si>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</si>
  <si>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</si>
  <si>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</si>
  <si>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</si>
  <si>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</si>
  <si>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</si>
  <si>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</si>
  <si>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</si>
  <si>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</si>
  <si>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</si>
  <si>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</si>
  <si>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</si>
  <si>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</si>
  <si>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</si>
  <si>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</si>
  <si>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</si>
  <si>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</si>
  <si>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</si>
  <si>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</si>
  <si>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</si>
  <si>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</si>
  <si>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</si>
  <si>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</si>
  <si>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</si>
  <si>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</si>
  <si>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</si>
  <si>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</si>
  <si>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</si>
  <si>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</si>
  <si>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</si>
  <si>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</si>
  <si>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</si>
  <si>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</si>
  <si>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</si>
  <si>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</si>
  <si>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</si>
  <si>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</si>
  <si>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</si>
  <si>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</si>
  <si>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</si>
  <si>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</si>
  <si>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</si>
  <si>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</si>
  <si>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</si>
  <si>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</si>
  <si>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</si>
  <si>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</si>
  <si>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</si>
  <si>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</si>
  <si>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</si>
  <si>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</si>
  <si>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</si>
  <si>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</si>
  <si>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</si>
  <si>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</si>
  <si>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</si>
  <si>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</si>
  <si>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</si>
  <si>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</si>
  <si>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</si>
  <si>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</si>
  <si>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</si>
  <si>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</si>
  <si>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</si>
  <si>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</si>
  <si>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</si>
  <si>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</si>
  <si>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</si>
  <si>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</si>
  <si>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</si>
  <si>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</si>
  <si>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</si>
  <si>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</si>
  <si>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</si>
  <si>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</si>
  <si>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</si>
  <si>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</si>
  <si>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</si>
  <si>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</si>
  <si>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</si>
  <si>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</si>
  <si>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</si>
  <si>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</si>
  <si>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</si>
  <si>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</si>
  <si>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</si>
  <si>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</si>
  <si>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</si>
  <si>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</si>
  <si>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</si>
  <si>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</si>
  <si>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</si>
  <si>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</si>
  <si>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</si>
  <si>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</si>
  <si>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</si>
  <si>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</si>
  <si>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</si>
  <si>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</si>
  <si>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</si>
  <si>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</si>
  <si>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</si>
  <si>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</si>
  <si>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</si>
  <si>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</si>
  <si>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</si>
  <si>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</si>
  <si>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</si>
  <si>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</si>
  <si>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</si>
  <si>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</si>
  <si>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</si>
  <si>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</si>
  <si>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</si>
  <si>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</si>
  <si>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</si>
  <si>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</si>
  <si>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</si>
  <si>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</si>
  <si>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</si>
  <si>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</si>
  <si>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</si>
  <si>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</si>
  <si>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</si>
  <si>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</si>
  <si>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</si>
  <si>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</si>
  <si>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</si>
  <si>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</si>
  <si>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</si>
  <si>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</si>
  <si>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</si>
  <si>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</si>
  <si>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</si>
  <si>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</si>
  <si>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</si>
  <si>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</si>
  <si>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</si>
  <si>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</si>
  <si>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</si>
  <si>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</si>
  <si>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</si>
  <si>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</si>
  <si>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</si>
  <si>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</si>
  <si>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</si>
  <si>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</si>
  <si>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</si>
  <si>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</si>
  <si>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</si>
  <si>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</si>
  <si>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</si>
  <si>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</si>
  <si>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</si>
  <si>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</si>
  <si>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</si>
  <si>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</si>
  <si>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</si>
  <si>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</si>
  <si>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</si>
  <si>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</si>
  <si>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</si>
  <si>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</si>
  <si>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</si>
  <si>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</si>
  <si>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</si>
  <si>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</si>
  <si>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</si>
  <si>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</si>
  <si>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</si>
  <si>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</si>
  <si>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</si>
  <si>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</si>
  <si>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</si>
  <si>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</si>
  <si>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</si>
  <si>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</si>
  <si>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</si>
  <si>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</si>
  <si>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</si>
  <si>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</si>
  <si>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</si>
  <si>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</si>
  <si>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</si>
  <si>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</si>
  <si>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</si>
  <si>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</si>
  <si>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</si>
  <si>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</si>
  <si>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</si>
  <si>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</si>
  <si>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</si>
  <si>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</si>
  <si>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</si>
  <si>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</si>
  <si>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</si>
  <si>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</si>
  <si>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</si>
  <si>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</si>
  <si>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</si>
  <si>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</si>
  <si>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</si>
  <si>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</si>
  <si>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</si>
  <si>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</si>
  <si>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</si>
  <si>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</si>
  <si>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</si>
  <si>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</si>
  <si>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</si>
  <si>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</si>
  <si>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</si>
  <si>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</si>
  <si>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</si>
  <si>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</si>
  <si>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</si>
  <si>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</si>
  <si>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</si>
  <si>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</si>
  <si>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</si>
  <si>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</si>
  <si>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</si>
  <si>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</si>
  <si>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</si>
  <si>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</si>
  <si>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</si>
  <si>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</si>
  <si>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</si>
  <si>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</si>
  <si>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</si>
  <si>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</si>
  <si>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NEW LH MLG -INVENTORY CHK MLG COMPONENTS</t>
  </si>
  <si>
    <t>H/26-TKP-XXLDG-GNRL-N</t>
  </si>
  <si>
    <t>777.OPR.MLG-CHG-L05</t>
  </si>
  <si>
    <t>HS-TKP-32-11-0102-RH_MLG</t>
  </si>
  <si>
    <t>0016573498</t>
  </si>
  <si>
    <t>NEW RH MLG -INVENTORY CHK MLG COMPONENTS</t>
  </si>
  <si>
    <t>777.OPR.MLG-CHG-R05</t>
  </si>
  <si>
    <t>HS-TKP-32-21-0101-NLG</t>
  </si>
  <si>
    <t>0016573331</t>
  </si>
  <si>
    <t>NEW NLG -INVENTORY CHECK NLG COMPONENTS</t>
  </si>
  <si>
    <t>777.OPR.NLG-CHG-05</t>
  </si>
  <si>
    <t>HS-TKP</t>
  </si>
  <si>
    <t>0016573538</t>
  </si>
  <si>
    <t>LDG CHG - TOWING AIRCRAFT.</t>
  </si>
  <si>
    <t>777.OPR.LDG-CHG-10</t>
  </si>
  <si>
    <t>0016573539</t>
  </si>
  <si>
    <t>0016573520</t>
  </si>
  <si>
    <t>RH MLG CHG-INST MLG DRAG BRACE ASSY</t>
  </si>
  <si>
    <t>777.OPR.MLG-CHG-R42</t>
  </si>
  <si>
    <t>0016573480</t>
  </si>
  <si>
    <t>LH MLG CHG-REM MLG DRAG BRACE ASSEMBLY</t>
  </si>
  <si>
    <t>777.OPR.MLG-CHG-L24</t>
  </si>
  <si>
    <t>0016573332</t>
  </si>
  <si>
    <t>OLD NLG -INVENTORY CHECK NLG COMPONENTS</t>
  </si>
  <si>
    <t>0016573333</t>
  </si>
  <si>
    <t>NLG - RECORD THE TRANSFER COMPONENTS</t>
  </si>
  <si>
    <t>0016573335</t>
  </si>
  <si>
    <t>NLG CHG-OPC LDG ALTERNATE EXTENSION SYS.</t>
  </si>
  <si>
    <t>777.OPR.NLG-CHG-58,32-130-00</t>
  </si>
  <si>
    <t>0016573336</t>
  </si>
  <si>
    <t>NLG CHG-OPC LDG,RUNWAY TURNOFF,TAXI LT.</t>
  </si>
  <si>
    <t>777.OPR.NLG-CHG-59</t>
  </si>
  <si>
    <t>0016573338</t>
  </si>
  <si>
    <t>NLG CHG-OPC SERVICE INTERPHONE SYS</t>
  </si>
  <si>
    <t>777.OPR.NLG-CHG-61</t>
  </si>
  <si>
    <t>0016573339</t>
  </si>
  <si>
    <t>NLG CHG-OPC GROUND CREW CALL SYS.</t>
  </si>
  <si>
    <t>777.OPR.NLG-CHG-62</t>
  </si>
  <si>
    <t>0016573340</t>
  </si>
  <si>
    <t>NLG CHG-OPC APU FIRE DETECTION.</t>
  </si>
  <si>
    <t>777.OPR.NLG-CHG-63</t>
  </si>
  <si>
    <t>0016573341</t>
  </si>
  <si>
    <t>NLG CHG-OPC LDG GND DOOR RELEASE SYS</t>
  </si>
  <si>
    <t>777.OPR.NLG-CHG-65</t>
  </si>
  <si>
    <t>0016573342</t>
  </si>
  <si>
    <t>NLG CHG-SUMMARY (777-200,300,200ER,3</t>
  </si>
  <si>
    <t>777.OPR.SUMMARY NLG CHANGE</t>
  </si>
  <si>
    <t>0016573355</t>
  </si>
  <si>
    <t>RII/DII</t>
  </si>
  <si>
    <t>NLG CHG- FUC NLG,MLG EXTEN &amp; RETRACT SYS</t>
  </si>
  <si>
    <t>777.OPR.NLG-CHG-54</t>
  </si>
  <si>
    <t>0016573357</t>
  </si>
  <si>
    <t>LH MLG - RECORD THE TRANSFER COMPONENTS</t>
  </si>
  <si>
    <t>0016573359</t>
  </si>
  <si>
    <t>OLD LH MLG -INVENTORY CHK MLG COMPONENTS</t>
  </si>
  <si>
    <t>0016573360</t>
  </si>
  <si>
    <t>LH MLG CHG-FUC MLG EXTENSION &amp; RETRACT</t>
  </si>
  <si>
    <t>777.OPR.MLG-CHG-L59</t>
  </si>
  <si>
    <t>0016573361</t>
  </si>
  <si>
    <t>LH MLG CHG-OPC LDG ALT EXTENSION SYS</t>
  </si>
  <si>
    <t>777.OPR.MLG CHG, 32-130-00</t>
  </si>
  <si>
    <t>0016573362</t>
  </si>
  <si>
    <t>LH MLG CHG-NORMAL HYD BRAKE SYS-BLEEDING</t>
  </si>
  <si>
    <t>777.OPR.MLG CHG</t>
  </si>
  <si>
    <t>0016573363</t>
  </si>
  <si>
    <t>LH MLG CHG- STEERING SYS-FUNCTIONAL TEST</t>
  </si>
  <si>
    <t>0016573364</t>
  </si>
  <si>
    <t>LH MLG CHG:WOW LOAD SENSOR CALIBRATION</t>
  </si>
  <si>
    <t>777.OPR.LH MLG CHG-L61</t>
  </si>
  <si>
    <t>0016573370</t>
  </si>
  <si>
    <t>LH MLG CHG-BLEED ALTERNATE HYD BRAKE SYS</t>
  </si>
  <si>
    <t>777.OPR.MLG-CHG-L56</t>
  </si>
  <si>
    <t>0016573374</t>
  </si>
  <si>
    <t>LH MLG CHG-CHK MLG AFT TRUNNION BEARING</t>
  </si>
  <si>
    <t>777.OPR.MLG-CHG-L31</t>
  </si>
  <si>
    <t>0016573477</t>
  </si>
  <si>
    <t>LH MLG CHG-REM MLG SIDE BRACE ASSY(021-9</t>
  </si>
  <si>
    <t>777.OPR.MLG-CHG-L23</t>
  </si>
  <si>
    <t>0016573482</t>
  </si>
  <si>
    <t>LH MLG CHG-CHK FWD,AFT TRUNNION BEARING</t>
  </si>
  <si>
    <t>777.OPR.MLG-CHG-L25</t>
  </si>
  <si>
    <t>0016573497</t>
  </si>
  <si>
    <t>RH MLG - RECORD THE TRANSFER COMPONENTS</t>
  </si>
  <si>
    <t>777.OPR.MLG-CHG-05</t>
  </si>
  <si>
    <t>0016573499</t>
  </si>
  <si>
    <t>OLD RH MLG -INVENTORY CHK MLG COMPONENTS</t>
  </si>
  <si>
    <t>0016573500</t>
  </si>
  <si>
    <t>RH MLG CHG-FUC MLG EXTENSION &amp; RETRACT</t>
  </si>
  <si>
    <t>777.OPR.MLG-CHG-R59</t>
  </si>
  <si>
    <t>0016573501</t>
  </si>
  <si>
    <t>RH MLG CHG-SUMMARY (021-999)</t>
  </si>
  <si>
    <t>777.OPR.SUMMARY RH MLG CHG</t>
  </si>
  <si>
    <t>0016573502</t>
  </si>
  <si>
    <t>RH MLG CHG-OPC LDG ALT EXTENSION SYS</t>
  </si>
  <si>
    <t>0016573503</t>
  </si>
  <si>
    <t>RH MLG CHG-NORMAL HYD BRAKE SYS-BLEEDING</t>
  </si>
  <si>
    <t>0016573504</t>
  </si>
  <si>
    <t>RH MLG CHG- STEERING SYS-FUNCTIONAL TEST</t>
  </si>
  <si>
    <t>0016573505</t>
  </si>
  <si>
    <t>RH MLG CHG:WOW LOAD SENSOR CALIBRATION</t>
  </si>
  <si>
    <t>777.OPR.RH MLG CHG-R61</t>
  </si>
  <si>
    <t>0016573506</t>
  </si>
  <si>
    <t>777.OPR.MLG-CHG-L41</t>
  </si>
  <si>
    <t>0016573511</t>
  </si>
  <si>
    <t>RH MLG CHG-BLEED ALTERNATE HYD BRAKE SYS</t>
  </si>
  <si>
    <t>777.OPR.MLG-CHG-R56</t>
  </si>
  <si>
    <t>0016573515</t>
  </si>
  <si>
    <t>RH MLG CHG-CHK MLG AFT TRUNNION BEARING</t>
  </si>
  <si>
    <t>777.OPR.MLG-CHG-R31</t>
  </si>
  <si>
    <t>0016573518</t>
  </si>
  <si>
    <t>RH MLG CHG-REM MLG SIDE BRACE ASSY(021-9</t>
  </si>
  <si>
    <t>777.OPR.MLG-CHG-R23</t>
  </si>
  <si>
    <t>0016573523</t>
  </si>
  <si>
    <t>RH MLG CHG-CHK FWD,AFT TRUNNION BEARING</t>
  </si>
  <si>
    <t>777.OPR.MLG-CHG-R25</t>
  </si>
  <si>
    <t>0016573540</t>
  </si>
  <si>
    <t>LDG CHG-APU PRESERVATION</t>
  </si>
  <si>
    <t>777.OPR.LDG-PREPARE-14</t>
  </si>
  <si>
    <t>0016573541</t>
  </si>
  <si>
    <t>LDG CHG-APU DEPRESERVATION</t>
  </si>
  <si>
    <t>777.OPR.LDG-PREPARE-94</t>
  </si>
  <si>
    <t>0016573545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</si>
  <si>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</si>
  <si>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</si>
  <si>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</si>
  <si>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</si>
  <si>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</si>
  <si>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</si>
  <si>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</si>
  <si>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</si>
  <si>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NLG CHG-LUB NLG &amp; ACT MECH'S LWR COMP.</t>
  </si>
  <si>
    <t>777.OPR.NLG-CHG-57</t>
  </si>
  <si>
    <t>0016573354</t>
  </si>
  <si>
    <t>NLG CHG-LOWER A/C OFF OF JACKS(021-999)</t>
  </si>
  <si>
    <t>777.OPR.NLG-CHG-51(300)</t>
  </si>
  <si>
    <t>0016573356</t>
  </si>
  <si>
    <t>NLG CHG-INSTALL NLG LOCK LINK</t>
  </si>
  <si>
    <t>777.OPR.NLG-CHG-41</t>
  </si>
  <si>
    <t>0016573367</t>
  </si>
  <si>
    <t>LH MLG CHG-INSTALL MLG TRUNNION DOOR</t>
  </si>
  <si>
    <t>777.OPR.MLG-CHG-L46</t>
  </si>
  <si>
    <t>0016573372</t>
  </si>
  <si>
    <t>LH MLG CHG-INSTALL MLG SHOCK STRUT DOOR</t>
  </si>
  <si>
    <t>777.OPR.MLG-CHG-L47</t>
  </si>
  <si>
    <t>0016573478</t>
  </si>
  <si>
    <t>LH MLG CHG-LOWER A/C (777-300&lt;(&gt;,&lt;)&gt;3</t>
  </si>
  <si>
    <t>777.OPR.MLG-CHG-L,R43</t>
  </si>
  <si>
    <t>0016573483</t>
  </si>
  <si>
    <t>LH MLG CHG-LUB MLG DOORS&amp; ACTG (021-999)</t>
  </si>
  <si>
    <t>777.OPR.MLG-CHG-L55</t>
  </si>
  <si>
    <t>0016573484</t>
  </si>
  <si>
    <t>LH MLG CHG-LUB MLG SUPPORT BEAM (021-999</t>
  </si>
  <si>
    <t>777.OPR.MLG-CHG-L32</t>
  </si>
  <si>
    <t>0016573486</t>
  </si>
  <si>
    <t>LH MLG CHG-INSTALL DRAG STRUT DOOR.</t>
  </si>
  <si>
    <t>777.OPR.MLG-CHG-L45</t>
  </si>
  <si>
    <t>0016573487</t>
  </si>
  <si>
    <t>LH MLG CHG-LUB UPPER MLG&amp; ACTG(021-999)</t>
  </si>
  <si>
    <t>777.OPR.MLG-CHG-L33</t>
  </si>
  <si>
    <t>0016573491</t>
  </si>
  <si>
    <t>LH MLG CHG-LUB LWR GEAR&amp; ACTG(021-999)</t>
  </si>
  <si>
    <t>777.OPR.MLG-CHG-L54</t>
  </si>
  <si>
    <t>0016573492</t>
  </si>
  <si>
    <t>LH MLG CHG-INST MLG SIDE BRACE ASSY(021-</t>
  </si>
  <si>
    <t>0016573508</t>
  </si>
  <si>
    <t>RH MLG CHG-INSTALL MLG TRUNNION DOOR</t>
  </si>
  <si>
    <t>777.OPR.MLG-CHG-R46</t>
  </si>
  <si>
    <t>0016573513</t>
  </si>
  <si>
    <t>RH MLG CHG-INSTALL MLG SHOCK STRUT DOOR</t>
  </si>
  <si>
    <t>777.OPR.MLG-CHG-R47</t>
  </si>
  <si>
    <t>0016573519</t>
  </si>
  <si>
    <t>RH MLG CHG-LOWER A/C (777-300,3</t>
  </si>
  <si>
    <t>0016573524</t>
  </si>
  <si>
    <t>RH MLG CHG-LUB MLG DOORS&amp; ACTG (021-999)</t>
  </si>
  <si>
    <t>777.OPR.MLG-CHG-R55</t>
  </si>
  <si>
    <t>0016573525</t>
  </si>
  <si>
    <t>RH MLG CHG-LUB MLG SUPPORT BEAM (021-999</t>
  </si>
  <si>
    <t>777.OPR.MLG-CHG-R32</t>
  </si>
  <si>
    <t>0016573527</t>
  </si>
  <si>
    <t>RH MLG CHG-INSTALL DRAG STRUT DOOR.</t>
  </si>
  <si>
    <t>777.OPR.MLG-CHG-R45</t>
  </si>
  <si>
    <t>0016573528</t>
  </si>
  <si>
    <t>RH MLG CHG-LUB UPPER MLG&amp; ACTG(021-999)</t>
  </si>
  <si>
    <t>777.OPR.MLG-CHG-R33</t>
  </si>
  <si>
    <t>0016573532</t>
  </si>
  <si>
    <t>RH MLG CHG-LUB LWR GEAR&amp; ACTG(021-999)</t>
  </si>
  <si>
    <t>777.OPR.MLG-CHG-R54</t>
  </si>
  <si>
    <t>0016573533</t>
  </si>
  <si>
    <t>RH MLG CHG-INST MLG SIDE BRACE ASSY(021-</t>
  </si>
  <si>
    <t>777.OPR.MLG-CHG-R41</t>
  </si>
  <si>
    <t>0016573542</t>
  </si>
  <si>
    <t>LDG CHG-ENG#1,2 PRESERVATION(-300ER)</t>
  </si>
  <si>
    <t>777.OPR.LDG-CHG-12</t>
  </si>
  <si>
    <t>0016573543</t>
  </si>
  <si>
    <t>0016573544</t>
  </si>
  <si>
    <t>LDG CHG-DRAIN AND FLUSH TOILET TANKS.</t>
  </si>
  <si>
    <t>777.OPR.LDG-PREPARE-21</t>
  </si>
  <si>
    <t>0016573352</t>
  </si>
  <si>
    <t>NLG CHG-REM NOSE LANDING GEAR LOCK LINK</t>
  </si>
  <si>
    <t>777.OPR.NLG-CHG-22</t>
  </si>
  <si>
    <t>0016573365</t>
  </si>
  <si>
    <t>0016573546</t>
  </si>
  <si>
    <t>LDG CHG-ENG#1,2 DEPRESERVE (-300ER)</t>
  </si>
  <si>
    <t>777.OPR.LDG-CHG-92</t>
  </si>
  <si>
    <t>0016573547</t>
  </si>
  <si>
    <t>0016573337</t>
  </si>
  <si>
    <t>NLG CHG-SYS TEST FLT INTERPHONE SYS.</t>
  </si>
  <si>
    <t>777.OPR.NLG-CHG-60</t>
  </si>
  <si>
    <t>0016573345</t>
  </si>
  <si>
    <t>NLG CHG-INSTALL WHEEL,TIRE ASSY(NEWGEAR)</t>
  </si>
  <si>
    <t>777.OPR.NLG-CHG-80</t>
  </si>
  <si>
    <t>0016573347</t>
  </si>
  <si>
    <t>NLG CHG-ADJUST NLG STEERING SYSTEM</t>
  </si>
  <si>
    <t>777.OPR.NLG-CHG-56</t>
  </si>
  <si>
    <t>0016573350</t>
  </si>
  <si>
    <t>INSTALLATION OF NLG(200,200ER,300,3</t>
  </si>
  <si>
    <t>777.OPR.NLG-CHG-40</t>
  </si>
  <si>
    <t>0016573351</t>
  </si>
  <si>
    <t>0016573490</t>
  </si>
  <si>
    <t>LH MLG CHG-INSTALL MLG WHEEL, TIRE ASSY</t>
  </si>
  <si>
    <t>777.OPR.MLG-CHG-L83</t>
  </si>
  <si>
    <t>0016573495</t>
  </si>
  <si>
    <t>LH MLG CHG-INSTALL MLG BRAKE</t>
  </si>
  <si>
    <t>777.OPR.MLG-CHG-L84</t>
  </si>
  <si>
    <t>0016573531</t>
  </si>
  <si>
    <t>RH MLG CHG-INSTALL MLG WHEEL, TIRE ASSY</t>
  </si>
  <si>
    <t>777.OPR.MLG-CHG-R83</t>
  </si>
  <si>
    <t>0016573536</t>
  </si>
  <si>
    <t>RH MLG CHG-INSTALL MLG BRAKE</t>
  </si>
  <si>
    <t>777.OPR.MLG-CHG-R84</t>
  </si>
  <si>
    <t>0016573348</t>
  </si>
  <si>
    <t>NLG CHG-TEST PROXIMITY SENSORS NOSE GEAR</t>
  </si>
  <si>
    <t>777.OPR.NLG-CHG-55</t>
  </si>
  <si>
    <t>0016573353</t>
  </si>
  <si>
    <t>NLG CHG-SERVICE NLG SHOCK STRUT(021-999)</t>
  </si>
  <si>
    <t>777.OPR.NLG-CHG-52</t>
  </si>
  <si>
    <t>0016573366</t>
  </si>
  <si>
    <t>LH MLG CHG-SYS TEST LDG POS IND&amp;WARN SYS</t>
  </si>
  <si>
    <t>777.OPR.MLG-CHG-L58</t>
  </si>
  <si>
    <t>0016573368</t>
  </si>
  <si>
    <t>LH MLG CHANGE-INSTALL LDG(200,200ER,300)</t>
  </si>
  <si>
    <t>777.OPR.MLG-CHG-L30</t>
  </si>
  <si>
    <t>0016573369</t>
  </si>
  <si>
    <t>0016573479</t>
  </si>
  <si>
    <t>LH MLG CHG-INST MLG DRAG BRACE ASSY</t>
  </si>
  <si>
    <t>777.OPR.MLG-CHG-L42</t>
  </si>
  <si>
    <t>0016573481</t>
  </si>
  <si>
    <t>LH MLG CHG- TEST BRAKE TEMP MONITOR SYS.</t>
  </si>
  <si>
    <t>777.OPR.MLG-CHG-L57</t>
  </si>
  <si>
    <t>0016573485</t>
  </si>
  <si>
    <t>LH MLG CHG-SERV MLG SHOCK STRUT(021-999)</t>
  </si>
  <si>
    <t>777.OPR.MLG-CHG-L53</t>
  </si>
  <si>
    <t>0016573507</t>
  </si>
  <si>
    <t>RH MLG CHG-SYS TEST LDG POS IND&amp;WARN SYS</t>
  </si>
  <si>
    <t>777.OPR.MLG-CHG-R58</t>
  </si>
  <si>
    <t>0016573509</t>
  </si>
  <si>
    <t>RH MLG CHANGE-INSTALL LDG(200,200ER,300)</t>
  </si>
  <si>
    <t>777.OPR.MLG-CHG-R30</t>
  </si>
  <si>
    <t>0016573510</t>
  </si>
  <si>
    <t>0016573521</t>
  </si>
  <si>
    <t>RH MLG CHG-REM MLG DRAG BRACE ASSEMBLY</t>
  </si>
  <si>
    <t>777.OPR.MLG-CHG-R24</t>
  </si>
  <si>
    <t>0016573522</t>
  </si>
  <si>
    <t>RH MLG CHG- TEST BRAKE TEMP MONITOR SYS.</t>
  </si>
  <si>
    <t>777.OPR.MLG-CHG-R57</t>
  </si>
  <si>
    <t>0016573526</t>
  </si>
  <si>
    <t>RH MLG CHG-SERV MLG SHOCK STRUT(021-99</t>
  </si>
  <si>
    <t>777.OPR.MLG-CHG-R53</t>
  </si>
  <si>
    <t>0016573529</t>
  </si>
  <si>
    <t>RH MLG CHANGE-REMOVE LDG(200,200ER,300,3</t>
  </si>
  <si>
    <t>777.MPD.MLG-CHG-R10</t>
  </si>
  <si>
    <t>0016573530</t>
  </si>
  <si>
    <t>0016573343</t>
  </si>
  <si>
    <t>REMOVAL OF NLG(200,200ER,300,3</t>
  </si>
  <si>
    <t>777.OPR.NLG-CHG-10</t>
  </si>
  <si>
    <t>0016573344</t>
  </si>
  <si>
    <t>0016573334</t>
  </si>
  <si>
    <t>NLG CHG-LIFT THE AIRPLANE NOSE ON JACKS.</t>
  </si>
  <si>
    <t>777.OPR.NLG-CHG-21</t>
  </si>
  <si>
    <t>0016573488</t>
  </si>
  <si>
    <t>LH MLG CHANGE-REMOVE LDG(200,200ER,300,3</t>
  </si>
  <si>
    <t>777.OPR.MLG-CHG-L10</t>
  </si>
  <si>
    <t>0016573489</t>
  </si>
  <si>
    <t>0016573371</t>
  </si>
  <si>
    <t>LH MLG CHG-REM MLG DRAG STRUT DOOR</t>
  </si>
  <si>
    <t>777.OPR.MLG-CHG-L13</t>
  </si>
  <si>
    <t>0016573373</t>
  </si>
  <si>
    <t>LH MLG CHG-REM MLG SHOCK STRUT DOOR.</t>
  </si>
  <si>
    <t>777.OPR.MLG-CHG-L12</t>
  </si>
  <si>
    <t>0016573375</t>
  </si>
  <si>
    <t>LH MLG CHG-REM MLG TRUNNION DOOR</t>
  </si>
  <si>
    <t>777.OPR.MLG-CHG-L11</t>
  </si>
  <si>
    <t>0016573512</t>
  </si>
  <si>
    <t>RH MLG CHG-REM MLG DRAG STRUT DOOR</t>
  </si>
  <si>
    <t>777.OPR.MLG-CHG-R13</t>
  </si>
  <si>
    <t>0016573514</t>
  </si>
  <si>
    <t>RH MLG CHG-REM MLG SHOCK STRUT DOOR.</t>
  </si>
  <si>
    <t>777.OPR.MLG-CHG-R12</t>
  </si>
  <si>
    <t>0016573516</t>
  </si>
  <si>
    <t>RH MLG CHG-REM MLG TRUNNION DOOR</t>
  </si>
  <si>
    <t>777.OPR.MLG-CHG-R11</t>
  </si>
  <si>
    <t>0016573537</t>
  </si>
  <si>
    <t>LDG CHG-DRAIN POTABLE WATER(200ER,300ER)</t>
  </si>
  <si>
    <t>777.OPR.LDG-PREPARE-20</t>
  </si>
  <si>
    <t>0016573476</t>
  </si>
  <si>
    <t>LH MLG CHG-REM WHEEL AND TIRE ASSEMBLY</t>
  </si>
  <si>
    <t>777.OPR.MLG-CHG-L73</t>
  </si>
  <si>
    <t>0016573493</t>
  </si>
  <si>
    <t>LH MLG CHG-REMOVE MLG BRAKE</t>
  </si>
  <si>
    <t>777.OPR.MLG-CHG-L74</t>
  </si>
  <si>
    <t>0016573517</t>
  </si>
  <si>
    <t>RH MLG CHG-REM WHEEL AND TIRE ASSEMBLY</t>
  </si>
  <si>
    <t>777.OPR.MLG-CHG-R73</t>
  </si>
  <si>
    <t>0016573534</t>
  </si>
  <si>
    <t>RH MLG CHG-REMOVE MLG BRAKE</t>
  </si>
  <si>
    <t>777.OPR.MLG-CHG-R74</t>
  </si>
  <si>
    <t>0016573535</t>
  </si>
  <si>
    <t>RH MLG CHG-LIFT A/C WITH JACKS(777-300,3</t>
  </si>
  <si>
    <t>777.OPR. MLG-CHG-L,R22</t>
  </si>
  <si>
    <t>0016573346</t>
  </si>
  <si>
    <t>NLG CHG-REM NLG WHEEL,TIRE ASSY(OLDGEAR)</t>
  </si>
  <si>
    <t>777.OPR.NLG-CHG-70</t>
  </si>
  <si>
    <t>0016573494</t>
  </si>
  <si>
    <t>LH MLG CHG-LIFT A/C WITH JACKS(777-300,3</t>
  </si>
  <si>
    <t>777.OPR.MLG-CHG-L,R22</t>
  </si>
  <si>
    <t>DPRC</t>
  </si>
  <si>
    <t>Eccentric Adjustment Procedure</t>
  </si>
  <si>
    <t>MAIN LANDING GEAR: DICONNECT &amp; CONNECT M</t>
  </si>
  <si>
    <t>HS-TKP_LDG CHG   DATE  28 OCT. 2026</t>
  </si>
  <si>
    <t>0016611811</t>
  </si>
  <si>
    <t>KP884B261026</t>
  </si>
  <si>
    <t>WING REAR SPAR:AFTER REMOVED</t>
  </si>
  <si>
    <t>Wait LAE Sign</t>
  </si>
  <si>
    <t>Wait MECH Sign</t>
  </si>
  <si>
    <t>####### HS-TKP: LDG CHG   ######</t>
  </si>
  <si>
    <t>EST. TAT 15 DAYS // PERIOD 23OCT– 31OCT2026   REV.70467233</t>
  </si>
  <si>
    <t>TOW IN : 23OCT26   TIME XXXX  AM ,LAST FLIGHT 22 OCT. 2026  TG633</t>
  </si>
  <si>
    <t>AIRCRAFT SERIAL NUMBER HS-TKP / 415257 , AIRCRAFT EFFECTIVITY CODE 026 TKP</t>
  </si>
  <si>
    <t>########WORK HIGHLIGHT 29 Oct. 2026##########</t>
  </si>
  <si>
    <t>2105183426  RH MLG CHG-INST MLG SIDE BRACE ASSY(021)</t>
  </si>
  <si>
    <t>######### HS-TKP ON TIME LINE  AS BELOW ####</t>
  </si>
  <si>
    <t>23OCT26 : AIRCRAFT ARRIVAL → DEFUEL → PREPARATION</t>
  </si>
  <si>
    <t>24OCT26 : AIRCRAFT JACKING → OPEN ACCESS → WHEEL/BRAKE REMOVAL</t>
  </si>
  <si>
    <t>25OCT26 : REMOVE NLG, LH MLG &amp; RH MLG</t>
  </si>
  <si>
    <t>26OCT26 : CLEAN &amp; INSPECT LANDING GEAR ATTACHMENTS</t>
  </si>
  <si>
    <t>27OCT26 : INSTALL NEW LANDING GEARS → RII/DII</t>
  </si>
  <si>
    <t>28OCT26 : INSTALL WHEELS &amp; BRAKES → SERVICING &amp; LUBRICATION</t>
  </si>
  <si>
    <t>29OCT26 : ADJUSTMENT → HYDRAULIC BLEEDING → FUNCTIONAL TESTS</t>
  </si>
  <si>
    <t>30OCT26 : COMPLETE TESTS → RECTIFICATION → LOWER AIRCRAFT</t>
  </si>
  <si>
    <t>31OCT26 : FINAL CLEANING → CLOSE-UP → LAE SIGN → CRS/RTS</t>
  </si>
  <si>
    <t xml:space="preserve">                 (PREPARATION → JACKING → REMOVAL → INSPECTION → INSTALLATION → SERVICING → TESTING → RESTORATION → FINAL RELEASE)</t>
  </si>
  <si>
    <t>EST. TAT XX  DAYS // PERIOD 01OCT26-10OCT26</t>
  </si>
  <si>
    <t>TOW IN : 01OCT26 H1 TIME 1800 PM ,LAST FLIGHT TG8417 25 JUL 2026   DMK to BKK</t>
  </si>
  <si>
    <t>AIRCRAFT SERIAL NUMBER HS-TQM /34929  AIRCRAFT EFFECTIVITY CODE 027 TQM</t>
  </si>
  <si>
    <t>########## WORK HIGHLIGHT 11 OCT. 2026 ##########</t>
  </si>
  <si>
    <t>FIRST FLIGHT TG.8092 BKK to NGO TIME  0900 AM</t>
  </si>
  <si>
    <t>######### HS-TQM PLAN TIME LINE ACTIVITY AS BELOW ##########</t>
  </si>
  <si>
    <t>01OCT26 : TOW IN AT HG1</t>
  </si>
  <si>
    <t>02–05 OCT : CABIN / MOD / ENGINE WORK</t>
  </si>
  <si>
    <t>05–07 OCT : SYSTEM &amp; ENGINE DEPRESERVATION</t>
  </si>
  <si>
    <t>06–08 OCT : LANDING GEAR / DOORS / FLIGHT CONTROL DEPRESERVATION</t>
  </si>
  <si>
    <t>07–08 OCT : SYSTEM OPC / FUNCTIONAL TEST</t>
  </si>
  <si>
    <t>08 OCT : GROUND TEST AND FLIGHT TEST (SEND FAX ALREADY)</t>
  </si>
  <si>
    <t>08–09 OCT : SNAG CLEARANCE / RECTIFICATION</t>
  </si>
  <si>
    <t>09 OCT : FINAL CLEANING / A/C WASH / CLOSE-UP</t>
  </si>
  <si>
    <t>09 OCT : PUT A/C BACK TO SERVICE / CRS PREPARATION</t>
  </si>
  <si>
    <t>11 OCT 2026 : RTS  , FIRST FLT TG8092 TIME 0900 AM BKK TO NGO</t>
  </si>
  <si>
    <t>EST. TAT XX  DAYS // PERIOD 24AUG26-XXOCT26</t>
  </si>
  <si>
    <t>TOW IN : 24AUG26 H3  TIME 1800 PM ,LAST FLIGHT 23 AUG. 2026  TG322 DAC-BKK</t>
  </si>
  <si>
    <t>AIRCRAFT SERIAL NUMBER HS-TEV /0990  AIRCRAFT EFFECTIVITY CODE 151 TEN</t>
  </si>
  <si>
    <t>########## WORK HIGHLIGHT  29 OCT. 2026 ##########</t>
  </si>
  <si>
    <t>######### HS-TEV PLAN TIME LINE ACTIVITY AS BELOW ##########</t>
  </si>
  <si>
    <t>IN HANGAR 01-02 NOV FOR E/26-219:PARKING NOT MORE THAN 3M-INITIA</t>
  </si>
  <si>
    <t xml:space="preserve">XXNOV26 : WAIT ENG#1-2 </t>
  </si>
  <si>
    <t>XXNOV26 : ENGINE#1-2  INSTALLATION → SYSTEM CONNECTION → INSPECTION → GROUND RUN → PRE-FLIGHT CLEARANCE → TEST FLIGHT → POST-FLIGHT / SNAG CLEARANCE → FINAL RELEASE → RTS</t>
  </si>
  <si>
    <t>COMPLETE  RTS</t>
  </si>
  <si>
    <t>REMARK : COPY LINK FULL DASHBOARD  ON DESKTOP TG ONLY : http://acm-hpv-app07.dt.thaiairways.co.th/RevisionPlan/BKKStatus.html</t>
  </si>
  <si>
    <t>SHOP DMK (KHUN SESTHA MB-B TEL 66-8416) REPLACE BUSHING BY HYDRAULIC PRESSURE (COMPLETE)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</si>
</sst>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color rgb="FFFF0000"/>
      <name val="Tahoma"/>
      <family val="2"/>
    </font>
    <font>
      <b/>
      <sz val="16"/>
      <color rgb="FFFF0000"/>
      <name val="Tahoma"/>
      <family val="2"/>
    </font>
    <font>
      <b/>
      <sz val="16"/>
      <color theme="1"/>
      <name val="Tahoma"/>
      <family val="2"/>
    </font>
    <font>
      <sz val="16"/>
      <color rgb="FF0000FF"/>
      <name val="Tahoma"/>
      <family val="2"/>
    </font>
    <font>
      <sz val="18"/>
      <color rgb="FF000000"/>
      <name val="Tahoma"/>
      <family val="2"/>
    </font>
    <font>
      <sz val="16"/>
      <color rgb="FF000000"/>
      <name val="Tahoma"/>
      <family val="2"/>
    </font>
    <font>
      <b/>
      <sz val="18"/>
      <color theme="1"/>
      <name val="Tahoma"/>
      <family val="2"/>
    </font>
    <font>
      <b/>
      <sz val="18"/>
      <color rgb="FF0000FF"/>
      <name val="Tahoma"/>
      <family val="2"/>
    </font>
    <font>
      <sz val="16"/>
      <color rgb="FFFF0000"/>
      <name val="Tahoma"/>
      <family val="2"/>
    </font>
    <font>
      <sz val="18"/>
      <color rgb="FF0000FF"/>
      <name val="Tahoma"/>
      <family val="2"/>
    </font>
    <font>
      <b/>
      <sz val="18"/>
      <color rgb="FF002060"/>
      <name val="Calibri"/>
      <family val="2"/>
      <scheme val="minor"/>
    </font>
    <font>
      <sz val="18"/>
      <color rgb="FF242424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Fill="1"/>
    <xf numFmtId="0" fontId="7" fillId="0" borderId="0" xfId="0" applyFont="1" applyFill="1"/>
    <xf numFmtId="15" fontId="15" fillId="0" borderId="0" xfId="0" applyNumberFormat="1" applyFont="1" applyAlignment="1">
      <alignment horizontal="left" vertical="center"/>
    </xf>
    <xf numFmtId="0" fontId="15" fillId="0" borderId="0" xfId="0" applyFont="1"/>
    <xf numFmtId="0" fontId="6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6"/>
  <sheetViews>
    <sheetView workbookViewId="0">
      <selection activeCell="C23" sqref="C23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4656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9">
        <v>1</v>
      </c>
      <c r="B8" s="19" t="s">
        <v>4325</v>
      </c>
      <c r="C8" s="20" t="s">
        <v>4339</v>
      </c>
      <c r="D8" s="20" t="s">
        <v>4340</v>
      </c>
      <c r="E8" s="20" t="s">
        <v>25</v>
      </c>
      <c r="F8" s="20">
        <v>2105183431</v>
      </c>
      <c r="G8" s="20" t="s">
        <v>24</v>
      </c>
      <c r="H8" s="20" t="s">
        <v>25</v>
      </c>
      <c r="I8" s="21">
        <v>46317</v>
      </c>
      <c r="J8" s="20" t="s">
        <v>35</v>
      </c>
      <c r="K8" s="20" t="s">
        <v>27</v>
      </c>
      <c r="L8" s="20" t="s">
        <v>4341</v>
      </c>
      <c r="M8" s="22" t="s">
        <v>4660</v>
      </c>
      <c r="N8" s="20" t="s">
        <v>4316</v>
      </c>
      <c r="O8" s="20" t="s">
        <v>4329</v>
      </c>
      <c r="P8" s="20" t="s">
        <v>146</v>
      </c>
      <c r="Q8" s="20" t="s">
        <v>147</v>
      </c>
      <c r="R8" s="20" t="s">
        <v>25</v>
      </c>
      <c r="S8" s="20" t="s">
        <v>31</v>
      </c>
      <c r="T8" s="20" t="s">
        <v>192</v>
      </c>
      <c r="U8" s="20" t="s">
        <v>4342</v>
      </c>
      <c r="V8" s="21">
        <v>46318</v>
      </c>
      <c r="W8" s="21">
        <v>46317</v>
      </c>
      <c r="X8" s="20" t="s">
        <v>1514</v>
      </c>
      <c r="Y8" s="21">
        <v>46326</v>
      </c>
      <c r="Z8" s="20" t="s">
        <v>3808</v>
      </c>
    </row>
    <row r="9" spans="1:26" s="2" customFormat="1" x14ac:dyDescent="0.25">
      <c r="A9" s="9">
        <f>A8+1</f>
        <v>2</v>
      </c>
      <c r="B9" s="19" t="s">
        <v>4325</v>
      </c>
      <c r="C9" s="20" t="s">
        <v>4339</v>
      </c>
      <c r="D9" s="20" t="s">
        <v>4343</v>
      </c>
      <c r="E9" s="20" t="s">
        <v>25</v>
      </c>
      <c r="F9" s="20">
        <v>2105183431</v>
      </c>
      <c r="G9" s="20" t="s">
        <v>24</v>
      </c>
      <c r="H9" s="20" t="s">
        <v>25</v>
      </c>
      <c r="I9" s="21">
        <v>46317</v>
      </c>
      <c r="J9" s="20" t="s">
        <v>35</v>
      </c>
      <c r="K9" s="20" t="s">
        <v>57</v>
      </c>
      <c r="L9" s="20" t="s">
        <v>4341</v>
      </c>
      <c r="M9" s="22" t="s">
        <v>4660</v>
      </c>
      <c r="N9" s="20" t="s">
        <v>4316</v>
      </c>
      <c r="O9" s="20" t="s">
        <v>4329</v>
      </c>
      <c r="P9" s="20" t="s">
        <v>146</v>
      </c>
      <c r="Q9" s="20" t="s">
        <v>147</v>
      </c>
      <c r="R9" s="20" t="s">
        <v>25</v>
      </c>
      <c r="S9" s="20" t="s">
        <v>31</v>
      </c>
      <c r="T9" s="20" t="s">
        <v>192</v>
      </c>
      <c r="U9" s="20" t="s">
        <v>4342</v>
      </c>
      <c r="V9" s="21"/>
      <c r="W9" s="21">
        <v>46317</v>
      </c>
      <c r="X9" s="20" t="s">
        <v>1514</v>
      </c>
      <c r="Y9" s="21">
        <v>46326</v>
      </c>
      <c r="Z9" s="20" t="s">
        <v>3808</v>
      </c>
    </row>
    <row r="10" spans="1:26" s="2" customFormat="1" x14ac:dyDescent="0.25">
      <c r="A10" s="9">
        <f t="shared" ref="A10:A73" si="0">A9+1</f>
        <v>3</v>
      </c>
      <c r="B10" s="19" t="s">
        <v>4325</v>
      </c>
      <c r="C10" s="20" t="s">
        <v>4326</v>
      </c>
      <c r="D10" s="20" t="s">
        <v>4406</v>
      </c>
      <c r="E10" s="20" t="s">
        <v>25</v>
      </c>
      <c r="F10" s="20">
        <v>2105183378</v>
      </c>
      <c r="G10" s="20" t="s">
        <v>24</v>
      </c>
      <c r="H10" s="20" t="s">
        <v>25</v>
      </c>
      <c r="I10" s="21">
        <v>46317</v>
      </c>
      <c r="J10" s="20" t="s">
        <v>35</v>
      </c>
      <c r="K10" s="20" t="s">
        <v>27</v>
      </c>
      <c r="L10" s="20" t="s">
        <v>4407</v>
      </c>
      <c r="M10" s="22" t="s">
        <v>4661</v>
      </c>
      <c r="N10" s="20" t="s">
        <v>25</v>
      </c>
      <c r="O10" s="20" t="s">
        <v>4329</v>
      </c>
      <c r="P10" s="20" t="s">
        <v>146</v>
      </c>
      <c r="Q10" s="20" t="s">
        <v>147</v>
      </c>
      <c r="R10" s="20" t="s">
        <v>25</v>
      </c>
      <c r="S10" s="20" t="s">
        <v>31</v>
      </c>
      <c r="T10" s="20" t="s">
        <v>192</v>
      </c>
      <c r="U10" s="20" t="s">
        <v>4408</v>
      </c>
      <c r="V10" s="21"/>
      <c r="W10" s="21">
        <v>46317</v>
      </c>
      <c r="X10" s="20" t="s">
        <v>1514</v>
      </c>
      <c r="Y10" s="21">
        <v>46326</v>
      </c>
      <c r="Z10" s="20" t="s">
        <v>3808</v>
      </c>
    </row>
    <row r="11" spans="1:26" s="2" customFormat="1" x14ac:dyDescent="0.25">
      <c r="A11" s="9">
        <f t="shared" si="0"/>
        <v>4</v>
      </c>
      <c r="B11" s="19" t="s">
        <v>4325</v>
      </c>
      <c r="C11" s="20" t="s">
        <v>4326</v>
      </c>
      <c r="D11" s="20" t="s">
        <v>4400</v>
      </c>
      <c r="E11" s="20" t="s">
        <v>25</v>
      </c>
      <c r="F11" s="20">
        <v>2105183370</v>
      </c>
      <c r="G11" s="20" t="s">
        <v>24</v>
      </c>
      <c r="H11" s="20" t="s">
        <v>25</v>
      </c>
      <c r="I11" s="21">
        <v>46317</v>
      </c>
      <c r="J11" s="20" t="s">
        <v>35</v>
      </c>
      <c r="K11" s="20" t="s">
        <v>27</v>
      </c>
      <c r="L11" s="20" t="s">
        <v>4401</v>
      </c>
      <c r="M11" s="22" t="s">
        <v>4661</v>
      </c>
      <c r="N11" s="20" t="s">
        <v>25</v>
      </c>
      <c r="O11" s="20" t="s">
        <v>4329</v>
      </c>
      <c r="P11" s="20" t="s">
        <v>146</v>
      </c>
      <c r="Q11" s="20" t="s">
        <v>147</v>
      </c>
      <c r="R11" s="20" t="s">
        <v>25</v>
      </c>
      <c r="S11" s="20" t="s">
        <v>31</v>
      </c>
      <c r="T11" s="20" t="s">
        <v>192</v>
      </c>
      <c r="U11" s="20" t="s">
        <v>4402</v>
      </c>
      <c r="V11" s="21"/>
      <c r="W11" s="21">
        <v>46317</v>
      </c>
      <c r="X11" s="20" t="s">
        <v>1514</v>
      </c>
      <c r="Y11" s="21">
        <v>46326</v>
      </c>
      <c r="Z11" s="20" t="s">
        <v>3808</v>
      </c>
    </row>
    <row r="12" spans="1:26" s="2" customFormat="1" x14ac:dyDescent="0.25">
      <c r="A12" s="9">
        <f t="shared" si="0"/>
        <v>5</v>
      </c>
      <c r="B12" s="15" t="s">
        <v>4325</v>
      </c>
      <c r="C12" s="15" t="s">
        <v>4339</v>
      </c>
      <c r="D12" s="15" t="s">
        <v>4518</v>
      </c>
      <c r="E12" s="15" t="s">
        <v>25</v>
      </c>
      <c r="F12" s="15">
        <v>2105183434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4519</v>
      </c>
      <c r="M12" s="15" t="s">
        <v>28</v>
      </c>
      <c r="N12" s="15" t="s">
        <v>4653</v>
      </c>
      <c r="O12" s="15" t="s">
        <v>4329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4520</v>
      </c>
      <c r="V12" s="16"/>
      <c r="W12" s="16">
        <v>46317</v>
      </c>
      <c r="X12" s="15" t="s">
        <v>1514</v>
      </c>
      <c r="Y12" s="16">
        <v>46326</v>
      </c>
      <c r="Z12" s="15" t="s">
        <v>3808</v>
      </c>
    </row>
    <row r="13" spans="1:26" s="2" customFormat="1" x14ac:dyDescent="0.25">
      <c r="A13" s="9">
        <f t="shared" si="0"/>
        <v>6</v>
      </c>
      <c r="B13" s="15" t="s">
        <v>4325</v>
      </c>
      <c r="C13" s="15" t="s">
        <v>4339</v>
      </c>
      <c r="D13" s="15" t="s">
        <v>4521</v>
      </c>
      <c r="E13" s="15" t="s">
        <v>25</v>
      </c>
      <c r="F13" s="15">
        <v>2105183434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57</v>
      </c>
      <c r="L13" s="15" t="s">
        <v>4519</v>
      </c>
      <c r="M13" s="15" t="s">
        <v>28</v>
      </c>
      <c r="N13" s="15" t="s">
        <v>4653</v>
      </c>
      <c r="O13" s="15" t="s">
        <v>4329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4520</v>
      </c>
      <c r="V13" s="16"/>
      <c r="W13" s="16">
        <v>46317</v>
      </c>
      <c r="X13" s="15" t="s">
        <v>1514</v>
      </c>
      <c r="Y13" s="16">
        <v>46326</v>
      </c>
      <c r="Z13" s="15" t="s">
        <v>3808</v>
      </c>
    </row>
    <row r="14" spans="1:26" s="2" customFormat="1" x14ac:dyDescent="0.25">
      <c r="A14" s="9">
        <f t="shared" si="0"/>
        <v>7</v>
      </c>
      <c r="B14" s="15" t="s">
        <v>4325</v>
      </c>
      <c r="C14" s="15" t="s">
        <v>4339</v>
      </c>
      <c r="D14" s="15" t="s">
        <v>4522</v>
      </c>
      <c r="E14" s="15" t="s">
        <v>25</v>
      </c>
      <c r="F14" s="15">
        <v>2105183435</v>
      </c>
      <c r="G14" s="15" t="s">
        <v>24</v>
      </c>
      <c r="H14" s="15" t="s">
        <v>25</v>
      </c>
      <c r="I14" s="16">
        <v>46319</v>
      </c>
      <c r="J14" s="15" t="s">
        <v>80</v>
      </c>
      <c r="K14" s="15" t="s">
        <v>27</v>
      </c>
      <c r="L14" s="15" t="s">
        <v>4523</v>
      </c>
      <c r="M14" s="15" t="s">
        <v>28</v>
      </c>
      <c r="N14" s="15" t="s">
        <v>4653</v>
      </c>
      <c r="O14" s="15" t="s">
        <v>4329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4524</v>
      </c>
      <c r="V14" s="16"/>
      <c r="W14" s="16">
        <v>46317</v>
      </c>
      <c r="X14" s="15" t="s">
        <v>1514</v>
      </c>
      <c r="Y14" s="16">
        <v>46326</v>
      </c>
      <c r="Z14" s="15" t="s">
        <v>3808</v>
      </c>
    </row>
    <row r="15" spans="1:26" s="2" customFormat="1" x14ac:dyDescent="0.25">
      <c r="A15" s="9">
        <f t="shared" si="0"/>
        <v>8</v>
      </c>
      <c r="B15" s="15" t="s">
        <v>4325</v>
      </c>
      <c r="C15" s="15" t="s">
        <v>4326</v>
      </c>
      <c r="D15" s="15" t="s">
        <v>4327</v>
      </c>
      <c r="E15" s="15" t="s">
        <v>25</v>
      </c>
      <c r="F15" s="15">
        <v>2105183355</v>
      </c>
      <c r="G15" s="15" t="s">
        <v>24</v>
      </c>
      <c r="H15" s="15" t="s">
        <v>25</v>
      </c>
      <c r="I15" s="16">
        <v>46311</v>
      </c>
      <c r="J15" s="15" t="s">
        <v>35</v>
      </c>
      <c r="K15" s="15" t="s">
        <v>27</v>
      </c>
      <c r="L15" s="15" t="s">
        <v>4328</v>
      </c>
      <c r="M15" s="15" t="s">
        <v>28</v>
      </c>
      <c r="N15" s="15" t="s">
        <v>4319</v>
      </c>
      <c r="O15" s="15" t="s">
        <v>4329</v>
      </c>
      <c r="P15" s="15" t="s">
        <v>25</v>
      </c>
      <c r="Q15" s="15" t="s">
        <v>25</v>
      </c>
      <c r="R15" s="15" t="s">
        <v>25</v>
      </c>
      <c r="S15" s="15" t="s">
        <v>31</v>
      </c>
      <c r="T15" s="15" t="s">
        <v>192</v>
      </c>
      <c r="U15" s="15" t="s">
        <v>4330</v>
      </c>
      <c r="V15" s="16"/>
      <c r="W15" s="16">
        <v>46317</v>
      </c>
      <c r="X15" s="15" t="s">
        <v>1514</v>
      </c>
      <c r="Y15" s="16">
        <v>46326</v>
      </c>
      <c r="Z15" s="15" t="s">
        <v>3808</v>
      </c>
    </row>
    <row r="16" spans="1:26" s="2" customFormat="1" x14ac:dyDescent="0.25">
      <c r="A16" s="9">
        <f t="shared" si="0"/>
        <v>9</v>
      </c>
      <c r="B16" s="15" t="s">
        <v>4325</v>
      </c>
      <c r="C16" s="15" t="s">
        <v>4331</v>
      </c>
      <c r="D16" s="15" t="s">
        <v>4332</v>
      </c>
      <c r="E16" s="15" t="s">
        <v>25</v>
      </c>
      <c r="F16" s="15">
        <v>2105183393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4333</v>
      </c>
      <c r="M16" s="15" t="s">
        <v>28</v>
      </c>
      <c r="N16" s="15" t="s">
        <v>4319</v>
      </c>
      <c r="O16" s="15" t="s">
        <v>4329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4334</v>
      </c>
      <c r="V16" s="16"/>
      <c r="W16" s="16">
        <v>46317</v>
      </c>
      <c r="X16" s="15" t="s">
        <v>1514</v>
      </c>
      <c r="Y16" s="16">
        <v>46326</v>
      </c>
      <c r="Z16" s="15" t="s">
        <v>3808</v>
      </c>
    </row>
    <row r="17" spans="1:26" s="2" customFormat="1" x14ac:dyDescent="0.25">
      <c r="A17" s="9">
        <f t="shared" si="0"/>
        <v>10</v>
      </c>
      <c r="B17" s="15" t="s">
        <v>4325</v>
      </c>
      <c r="C17" s="15" t="s">
        <v>4331</v>
      </c>
      <c r="D17" s="15" t="s">
        <v>4437</v>
      </c>
      <c r="E17" s="15" t="s">
        <v>25</v>
      </c>
      <c r="F17" s="15">
        <v>2105183412</v>
      </c>
      <c r="G17" s="15" t="s">
        <v>24</v>
      </c>
      <c r="H17" s="15" t="s">
        <v>25</v>
      </c>
      <c r="I17" s="16">
        <v>46321</v>
      </c>
      <c r="J17" s="15" t="s">
        <v>35</v>
      </c>
      <c r="K17" s="15" t="s">
        <v>27</v>
      </c>
      <c r="L17" s="15" t="s">
        <v>4438</v>
      </c>
      <c r="M17" s="15" t="s">
        <v>28</v>
      </c>
      <c r="N17" s="15" t="s">
        <v>25</v>
      </c>
      <c r="O17" s="15" t="s">
        <v>4329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4439</v>
      </c>
      <c r="V17" s="16"/>
      <c r="W17" s="16">
        <v>46317</v>
      </c>
      <c r="X17" s="15" t="s">
        <v>1514</v>
      </c>
      <c r="Y17" s="16">
        <v>46326</v>
      </c>
      <c r="Z17" s="15" t="s">
        <v>3808</v>
      </c>
    </row>
    <row r="18" spans="1:26" s="2" customFormat="1" x14ac:dyDescent="0.25">
      <c r="A18" s="9">
        <f t="shared" si="0"/>
        <v>11</v>
      </c>
      <c r="B18" s="15" t="s">
        <v>4325</v>
      </c>
      <c r="C18" s="15" t="s">
        <v>4339</v>
      </c>
      <c r="D18" s="15" t="s">
        <v>4443</v>
      </c>
      <c r="E18" s="15" t="s">
        <v>25</v>
      </c>
      <c r="F18" s="15">
        <v>2105183432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4444</v>
      </c>
      <c r="M18" s="15" t="s">
        <v>28</v>
      </c>
      <c r="N18" s="15" t="s">
        <v>4653</v>
      </c>
      <c r="O18" s="15" t="s">
        <v>4329</v>
      </c>
      <c r="P18" s="15" t="s">
        <v>146</v>
      </c>
      <c r="Q18" s="15" t="s">
        <v>147</v>
      </c>
      <c r="R18" s="15" t="s">
        <v>25</v>
      </c>
      <c r="S18" s="15" t="s">
        <v>31</v>
      </c>
      <c r="T18" s="15" t="s">
        <v>192</v>
      </c>
      <c r="U18" s="15" t="s">
        <v>4445</v>
      </c>
      <c r="V18" s="16"/>
      <c r="W18" s="16">
        <v>46317</v>
      </c>
      <c r="X18" s="15" t="s">
        <v>1514</v>
      </c>
      <c r="Y18" s="16">
        <v>46326</v>
      </c>
      <c r="Z18" s="15" t="s">
        <v>3808</v>
      </c>
    </row>
    <row r="19" spans="1:26" s="2" customFormat="1" x14ac:dyDescent="0.25">
      <c r="A19" s="9">
        <f t="shared" si="0"/>
        <v>12</v>
      </c>
      <c r="B19" s="15" t="s">
        <v>4325</v>
      </c>
      <c r="C19" s="15" t="s">
        <v>4335</v>
      </c>
      <c r="D19" s="15" t="s">
        <v>4525</v>
      </c>
      <c r="E19" s="15" t="s">
        <v>25</v>
      </c>
      <c r="F19" s="15">
        <v>2105183349</v>
      </c>
      <c r="G19" s="15" t="s">
        <v>24</v>
      </c>
      <c r="H19" s="15" t="s">
        <v>25</v>
      </c>
      <c r="I19" s="16">
        <v>46320</v>
      </c>
      <c r="J19" s="15" t="s">
        <v>35</v>
      </c>
      <c r="K19" s="15" t="s">
        <v>27</v>
      </c>
      <c r="L19" s="15" t="s">
        <v>4526</v>
      </c>
      <c r="M19" s="15" t="s">
        <v>28</v>
      </c>
      <c r="N19" s="15" t="s">
        <v>4653</v>
      </c>
      <c r="O19" s="15" t="s">
        <v>4329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4527</v>
      </c>
      <c r="V19" s="16"/>
      <c r="W19" s="16">
        <v>46317</v>
      </c>
      <c r="X19" s="15" t="s">
        <v>1514</v>
      </c>
      <c r="Y19" s="16">
        <v>46326</v>
      </c>
      <c r="Z19" s="15" t="s">
        <v>3808</v>
      </c>
    </row>
    <row r="20" spans="1:26" s="2" customFormat="1" x14ac:dyDescent="0.25">
      <c r="A20" s="9">
        <f t="shared" si="0"/>
        <v>13</v>
      </c>
      <c r="B20" s="15" t="s">
        <v>4325</v>
      </c>
      <c r="C20" s="15" t="s">
        <v>4331</v>
      </c>
      <c r="D20" s="15" t="s">
        <v>4587</v>
      </c>
      <c r="E20" s="15" t="s">
        <v>25</v>
      </c>
      <c r="F20" s="15">
        <v>2105183415</v>
      </c>
      <c r="G20" s="15" t="s">
        <v>24</v>
      </c>
      <c r="H20" s="15" t="s">
        <v>25</v>
      </c>
      <c r="I20" s="16">
        <v>46321</v>
      </c>
      <c r="J20" s="15" t="s">
        <v>35</v>
      </c>
      <c r="K20" s="15" t="s">
        <v>27</v>
      </c>
      <c r="L20" s="15" t="s">
        <v>4588</v>
      </c>
      <c r="M20" s="15" t="s">
        <v>28</v>
      </c>
      <c r="N20" s="15" t="s">
        <v>25</v>
      </c>
      <c r="O20" s="15" t="s">
        <v>4329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4589</v>
      </c>
      <c r="V20" s="16"/>
      <c r="W20" s="16">
        <v>46317</v>
      </c>
      <c r="X20" s="15" t="s">
        <v>1514</v>
      </c>
      <c r="Y20" s="16">
        <v>46326</v>
      </c>
      <c r="Z20" s="15" t="s">
        <v>3808</v>
      </c>
    </row>
    <row r="21" spans="1:26" s="2" customFormat="1" x14ac:dyDescent="0.25">
      <c r="A21" s="9">
        <f t="shared" si="0"/>
        <v>14</v>
      </c>
      <c r="B21" s="15" t="s">
        <v>4325</v>
      </c>
      <c r="C21" s="15" t="s">
        <v>4331</v>
      </c>
      <c r="D21" s="15" t="s">
        <v>4596</v>
      </c>
      <c r="E21" s="15" t="s">
        <v>25</v>
      </c>
      <c r="F21" s="15">
        <v>2105183423</v>
      </c>
      <c r="G21" s="15" t="s">
        <v>24</v>
      </c>
      <c r="H21" s="15" t="s">
        <v>25</v>
      </c>
      <c r="I21" s="16">
        <v>46321</v>
      </c>
      <c r="J21" s="15" t="s">
        <v>35</v>
      </c>
      <c r="K21" s="15" t="s">
        <v>27</v>
      </c>
      <c r="L21" s="15" t="s">
        <v>4597</v>
      </c>
      <c r="M21" s="15" t="s">
        <v>28</v>
      </c>
      <c r="N21" s="15" t="s">
        <v>25</v>
      </c>
      <c r="O21" s="15" t="s">
        <v>4329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4598</v>
      </c>
      <c r="V21" s="16"/>
      <c r="W21" s="16">
        <v>46317</v>
      </c>
      <c r="X21" s="15" t="s">
        <v>1514</v>
      </c>
      <c r="Y21" s="16">
        <v>46326</v>
      </c>
      <c r="Z21" s="15" t="s">
        <v>3808</v>
      </c>
    </row>
    <row r="22" spans="1:26" s="2" customFormat="1" x14ac:dyDescent="0.25">
      <c r="A22" s="9">
        <f t="shared" si="0"/>
        <v>15</v>
      </c>
      <c r="B22" s="15" t="s">
        <v>4325</v>
      </c>
      <c r="C22" s="15" t="s">
        <v>4331</v>
      </c>
      <c r="D22" s="15" t="s">
        <v>4599</v>
      </c>
      <c r="E22" s="15" t="s">
        <v>25</v>
      </c>
      <c r="F22" s="15">
        <v>2105183423</v>
      </c>
      <c r="G22" s="15" t="s">
        <v>24</v>
      </c>
      <c r="H22" s="15" t="s">
        <v>25</v>
      </c>
      <c r="I22" s="16">
        <v>46321</v>
      </c>
      <c r="J22" s="15" t="s">
        <v>51</v>
      </c>
      <c r="K22" s="15" t="s">
        <v>57</v>
      </c>
      <c r="L22" s="15" t="s">
        <v>4597</v>
      </c>
      <c r="M22" s="15" t="s">
        <v>28</v>
      </c>
      <c r="N22" s="15" t="s">
        <v>25</v>
      </c>
      <c r="O22" s="15" t="s">
        <v>4329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4598</v>
      </c>
      <c r="V22" s="16"/>
      <c r="W22" s="16">
        <v>46317</v>
      </c>
      <c r="X22" s="15" t="s">
        <v>1514</v>
      </c>
      <c r="Y22" s="16">
        <v>46326</v>
      </c>
      <c r="Z22" s="15" t="s">
        <v>3808</v>
      </c>
    </row>
    <row r="23" spans="1:26" s="2" customFormat="1" x14ac:dyDescent="0.25">
      <c r="A23" s="9">
        <f t="shared" si="0"/>
        <v>16</v>
      </c>
      <c r="B23" s="15" t="s">
        <v>4325</v>
      </c>
      <c r="C23" s="15" t="s">
        <v>4326</v>
      </c>
      <c r="D23" s="15" t="s">
        <v>4611</v>
      </c>
      <c r="E23" s="15" t="s">
        <v>25</v>
      </c>
      <c r="F23" s="15">
        <v>2105183367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4612</v>
      </c>
      <c r="M23" s="15" t="s">
        <v>28</v>
      </c>
      <c r="N23" s="15" t="s">
        <v>4653</v>
      </c>
      <c r="O23" s="15" t="s">
        <v>4329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4613</v>
      </c>
      <c r="V23" s="16">
        <v>46318</v>
      </c>
      <c r="W23" s="16">
        <v>46317</v>
      </c>
      <c r="X23" s="15" t="s">
        <v>1514</v>
      </c>
      <c r="Y23" s="16">
        <v>46326</v>
      </c>
      <c r="Z23" s="15" t="s">
        <v>3808</v>
      </c>
    </row>
    <row r="24" spans="1:26" s="2" customFormat="1" x14ac:dyDescent="0.25">
      <c r="A24" s="9">
        <f t="shared" si="0"/>
        <v>17</v>
      </c>
      <c r="B24" s="15" t="s">
        <v>4325</v>
      </c>
      <c r="C24" s="15" t="s">
        <v>4326</v>
      </c>
      <c r="D24" s="15" t="s">
        <v>4614</v>
      </c>
      <c r="E24" s="15" t="s">
        <v>25</v>
      </c>
      <c r="F24" s="15">
        <v>2105183369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4615</v>
      </c>
      <c r="M24" s="15" t="s">
        <v>28</v>
      </c>
      <c r="N24" s="15" t="s">
        <v>4653</v>
      </c>
      <c r="O24" s="15" t="s">
        <v>4329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4616</v>
      </c>
      <c r="V24" s="16">
        <v>46318</v>
      </c>
      <c r="W24" s="16">
        <v>46317</v>
      </c>
      <c r="X24" s="15" t="s">
        <v>1514</v>
      </c>
      <c r="Y24" s="16">
        <v>46326</v>
      </c>
      <c r="Z24" s="15" t="s">
        <v>3808</v>
      </c>
    </row>
    <row r="25" spans="1:26" x14ac:dyDescent="0.25">
      <c r="A25" s="9">
        <f t="shared" si="0"/>
        <v>18</v>
      </c>
      <c r="B25" s="15" t="s">
        <v>4325</v>
      </c>
      <c r="C25" s="15" t="s">
        <v>4326</v>
      </c>
      <c r="D25" s="15" t="s">
        <v>4617</v>
      </c>
      <c r="E25" s="15" t="s">
        <v>25</v>
      </c>
      <c r="F25" s="15">
        <v>2105183371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4618</v>
      </c>
      <c r="M25" s="15" t="s">
        <v>28</v>
      </c>
      <c r="N25" s="15" t="s">
        <v>4653</v>
      </c>
      <c r="O25" s="15" t="s">
        <v>4329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4619</v>
      </c>
      <c r="V25" s="16">
        <v>46318</v>
      </c>
      <c r="W25" s="16">
        <v>46317</v>
      </c>
      <c r="X25" s="15" t="s">
        <v>1514</v>
      </c>
      <c r="Y25" s="16">
        <v>46326</v>
      </c>
      <c r="Z25" s="15" t="s">
        <v>3808</v>
      </c>
    </row>
    <row r="26" spans="1:26" x14ac:dyDescent="0.25">
      <c r="A26" s="9">
        <f t="shared" si="0"/>
        <v>19</v>
      </c>
      <c r="B26" s="15" t="s">
        <v>4325</v>
      </c>
      <c r="C26" s="15" t="s">
        <v>4326</v>
      </c>
      <c r="D26" s="15" t="s">
        <v>4403</v>
      </c>
      <c r="E26" s="15" t="s">
        <v>25</v>
      </c>
      <c r="F26" s="15">
        <v>2105183373</v>
      </c>
      <c r="G26" s="15" t="s">
        <v>24</v>
      </c>
      <c r="H26" s="15" t="s">
        <v>25</v>
      </c>
      <c r="I26" s="16">
        <v>46320</v>
      </c>
      <c r="J26" s="15" t="s">
        <v>35</v>
      </c>
      <c r="K26" s="15" t="s">
        <v>27</v>
      </c>
      <c r="L26" s="15" t="s">
        <v>4404</v>
      </c>
      <c r="M26" s="15" t="s">
        <v>28</v>
      </c>
      <c r="N26" s="15" t="s">
        <v>4653</v>
      </c>
      <c r="O26" s="15" t="s">
        <v>4329</v>
      </c>
      <c r="P26" s="15" t="s">
        <v>146</v>
      </c>
      <c r="Q26" s="15" t="s">
        <v>147</v>
      </c>
      <c r="R26" s="15" t="s">
        <v>25</v>
      </c>
      <c r="S26" s="15" t="s">
        <v>31</v>
      </c>
      <c r="T26" s="15" t="s">
        <v>192</v>
      </c>
      <c r="U26" s="15" t="s">
        <v>4405</v>
      </c>
      <c r="V26" s="16">
        <v>46319</v>
      </c>
      <c r="W26" s="16">
        <v>46317</v>
      </c>
      <c r="X26" s="15" t="s">
        <v>1514</v>
      </c>
      <c r="Y26" s="16">
        <v>46326</v>
      </c>
      <c r="Z26" s="15" t="s">
        <v>3808</v>
      </c>
    </row>
    <row r="27" spans="1:26" x14ac:dyDescent="0.25">
      <c r="A27" s="9">
        <f t="shared" si="0"/>
        <v>20</v>
      </c>
      <c r="B27" s="15" t="s">
        <v>4325</v>
      </c>
      <c r="C27" s="15" t="s">
        <v>4331</v>
      </c>
      <c r="D27" s="15" t="s">
        <v>4620</v>
      </c>
      <c r="E27" s="15" t="s">
        <v>25</v>
      </c>
      <c r="F27" s="15">
        <v>2105183406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4621</v>
      </c>
      <c r="M27" s="15" t="s">
        <v>28</v>
      </c>
      <c r="N27" s="15" t="s">
        <v>4653</v>
      </c>
      <c r="O27" s="15" t="s">
        <v>4329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4622</v>
      </c>
      <c r="V27" s="16">
        <v>46318</v>
      </c>
      <c r="W27" s="16">
        <v>46317</v>
      </c>
      <c r="X27" s="15" t="s">
        <v>1514</v>
      </c>
      <c r="Y27" s="16">
        <v>46326</v>
      </c>
      <c r="Z27" s="15" t="s">
        <v>3808</v>
      </c>
    </row>
    <row r="28" spans="1:26" x14ac:dyDescent="0.25">
      <c r="A28" s="9">
        <f t="shared" si="0"/>
        <v>21</v>
      </c>
      <c r="B28" s="15" t="s">
        <v>4325</v>
      </c>
      <c r="C28" s="15" t="s">
        <v>4331</v>
      </c>
      <c r="D28" s="15" t="s">
        <v>4623</v>
      </c>
      <c r="E28" s="15" t="s">
        <v>25</v>
      </c>
      <c r="F28" s="15">
        <v>2105183408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4624</v>
      </c>
      <c r="M28" s="15" t="s">
        <v>28</v>
      </c>
      <c r="N28" s="15" t="s">
        <v>4653</v>
      </c>
      <c r="O28" s="15" t="s">
        <v>4329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4625</v>
      </c>
      <c r="V28" s="16">
        <v>46318</v>
      </c>
      <c r="W28" s="16">
        <v>46317</v>
      </c>
      <c r="X28" s="15" t="s">
        <v>1514</v>
      </c>
      <c r="Y28" s="16">
        <v>46326</v>
      </c>
      <c r="Z28" s="15" t="s">
        <v>3808</v>
      </c>
    </row>
    <row r="29" spans="1:26" x14ac:dyDescent="0.25">
      <c r="A29" s="9">
        <f t="shared" si="0"/>
        <v>22</v>
      </c>
      <c r="B29" s="15" t="s">
        <v>4325</v>
      </c>
      <c r="C29" s="15" t="s">
        <v>4331</v>
      </c>
      <c r="D29" s="15" t="s">
        <v>4626</v>
      </c>
      <c r="E29" s="15" t="s">
        <v>25</v>
      </c>
      <c r="F29" s="15">
        <v>2105183410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4627</v>
      </c>
      <c r="M29" s="15" t="s">
        <v>28</v>
      </c>
      <c r="N29" s="15" t="s">
        <v>4653</v>
      </c>
      <c r="O29" s="15" t="s">
        <v>4329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4628</v>
      </c>
      <c r="V29" s="16">
        <v>46318</v>
      </c>
      <c r="W29" s="16">
        <v>46317</v>
      </c>
      <c r="X29" s="15" t="s">
        <v>1514</v>
      </c>
      <c r="Y29" s="16">
        <v>46326</v>
      </c>
      <c r="Z29" s="15" t="s">
        <v>3808</v>
      </c>
    </row>
    <row r="30" spans="1:26" x14ac:dyDescent="0.25">
      <c r="A30" s="9">
        <f t="shared" si="0"/>
        <v>23</v>
      </c>
      <c r="B30" s="15" t="s">
        <v>4325</v>
      </c>
      <c r="C30" s="15" t="s">
        <v>4339</v>
      </c>
      <c r="D30" s="15" t="s">
        <v>4629</v>
      </c>
      <c r="E30" s="15" t="s">
        <v>25</v>
      </c>
      <c r="F30" s="15">
        <v>2105183430</v>
      </c>
      <c r="G30" s="15" t="s">
        <v>24</v>
      </c>
      <c r="H30" s="15" t="s">
        <v>25</v>
      </c>
      <c r="I30" s="16">
        <v>46319</v>
      </c>
      <c r="J30" s="15" t="s">
        <v>80</v>
      </c>
      <c r="K30" s="15" t="s">
        <v>27</v>
      </c>
      <c r="L30" s="15" t="s">
        <v>4630</v>
      </c>
      <c r="M30" s="15" t="s">
        <v>28</v>
      </c>
      <c r="N30" s="15" t="s">
        <v>4653</v>
      </c>
      <c r="O30" s="15" t="s">
        <v>4329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4631</v>
      </c>
      <c r="V30" s="16">
        <v>46318</v>
      </c>
      <c r="W30" s="16">
        <v>46317</v>
      </c>
      <c r="X30" s="15" t="s">
        <v>1514</v>
      </c>
      <c r="Y30" s="16">
        <v>46326</v>
      </c>
      <c r="Z30" s="15" t="s">
        <v>3808</v>
      </c>
    </row>
    <row r="31" spans="1:26" x14ac:dyDescent="0.25">
      <c r="A31" s="9">
        <f t="shared" si="0"/>
        <v>24</v>
      </c>
      <c r="B31" s="15" t="s">
        <v>4325</v>
      </c>
      <c r="C31" s="15" t="s">
        <v>4335</v>
      </c>
      <c r="D31" s="15" t="s">
        <v>4336</v>
      </c>
      <c r="E31" s="15" t="s">
        <v>25</v>
      </c>
      <c r="F31" s="15">
        <v>2105183310</v>
      </c>
      <c r="G31" s="15" t="s">
        <v>24</v>
      </c>
      <c r="H31" s="15" t="s">
        <v>25</v>
      </c>
      <c r="I31" s="16">
        <v>46311</v>
      </c>
      <c r="J31" s="15" t="s">
        <v>35</v>
      </c>
      <c r="K31" s="15" t="s">
        <v>27</v>
      </c>
      <c r="L31" s="15" t="s">
        <v>4337</v>
      </c>
      <c r="M31" s="15" t="s">
        <v>28</v>
      </c>
      <c r="N31" s="15" t="s">
        <v>4319</v>
      </c>
      <c r="O31" s="15" t="s">
        <v>4329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4338</v>
      </c>
      <c r="V31" s="16">
        <v>46316</v>
      </c>
      <c r="W31" s="16">
        <v>46317</v>
      </c>
      <c r="X31" s="15" t="s">
        <v>1514</v>
      </c>
      <c r="Y31" s="16">
        <v>46326</v>
      </c>
      <c r="Z31" s="15" t="s">
        <v>3808</v>
      </c>
    </row>
    <row r="32" spans="1:26" x14ac:dyDescent="0.25">
      <c r="A32" s="9">
        <f t="shared" si="0"/>
        <v>25</v>
      </c>
      <c r="B32" s="15" t="s">
        <v>4325</v>
      </c>
      <c r="C32" s="15" t="s">
        <v>4326</v>
      </c>
      <c r="D32" s="15" t="s">
        <v>4632</v>
      </c>
      <c r="E32" s="15" t="s">
        <v>25</v>
      </c>
      <c r="F32" s="15">
        <v>2105183372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4633</v>
      </c>
      <c r="M32" s="15" t="s">
        <v>28</v>
      </c>
      <c r="N32" s="15" t="s">
        <v>4653</v>
      </c>
      <c r="O32" s="15" t="s">
        <v>4329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4634</v>
      </c>
      <c r="V32" s="16">
        <v>46318</v>
      </c>
      <c r="W32" s="16">
        <v>46317</v>
      </c>
      <c r="X32" s="15" t="s">
        <v>1514</v>
      </c>
      <c r="Y32" s="16">
        <v>46326</v>
      </c>
      <c r="Z32" s="15" t="s">
        <v>3808</v>
      </c>
    </row>
    <row r="33" spans="1:26" x14ac:dyDescent="0.25">
      <c r="A33" s="9">
        <f t="shared" si="0"/>
        <v>26</v>
      </c>
      <c r="B33" s="15" t="s">
        <v>4325</v>
      </c>
      <c r="C33" s="15" t="s">
        <v>4326</v>
      </c>
      <c r="D33" s="15" t="s">
        <v>4635</v>
      </c>
      <c r="E33" s="15" t="s">
        <v>25</v>
      </c>
      <c r="F33" s="15">
        <v>2105183388</v>
      </c>
      <c r="G33" s="15" t="s">
        <v>24</v>
      </c>
      <c r="H33" s="15" t="s">
        <v>25</v>
      </c>
      <c r="I33" s="16">
        <v>46319</v>
      </c>
      <c r="J33" s="15" t="s">
        <v>35</v>
      </c>
      <c r="K33" s="15" t="s">
        <v>27</v>
      </c>
      <c r="L33" s="15" t="s">
        <v>4636</v>
      </c>
      <c r="M33" s="15" t="s">
        <v>28</v>
      </c>
      <c r="N33" s="15" t="s">
        <v>4653</v>
      </c>
      <c r="O33" s="15" t="s">
        <v>4329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4637</v>
      </c>
      <c r="V33" s="16">
        <v>46318</v>
      </c>
      <c r="W33" s="16">
        <v>46317</v>
      </c>
      <c r="X33" s="15" t="s">
        <v>1514</v>
      </c>
      <c r="Y33" s="16">
        <v>46326</v>
      </c>
      <c r="Z33" s="15" t="s">
        <v>3808</v>
      </c>
    </row>
    <row r="34" spans="1:26" x14ac:dyDescent="0.25">
      <c r="A34" s="9">
        <f t="shared" si="0"/>
        <v>27</v>
      </c>
      <c r="B34" s="15" t="s">
        <v>4325</v>
      </c>
      <c r="C34" s="15" t="s">
        <v>4331</v>
      </c>
      <c r="D34" s="15" t="s">
        <v>4638</v>
      </c>
      <c r="E34" s="15" t="s">
        <v>25</v>
      </c>
      <c r="F34" s="15">
        <v>2105183411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4639</v>
      </c>
      <c r="M34" s="15" t="s">
        <v>28</v>
      </c>
      <c r="N34" s="15" t="s">
        <v>4653</v>
      </c>
      <c r="O34" s="15" t="s">
        <v>4329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4640</v>
      </c>
      <c r="V34" s="16">
        <v>46318</v>
      </c>
      <c r="W34" s="16">
        <v>46317</v>
      </c>
      <c r="X34" s="15" t="s">
        <v>1514</v>
      </c>
      <c r="Y34" s="16">
        <v>46326</v>
      </c>
      <c r="Z34" s="15" t="s">
        <v>3808</v>
      </c>
    </row>
    <row r="35" spans="1:26" x14ac:dyDescent="0.25">
      <c r="A35" s="9">
        <f t="shared" si="0"/>
        <v>28</v>
      </c>
      <c r="B35" s="15" t="s">
        <v>4325</v>
      </c>
      <c r="C35" s="15" t="s">
        <v>4331</v>
      </c>
      <c r="D35" s="15" t="s">
        <v>4641</v>
      </c>
      <c r="E35" s="15" t="s">
        <v>25</v>
      </c>
      <c r="F35" s="15">
        <v>2105183427</v>
      </c>
      <c r="G35" s="15" t="s">
        <v>24</v>
      </c>
      <c r="H35" s="15" t="s">
        <v>25</v>
      </c>
      <c r="I35" s="16">
        <v>46319</v>
      </c>
      <c r="J35" s="15" t="s">
        <v>35</v>
      </c>
      <c r="K35" s="15" t="s">
        <v>27</v>
      </c>
      <c r="L35" s="15" t="s">
        <v>4642</v>
      </c>
      <c r="M35" s="15" t="s">
        <v>28</v>
      </c>
      <c r="N35" s="15" t="s">
        <v>4653</v>
      </c>
      <c r="O35" s="15" t="s">
        <v>4329</v>
      </c>
      <c r="P35" s="15" t="s">
        <v>146</v>
      </c>
      <c r="Q35" s="15" t="s">
        <v>147</v>
      </c>
      <c r="R35" s="15" t="s">
        <v>25</v>
      </c>
      <c r="S35" s="15" t="s">
        <v>31</v>
      </c>
      <c r="T35" s="15" t="s">
        <v>192</v>
      </c>
      <c r="U35" s="15" t="s">
        <v>4643</v>
      </c>
      <c r="V35" s="16">
        <v>46318</v>
      </c>
      <c r="W35" s="16">
        <v>46317</v>
      </c>
      <c r="X35" s="15" t="s">
        <v>1514</v>
      </c>
      <c r="Y35" s="16">
        <v>46326</v>
      </c>
      <c r="Z35" s="15" t="s">
        <v>3808</v>
      </c>
    </row>
    <row r="36" spans="1:26" x14ac:dyDescent="0.25">
      <c r="A36" s="9">
        <f t="shared" si="0"/>
        <v>29</v>
      </c>
      <c r="B36" s="15" t="s">
        <v>4325</v>
      </c>
      <c r="C36" s="15" t="s">
        <v>4331</v>
      </c>
      <c r="D36" s="15" t="s">
        <v>4644</v>
      </c>
      <c r="E36" s="15" t="s">
        <v>25</v>
      </c>
      <c r="F36" s="15">
        <v>2105183428</v>
      </c>
      <c r="G36" s="15" t="s">
        <v>24</v>
      </c>
      <c r="H36" s="15" t="s">
        <v>25</v>
      </c>
      <c r="I36" s="16">
        <v>46319</v>
      </c>
      <c r="J36" s="15" t="s">
        <v>35</v>
      </c>
      <c r="K36" s="15" t="s">
        <v>27</v>
      </c>
      <c r="L36" s="15" t="s">
        <v>4645</v>
      </c>
      <c r="M36" s="15" t="s">
        <v>28</v>
      </c>
      <c r="N36" s="15" t="s">
        <v>4653</v>
      </c>
      <c r="O36" s="15" t="s">
        <v>4329</v>
      </c>
      <c r="P36" s="15" t="s">
        <v>146</v>
      </c>
      <c r="Q36" s="15" t="s">
        <v>147</v>
      </c>
      <c r="R36" s="15" t="s">
        <v>25</v>
      </c>
      <c r="S36" s="15" t="s">
        <v>31</v>
      </c>
      <c r="T36" s="15" t="s">
        <v>192</v>
      </c>
      <c r="U36" s="15" t="s">
        <v>4646</v>
      </c>
      <c r="V36" s="16">
        <v>46318</v>
      </c>
      <c r="W36" s="16">
        <v>46317</v>
      </c>
      <c r="X36" s="15" t="s">
        <v>1514</v>
      </c>
      <c r="Y36" s="16">
        <v>46326</v>
      </c>
      <c r="Z36" s="15" t="s">
        <v>3808</v>
      </c>
    </row>
    <row r="37" spans="1:26" x14ac:dyDescent="0.25">
      <c r="A37" s="9">
        <f t="shared" si="0"/>
        <v>30</v>
      </c>
      <c r="B37" s="15" t="s">
        <v>4325</v>
      </c>
      <c r="C37" s="15" t="s">
        <v>4335</v>
      </c>
      <c r="D37" s="15" t="s">
        <v>4604</v>
      </c>
      <c r="E37" s="15" t="s">
        <v>25</v>
      </c>
      <c r="F37" s="15">
        <v>2105183313</v>
      </c>
      <c r="G37" s="15" t="s">
        <v>24</v>
      </c>
      <c r="H37" s="15" t="s">
        <v>25</v>
      </c>
      <c r="I37" s="16">
        <v>46319</v>
      </c>
      <c r="J37" s="15" t="s">
        <v>35</v>
      </c>
      <c r="K37" s="15" t="s">
        <v>27</v>
      </c>
      <c r="L37" s="15" t="s">
        <v>4605</v>
      </c>
      <c r="M37" s="15" t="s">
        <v>28</v>
      </c>
      <c r="N37" s="15" t="s">
        <v>4653</v>
      </c>
      <c r="O37" s="15" t="s">
        <v>4329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4606</v>
      </c>
      <c r="V37" s="16">
        <v>46318</v>
      </c>
      <c r="W37" s="16">
        <v>46317</v>
      </c>
      <c r="X37" s="15" t="s">
        <v>1514</v>
      </c>
      <c r="Y37" s="16">
        <v>46326</v>
      </c>
      <c r="Z37" s="15" t="s">
        <v>3808</v>
      </c>
    </row>
    <row r="38" spans="1:26" x14ac:dyDescent="0.25">
      <c r="A38" s="9">
        <f t="shared" si="0"/>
        <v>31</v>
      </c>
      <c r="B38" s="15" t="s">
        <v>4325</v>
      </c>
      <c r="C38" s="15" t="s">
        <v>4335</v>
      </c>
      <c r="D38" s="15" t="s">
        <v>4600</v>
      </c>
      <c r="E38" s="15" t="s">
        <v>25</v>
      </c>
      <c r="F38" s="15">
        <v>2105183342</v>
      </c>
      <c r="G38" s="15" t="s">
        <v>24</v>
      </c>
      <c r="H38" s="15" t="s">
        <v>25</v>
      </c>
      <c r="I38" s="16">
        <v>46320</v>
      </c>
      <c r="J38" s="15" t="s">
        <v>35</v>
      </c>
      <c r="K38" s="15" t="s">
        <v>27</v>
      </c>
      <c r="L38" s="15" t="s">
        <v>4601</v>
      </c>
      <c r="M38" s="15" t="s">
        <v>28</v>
      </c>
      <c r="N38" s="15" t="s">
        <v>4653</v>
      </c>
      <c r="O38" s="15" t="s">
        <v>4329</v>
      </c>
      <c r="P38" s="15" t="s">
        <v>146</v>
      </c>
      <c r="Q38" s="15" t="s">
        <v>147</v>
      </c>
      <c r="R38" s="15" t="s">
        <v>25</v>
      </c>
      <c r="S38" s="15" t="s">
        <v>31</v>
      </c>
      <c r="T38" s="15" t="s">
        <v>192</v>
      </c>
      <c r="U38" s="15" t="s">
        <v>4602</v>
      </c>
      <c r="V38" s="16">
        <v>46319</v>
      </c>
      <c r="W38" s="16">
        <v>46317</v>
      </c>
      <c r="X38" s="15" t="s">
        <v>1514</v>
      </c>
      <c r="Y38" s="16">
        <v>46326</v>
      </c>
      <c r="Z38" s="15" t="s">
        <v>3808</v>
      </c>
    </row>
    <row r="39" spans="1:26" x14ac:dyDescent="0.25">
      <c r="A39" s="9">
        <f t="shared" si="0"/>
        <v>32</v>
      </c>
      <c r="B39" s="15" t="s">
        <v>4325</v>
      </c>
      <c r="C39" s="15" t="s">
        <v>4335</v>
      </c>
      <c r="D39" s="15" t="s">
        <v>4603</v>
      </c>
      <c r="E39" s="15" t="s">
        <v>25</v>
      </c>
      <c r="F39" s="15">
        <v>2105183342</v>
      </c>
      <c r="G39" s="15" t="s">
        <v>24</v>
      </c>
      <c r="H39" s="15" t="s">
        <v>25</v>
      </c>
      <c r="I39" s="16">
        <v>46320</v>
      </c>
      <c r="J39" s="15" t="s">
        <v>51</v>
      </c>
      <c r="K39" s="15" t="s">
        <v>57</v>
      </c>
      <c r="L39" s="15" t="s">
        <v>4601</v>
      </c>
      <c r="M39" s="15" t="s">
        <v>28</v>
      </c>
      <c r="N39" s="15" t="s">
        <v>4653</v>
      </c>
      <c r="O39" s="15" t="s">
        <v>4329</v>
      </c>
      <c r="P39" s="15" t="s">
        <v>146</v>
      </c>
      <c r="Q39" s="15" t="s">
        <v>147</v>
      </c>
      <c r="R39" s="15" t="s">
        <v>25</v>
      </c>
      <c r="S39" s="15" t="s">
        <v>31</v>
      </c>
      <c r="T39" s="15" t="s">
        <v>192</v>
      </c>
      <c r="U39" s="15" t="s">
        <v>4602</v>
      </c>
      <c r="V39" s="16">
        <v>46319</v>
      </c>
      <c r="W39" s="16">
        <v>46317</v>
      </c>
      <c r="X39" s="15" t="s">
        <v>1514</v>
      </c>
      <c r="Y39" s="16">
        <v>46326</v>
      </c>
      <c r="Z39" s="15" t="s">
        <v>3808</v>
      </c>
    </row>
    <row r="40" spans="1:26" x14ac:dyDescent="0.25">
      <c r="A40" s="9">
        <f t="shared" si="0"/>
        <v>33</v>
      </c>
      <c r="B40" s="15" t="s">
        <v>4325</v>
      </c>
      <c r="C40" s="15" t="s">
        <v>4335</v>
      </c>
      <c r="D40" s="15" t="s">
        <v>4647</v>
      </c>
      <c r="E40" s="15" t="s">
        <v>25</v>
      </c>
      <c r="F40" s="15">
        <v>2105183344</v>
      </c>
      <c r="G40" s="15" t="s">
        <v>24</v>
      </c>
      <c r="H40" s="15" t="s">
        <v>25</v>
      </c>
      <c r="I40" s="16">
        <v>46319</v>
      </c>
      <c r="J40" s="15" t="s">
        <v>35</v>
      </c>
      <c r="K40" s="15" t="s">
        <v>27</v>
      </c>
      <c r="L40" s="15" t="s">
        <v>4648</v>
      </c>
      <c r="M40" s="15" t="s">
        <v>28</v>
      </c>
      <c r="N40" s="15" t="s">
        <v>4653</v>
      </c>
      <c r="O40" s="15" t="s">
        <v>4329</v>
      </c>
      <c r="P40" s="15" t="s">
        <v>146</v>
      </c>
      <c r="Q40" s="15" t="s">
        <v>147</v>
      </c>
      <c r="R40" s="15" t="s">
        <v>25</v>
      </c>
      <c r="S40" s="15" t="s">
        <v>31</v>
      </c>
      <c r="T40" s="15" t="s">
        <v>192</v>
      </c>
      <c r="U40" s="15" t="s">
        <v>4649</v>
      </c>
      <c r="V40" s="16">
        <v>46318</v>
      </c>
      <c r="W40" s="16">
        <v>46317</v>
      </c>
      <c r="X40" s="15" t="s">
        <v>1514</v>
      </c>
      <c r="Y40" s="16">
        <v>46326</v>
      </c>
      <c r="Z40" s="15" t="s">
        <v>3808</v>
      </c>
    </row>
    <row r="41" spans="1:26" x14ac:dyDescent="0.25">
      <c r="A41" s="9">
        <f t="shared" si="0"/>
        <v>34</v>
      </c>
      <c r="B41" s="15" t="s">
        <v>4325</v>
      </c>
      <c r="C41" s="15" t="s">
        <v>4326</v>
      </c>
      <c r="D41" s="15" t="s">
        <v>4347</v>
      </c>
      <c r="E41" s="15" t="s">
        <v>25</v>
      </c>
      <c r="F41" s="15">
        <v>2105183376</v>
      </c>
      <c r="G41" s="15" t="s">
        <v>24</v>
      </c>
      <c r="H41" s="15" t="s">
        <v>25</v>
      </c>
      <c r="I41" s="16">
        <v>46320</v>
      </c>
      <c r="J41" s="15" t="s">
        <v>35</v>
      </c>
      <c r="K41" s="15" t="s">
        <v>27</v>
      </c>
      <c r="L41" s="15" t="s">
        <v>4348</v>
      </c>
      <c r="M41" s="15" t="s">
        <v>28</v>
      </c>
      <c r="N41" s="15" t="s">
        <v>4653</v>
      </c>
      <c r="O41" s="15" t="s">
        <v>4329</v>
      </c>
      <c r="P41" s="15" t="s">
        <v>146</v>
      </c>
      <c r="Q41" s="15" t="s">
        <v>147</v>
      </c>
      <c r="R41" s="15" t="s">
        <v>25</v>
      </c>
      <c r="S41" s="15" t="s">
        <v>31</v>
      </c>
      <c r="T41" s="15" t="s">
        <v>192</v>
      </c>
      <c r="U41" s="15" t="s">
        <v>4349</v>
      </c>
      <c r="V41" s="16">
        <v>46318</v>
      </c>
      <c r="W41" s="16">
        <v>46317</v>
      </c>
      <c r="X41" s="15" t="s">
        <v>1514</v>
      </c>
      <c r="Y41" s="16">
        <v>46326</v>
      </c>
      <c r="Z41" s="15" t="s">
        <v>3808</v>
      </c>
    </row>
    <row r="42" spans="1:26" x14ac:dyDescent="0.25">
      <c r="A42" s="9">
        <f t="shared" si="0"/>
        <v>35</v>
      </c>
      <c r="B42" s="15" t="s">
        <v>4325</v>
      </c>
      <c r="C42" s="15" t="s">
        <v>4326</v>
      </c>
      <c r="D42" s="15" t="s">
        <v>4607</v>
      </c>
      <c r="E42" s="15" t="s">
        <v>25</v>
      </c>
      <c r="F42" s="15">
        <v>2105183384</v>
      </c>
      <c r="G42" s="15" t="s">
        <v>24</v>
      </c>
      <c r="H42" s="15" t="s">
        <v>25</v>
      </c>
      <c r="I42" s="16">
        <v>46321</v>
      </c>
      <c r="J42" s="15" t="s">
        <v>35</v>
      </c>
      <c r="K42" s="15" t="s">
        <v>27</v>
      </c>
      <c r="L42" s="15" t="s">
        <v>4608</v>
      </c>
      <c r="M42" s="15" t="s">
        <v>28</v>
      </c>
      <c r="N42" s="15" t="s">
        <v>25</v>
      </c>
      <c r="O42" s="15" t="s">
        <v>4329</v>
      </c>
      <c r="P42" s="15" t="s">
        <v>146</v>
      </c>
      <c r="Q42" s="15" t="s">
        <v>147</v>
      </c>
      <c r="R42" s="15" t="s">
        <v>25</v>
      </c>
      <c r="S42" s="15" t="s">
        <v>31</v>
      </c>
      <c r="T42" s="15" t="s">
        <v>192</v>
      </c>
      <c r="U42" s="15" t="s">
        <v>4609</v>
      </c>
      <c r="V42" s="16">
        <v>46321</v>
      </c>
      <c r="W42" s="16">
        <v>46317</v>
      </c>
      <c r="X42" s="15" t="s">
        <v>1514</v>
      </c>
      <c r="Y42" s="16">
        <v>46326</v>
      </c>
      <c r="Z42" s="15" t="s">
        <v>3808</v>
      </c>
    </row>
    <row r="43" spans="1:26" x14ac:dyDescent="0.25">
      <c r="A43" s="9">
        <f t="shared" si="0"/>
        <v>36</v>
      </c>
      <c r="B43" s="15" t="s">
        <v>4325</v>
      </c>
      <c r="C43" s="15" t="s">
        <v>4326</v>
      </c>
      <c r="D43" s="15" t="s">
        <v>4610</v>
      </c>
      <c r="E43" s="15" t="s">
        <v>25</v>
      </c>
      <c r="F43" s="15">
        <v>2105183384</v>
      </c>
      <c r="G43" s="15" t="s">
        <v>24</v>
      </c>
      <c r="H43" s="15" t="s">
        <v>25</v>
      </c>
      <c r="I43" s="16">
        <v>46321</v>
      </c>
      <c r="J43" s="15" t="s">
        <v>51</v>
      </c>
      <c r="K43" s="15" t="s">
        <v>57</v>
      </c>
      <c r="L43" s="15" t="s">
        <v>4608</v>
      </c>
      <c r="M43" s="15" t="s">
        <v>28</v>
      </c>
      <c r="N43" s="15" t="s">
        <v>25</v>
      </c>
      <c r="O43" s="15" t="s">
        <v>4329</v>
      </c>
      <c r="P43" s="15" t="s">
        <v>146</v>
      </c>
      <c r="Q43" s="15" t="s">
        <v>147</v>
      </c>
      <c r="R43" s="15" t="s">
        <v>25</v>
      </c>
      <c r="S43" s="15" t="s">
        <v>31</v>
      </c>
      <c r="T43" s="15" t="s">
        <v>192</v>
      </c>
      <c r="U43" s="15" t="s">
        <v>4609</v>
      </c>
      <c r="V43" s="16">
        <v>46319</v>
      </c>
      <c r="W43" s="16">
        <v>46317</v>
      </c>
      <c r="X43" s="15" t="s">
        <v>1514</v>
      </c>
      <c r="Y43" s="16">
        <v>46326</v>
      </c>
      <c r="Z43" s="15" t="s">
        <v>3808</v>
      </c>
    </row>
    <row r="44" spans="1:26" x14ac:dyDescent="0.25">
      <c r="A44" s="9">
        <f t="shared" si="0"/>
        <v>37</v>
      </c>
      <c r="B44" s="15" t="s">
        <v>4325</v>
      </c>
      <c r="C44" s="15" t="s">
        <v>4326</v>
      </c>
      <c r="D44" s="15" t="s">
        <v>4650</v>
      </c>
      <c r="E44" s="15" t="s">
        <v>25</v>
      </c>
      <c r="F44" s="15">
        <v>2105183389</v>
      </c>
      <c r="G44" s="15" t="s">
        <v>24</v>
      </c>
      <c r="H44" s="15" t="s">
        <v>25</v>
      </c>
      <c r="I44" s="16">
        <v>46319</v>
      </c>
      <c r="J44" s="15" t="s">
        <v>35</v>
      </c>
      <c r="K44" s="15" t="s">
        <v>27</v>
      </c>
      <c r="L44" s="15" t="s">
        <v>4651</v>
      </c>
      <c r="M44" s="15" t="s">
        <v>28</v>
      </c>
      <c r="N44" s="15" t="s">
        <v>4653</v>
      </c>
      <c r="O44" s="15" t="s">
        <v>4329</v>
      </c>
      <c r="P44" s="15" t="s">
        <v>146</v>
      </c>
      <c r="Q44" s="15" t="s">
        <v>147</v>
      </c>
      <c r="R44" s="15" t="s">
        <v>25</v>
      </c>
      <c r="S44" s="15" t="s">
        <v>31</v>
      </c>
      <c r="T44" s="15" t="s">
        <v>192</v>
      </c>
      <c r="U44" s="15" t="s">
        <v>4652</v>
      </c>
      <c r="V44" s="16">
        <v>46318</v>
      </c>
      <c r="W44" s="16">
        <v>46317</v>
      </c>
      <c r="X44" s="15" t="s">
        <v>1514</v>
      </c>
      <c r="Y44" s="16">
        <v>46326</v>
      </c>
      <c r="Z44" s="15" t="s">
        <v>3808</v>
      </c>
    </row>
    <row r="45" spans="1:26" x14ac:dyDescent="0.25">
      <c r="A45" s="9">
        <f t="shared" si="0"/>
        <v>38</v>
      </c>
      <c r="B45" s="19" t="s">
        <v>4325</v>
      </c>
      <c r="C45" s="20" t="s">
        <v>4331</v>
      </c>
      <c r="D45" s="20" t="s">
        <v>4344</v>
      </c>
      <c r="E45" s="20" t="s">
        <v>25</v>
      </c>
      <c r="F45" s="20">
        <v>2105183414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4345</v>
      </c>
      <c r="M45" s="22" t="s">
        <v>245</v>
      </c>
      <c r="N45" s="20" t="s">
        <v>4316</v>
      </c>
      <c r="O45" s="20" t="s">
        <v>4329</v>
      </c>
      <c r="P45" s="20" t="s">
        <v>146</v>
      </c>
      <c r="Q45" s="20" t="s">
        <v>147</v>
      </c>
      <c r="R45" s="20" t="s">
        <v>25</v>
      </c>
      <c r="S45" s="20" t="s">
        <v>31</v>
      </c>
      <c r="T45" s="20" t="s">
        <v>192</v>
      </c>
      <c r="U45" s="20" t="s">
        <v>4346</v>
      </c>
      <c r="V45" s="21">
        <v>46318</v>
      </c>
      <c r="W45" s="21">
        <v>46317</v>
      </c>
      <c r="X45" s="20" t="s">
        <v>1514</v>
      </c>
      <c r="Y45" s="21">
        <v>46326</v>
      </c>
      <c r="Z45" s="20" t="s">
        <v>3808</v>
      </c>
    </row>
    <row r="46" spans="1:26" x14ac:dyDescent="0.25">
      <c r="A46" s="9">
        <f t="shared" si="0"/>
        <v>39</v>
      </c>
      <c r="B46" s="19" t="s">
        <v>4325</v>
      </c>
      <c r="C46" s="20" t="s">
        <v>4335</v>
      </c>
      <c r="D46" s="20" t="s">
        <v>4354</v>
      </c>
      <c r="E46" s="20" t="s">
        <v>25</v>
      </c>
      <c r="F46" s="20">
        <v>2105183314</v>
      </c>
      <c r="G46" s="20" t="s">
        <v>24</v>
      </c>
      <c r="H46" s="20" t="s">
        <v>25</v>
      </c>
      <c r="I46" s="21">
        <v>46317</v>
      </c>
      <c r="J46" s="20" t="s">
        <v>35</v>
      </c>
      <c r="K46" s="20" t="s">
        <v>27</v>
      </c>
      <c r="L46" s="20" t="s">
        <v>4355</v>
      </c>
      <c r="M46" s="22" t="s">
        <v>245</v>
      </c>
      <c r="N46" s="20" t="s">
        <v>25</v>
      </c>
      <c r="O46" s="20" t="s">
        <v>4329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200</v>
      </c>
      <c r="U46" s="20" t="s">
        <v>4356</v>
      </c>
      <c r="V46" s="21"/>
      <c r="W46" s="21">
        <v>46317</v>
      </c>
      <c r="X46" s="20" t="s">
        <v>1514</v>
      </c>
      <c r="Y46" s="21">
        <v>46326</v>
      </c>
      <c r="Z46" s="20" t="s">
        <v>3808</v>
      </c>
    </row>
    <row r="47" spans="1:26" x14ac:dyDescent="0.25">
      <c r="A47" s="9">
        <f t="shared" si="0"/>
        <v>40</v>
      </c>
      <c r="B47" s="19" t="s">
        <v>4325</v>
      </c>
      <c r="C47" s="20" t="s">
        <v>4335</v>
      </c>
      <c r="D47" s="20" t="s">
        <v>4357</v>
      </c>
      <c r="E47" s="20" t="s">
        <v>25</v>
      </c>
      <c r="F47" s="20">
        <v>2105183315</v>
      </c>
      <c r="G47" s="20" t="s">
        <v>24</v>
      </c>
      <c r="H47" s="20" t="s">
        <v>25</v>
      </c>
      <c r="I47" s="21">
        <v>46317</v>
      </c>
      <c r="J47" s="20" t="s">
        <v>51</v>
      </c>
      <c r="K47" s="20" t="s">
        <v>27</v>
      </c>
      <c r="L47" s="20" t="s">
        <v>4358</v>
      </c>
      <c r="M47" s="22" t="s">
        <v>245</v>
      </c>
      <c r="N47" s="20" t="s">
        <v>25</v>
      </c>
      <c r="O47" s="20" t="s">
        <v>4329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4359</v>
      </c>
      <c r="V47" s="21"/>
      <c r="W47" s="21">
        <v>46317</v>
      </c>
      <c r="X47" s="20" t="s">
        <v>1514</v>
      </c>
      <c r="Y47" s="21">
        <v>46326</v>
      </c>
      <c r="Z47" s="20" t="s">
        <v>3808</v>
      </c>
    </row>
    <row r="48" spans="1:26" x14ac:dyDescent="0.25">
      <c r="A48" s="9">
        <f t="shared" si="0"/>
        <v>41</v>
      </c>
      <c r="B48" s="19" t="s">
        <v>4325</v>
      </c>
      <c r="C48" s="20" t="s">
        <v>4335</v>
      </c>
      <c r="D48" s="20" t="s">
        <v>4360</v>
      </c>
      <c r="E48" s="20" t="s">
        <v>25</v>
      </c>
      <c r="F48" s="20">
        <v>2105183317</v>
      </c>
      <c r="G48" s="20" t="s">
        <v>24</v>
      </c>
      <c r="H48" s="20" t="s">
        <v>25</v>
      </c>
      <c r="I48" s="21">
        <v>46317</v>
      </c>
      <c r="J48" s="20" t="s">
        <v>35</v>
      </c>
      <c r="K48" s="20" t="s">
        <v>27</v>
      </c>
      <c r="L48" s="20" t="s">
        <v>4361</v>
      </c>
      <c r="M48" s="22" t="s">
        <v>245</v>
      </c>
      <c r="N48" s="20" t="s">
        <v>25</v>
      </c>
      <c r="O48" s="20" t="s">
        <v>4329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4362</v>
      </c>
      <c r="V48" s="21"/>
      <c r="W48" s="21">
        <v>46317</v>
      </c>
      <c r="X48" s="20" t="s">
        <v>1514</v>
      </c>
      <c r="Y48" s="21">
        <v>46326</v>
      </c>
      <c r="Z48" s="20" t="s">
        <v>3808</v>
      </c>
    </row>
    <row r="49" spans="1:26" x14ac:dyDescent="0.25">
      <c r="A49" s="9">
        <f t="shared" si="0"/>
        <v>42</v>
      </c>
      <c r="B49" s="19" t="s">
        <v>4325</v>
      </c>
      <c r="C49" s="20" t="s">
        <v>4335</v>
      </c>
      <c r="D49" s="20" t="s">
        <v>4363</v>
      </c>
      <c r="E49" s="20" t="s">
        <v>25</v>
      </c>
      <c r="F49" s="20">
        <v>2105183318</v>
      </c>
      <c r="G49" s="20" t="s">
        <v>24</v>
      </c>
      <c r="H49" s="20" t="s">
        <v>25</v>
      </c>
      <c r="I49" s="21">
        <v>46317</v>
      </c>
      <c r="J49" s="20" t="s">
        <v>35</v>
      </c>
      <c r="K49" s="20" t="s">
        <v>27</v>
      </c>
      <c r="L49" s="20" t="s">
        <v>4364</v>
      </c>
      <c r="M49" s="22" t="s">
        <v>245</v>
      </c>
      <c r="N49" s="20" t="s">
        <v>25</v>
      </c>
      <c r="O49" s="20" t="s">
        <v>4329</v>
      </c>
      <c r="P49" s="20" t="s">
        <v>25</v>
      </c>
      <c r="Q49" s="20" t="s">
        <v>25</v>
      </c>
      <c r="R49" s="20" t="s">
        <v>25</v>
      </c>
      <c r="S49" s="20" t="s">
        <v>31</v>
      </c>
      <c r="T49" s="20" t="s">
        <v>192</v>
      </c>
      <c r="U49" s="20" t="s">
        <v>4365</v>
      </c>
      <c r="V49" s="21"/>
      <c r="W49" s="21">
        <v>46317</v>
      </c>
      <c r="X49" s="20" t="s">
        <v>1514</v>
      </c>
      <c r="Y49" s="21">
        <v>46326</v>
      </c>
      <c r="Z49" s="20" t="s">
        <v>3808</v>
      </c>
    </row>
    <row r="50" spans="1:26" x14ac:dyDescent="0.25">
      <c r="A50" s="9">
        <f t="shared" si="0"/>
        <v>43</v>
      </c>
      <c r="B50" s="19" t="s">
        <v>4325</v>
      </c>
      <c r="C50" s="20" t="s">
        <v>4335</v>
      </c>
      <c r="D50" s="20" t="s">
        <v>4366</v>
      </c>
      <c r="E50" s="20" t="s">
        <v>25</v>
      </c>
      <c r="F50" s="20">
        <v>2105183319</v>
      </c>
      <c r="G50" s="20" t="s">
        <v>24</v>
      </c>
      <c r="H50" s="20" t="s">
        <v>25</v>
      </c>
      <c r="I50" s="21">
        <v>46317</v>
      </c>
      <c r="J50" s="20" t="s">
        <v>51</v>
      </c>
      <c r="K50" s="20" t="s">
        <v>27</v>
      </c>
      <c r="L50" s="20" t="s">
        <v>4367</v>
      </c>
      <c r="M50" s="22" t="s">
        <v>245</v>
      </c>
      <c r="N50" s="20" t="s">
        <v>25</v>
      </c>
      <c r="O50" s="20" t="s">
        <v>4329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4368</v>
      </c>
      <c r="V50" s="21"/>
      <c r="W50" s="21">
        <v>46317</v>
      </c>
      <c r="X50" s="20" t="s">
        <v>1514</v>
      </c>
      <c r="Y50" s="21">
        <v>46326</v>
      </c>
      <c r="Z50" s="20" t="s">
        <v>3808</v>
      </c>
    </row>
    <row r="51" spans="1:26" x14ac:dyDescent="0.25">
      <c r="A51" s="9">
        <f t="shared" si="0"/>
        <v>44</v>
      </c>
      <c r="B51" s="19" t="s">
        <v>4325</v>
      </c>
      <c r="C51" s="20" t="s">
        <v>4335</v>
      </c>
      <c r="D51" s="20" t="s">
        <v>4369</v>
      </c>
      <c r="E51" s="20" t="s">
        <v>25</v>
      </c>
      <c r="F51" s="20">
        <v>2105183340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4370</v>
      </c>
      <c r="M51" s="22" t="s">
        <v>245</v>
      </c>
      <c r="N51" s="20" t="s">
        <v>25</v>
      </c>
      <c r="O51" s="20" t="s">
        <v>4329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4371</v>
      </c>
      <c r="V51" s="21"/>
      <c r="W51" s="21">
        <v>46317</v>
      </c>
      <c r="X51" s="20" t="s">
        <v>1514</v>
      </c>
      <c r="Y51" s="21">
        <v>46326</v>
      </c>
      <c r="Z51" s="20" t="s">
        <v>3808</v>
      </c>
    </row>
    <row r="52" spans="1:26" x14ac:dyDescent="0.25">
      <c r="A52" s="9">
        <f t="shared" si="0"/>
        <v>45</v>
      </c>
      <c r="B52" s="19" t="s">
        <v>4325</v>
      </c>
      <c r="C52" s="20" t="s">
        <v>4335</v>
      </c>
      <c r="D52" s="20" t="s">
        <v>4372</v>
      </c>
      <c r="E52" s="20" t="s">
        <v>25</v>
      </c>
      <c r="F52" s="20">
        <v>2105183341</v>
      </c>
      <c r="G52" s="20" t="s">
        <v>24</v>
      </c>
      <c r="H52" s="20" t="s">
        <v>25</v>
      </c>
      <c r="I52" s="21">
        <v>46317</v>
      </c>
      <c r="J52" s="20" t="s">
        <v>62</v>
      </c>
      <c r="K52" s="20" t="s">
        <v>27</v>
      </c>
      <c r="L52" s="20" t="s">
        <v>4373</v>
      </c>
      <c r="M52" s="22" t="s">
        <v>245</v>
      </c>
      <c r="N52" s="20" t="s">
        <v>25</v>
      </c>
      <c r="O52" s="20" t="s">
        <v>4329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4374</v>
      </c>
      <c r="V52" s="21"/>
      <c r="W52" s="21">
        <v>46317</v>
      </c>
      <c r="X52" s="20" t="s">
        <v>1514</v>
      </c>
      <c r="Y52" s="21">
        <v>46326</v>
      </c>
      <c r="Z52" s="20" t="s">
        <v>3808</v>
      </c>
    </row>
    <row r="53" spans="1:26" x14ac:dyDescent="0.25">
      <c r="A53" s="9">
        <f t="shared" si="0"/>
        <v>46</v>
      </c>
      <c r="B53" s="19" t="s">
        <v>4325</v>
      </c>
      <c r="C53" s="20" t="s">
        <v>4335</v>
      </c>
      <c r="D53" s="20" t="s">
        <v>4375</v>
      </c>
      <c r="E53" s="20" t="s">
        <v>25</v>
      </c>
      <c r="F53" s="20">
        <v>2105183352</v>
      </c>
      <c r="G53" s="20" t="s">
        <v>24</v>
      </c>
      <c r="H53" s="20" t="s">
        <v>4376</v>
      </c>
      <c r="I53" s="21">
        <v>46317</v>
      </c>
      <c r="J53" s="20" t="s">
        <v>35</v>
      </c>
      <c r="K53" s="20" t="s">
        <v>27</v>
      </c>
      <c r="L53" s="20" t="s">
        <v>4377</v>
      </c>
      <c r="M53" s="22" t="s">
        <v>245</v>
      </c>
      <c r="N53" s="20" t="s">
        <v>25</v>
      </c>
      <c r="O53" s="20" t="s">
        <v>4329</v>
      </c>
      <c r="P53" s="20" t="s">
        <v>146</v>
      </c>
      <c r="Q53" s="20" t="s">
        <v>147</v>
      </c>
      <c r="R53" s="20" t="s">
        <v>25</v>
      </c>
      <c r="S53" s="20" t="s">
        <v>31</v>
      </c>
      <c r="T53" s="20" t="s">
        <v>200</v>
      </c>
      <c r="U53" s="20" t="s">
        <v>4378</v>
      </c>
      <c r="V53" s="21"/>
      <c r="W53" s="21">
        <v>46317</v>
      </c>
      <c r="X53" s="20" t="s">
        <v>1514</v>
      </c>
      <c r="Y53" s="21">
        <v>46326</v>
      </c>
      <c r="Z53" s="20" t="s">
        <v>3808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4379</v>
      </c>
      <c r="E54" s="20" t="s">
        <v>25</v>
      </c>
      <c r="F54" s="20">
        <v>2105183354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4380</v>
      </c>
      <c r="M54" s="22" t="s">
        <v>245</v>
      </c>
      <c r="N54" s="20" t="s">
        <v>25</v>
      </c>
      <c r="O54" s="20" t="s">
        <v>4329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4338</v>
      </c>
      <c r="V54" s="21"/>
      <c r="W54" s="21">
        <v>46317</v>
      </c>
      <c r="X54" s="20" t="s">
        <v>1514</v>
      </c>
      <c r="Y54" s="21">
        <v>46326</v>
      </c>
      <c r="Z54" s="20" t="s">
        <v>3808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4381</v>
      </c>
      <c r="E55" s="20" t="s">
        <v>25</v>
      </c>
      <c r="F55" s="20">
        <v>2105183356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4382</v>
      </c>
      <c r="M55" s="22" t="s">
        <v>245</v>
      </c>
      <c r="N55" s="20" t="s">
        <v>25</v>
      </c>
      <c r="O55" s="20" t="s">
        <v>4329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4330</v>
      </c>
      <c r="V55" s="21"/>
      <c r="W55" s="21">
        <v>46317</v>
      </c>
      <c r="X55" s="20" t="s">
        <v>1514</v>
      </c>
      <c r="Y55" s="21">
        <v>46326</v>
      </c>
      <c r="Z55" s="20" t="s">
        <v>3808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4383</v>
      </c>
      <c r="E56" s="20" t="s">
        <v>25</v>
      </c>
      <c r="F56" s="20">
        <v>2105183357</v>
      </c>
      <c r="G56" s="20" t="s">
        <v>24</v>
      </c>
      <c r="H56" s="20" t="s">
        <v>4376</v>
      </c>
      <c r="I56" s="21">
        <v>46317</v>
      </c>
      <c r="J56" s="20" t="s">
        <v>35</v>
      </c>
      <c r="K56" s="20" t="s">
        <v>27</v>
      </c>
      <c r="L56" s="20" t="s">
        <v>4384</v>
      </c>
      <c r="M56" s="22" t="s">
        <v>245</v>
      </c>
      <c r="N56" s="20" t="s">
        <v>25</v>
      </c>
      <c r="O56" s="20" t="s">
        <v>4329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4385</v>
      </c>
      <c r="V56" s="21"/>
      <c r="W56" s="21">
        <v>46317</v>
      </c>
      <c r="X56" s="20" t="s">
        <v>1514</v>
      </c>
      <c r="Y56" s="21">
        <v>46326</v>
      </c>
      <c r="Z56" s="20" t="s">
        <v>3808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4386</v>
      </c>
      <c r="E57" s="20" t="s">
        <v>25</v>
      </c>
      <c r="F57" s="20">
        <v>2105183358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4387</v>
      </c>
      <c r="M57" s="22" t="s">
        <v>245</v>
      </c>
      <c r="N57" s="20" t="s">
        <v>25</v>
      </c>
      <c r="O57" s="20" t="s">
        <v>4329</v>
      </c>
      <c r="P57" s="20" t="s">
        <v>25</v>
      </c>
      <c r="Q57" s="20" t="s">
        <v>25</v>
      </c>
      <c r="R57" s="20" t="s">
        <v>25</v>
      </c>
      <c r="S57" s="20" t="s">
        <v>31</v>
      </c>
      <c r="T57" s="20" t="s">
        <v>192</v>
      </c>
      <c r="U57" s="20" t="s">
        <v>4388</v>
      </c>
      <c r="V57" s="21"/>
      <c r="W57" s="21">
        <v>46317</v>
      </c>
      <c r="X57" s="20" t="s">
        <v>1514</v>
      </c>
      <c r="Y57" s="21">
        <v>46326</v>
      </c>
      <c r="Z57" s="20" t="s">
        <v>3808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4389</v>
      </c>
      <c r="E58" s="20" t="s">
        <v>25</v>
      </c>
      <c r="F58" s="20">
        <v>2105183359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4390</v>
      </c>
      <c r="M58" s="22" t="s">
        <v>245</v>
      </c>
      <c r="N58" s="20" t="s">
        <v>25</v>
      </c>
      <c r="O58" s="20" t="s">
        <v>4329</v>
      </c>
      <c r="P58" s="20" t="s">
        <v>25</v>
      </c>
      <c r="Q58" s="20" t="s">
        <v>25</v>
      </c>
      <c r="R58" s="20" t="s">
        <v>25</v>
      </c>
      <c r="S58" s="20" t="s">
        <v>31</v>
      </c>
      <c r="T58" s="20" t="s">
        <v>192</v>
      </c>
      <c r="U58" s="20" t="s">
        <v>4391</v>
      </c>
      <c r="V58" s="21"/>
      <c r="W58" s="21">
        <v>46317</v>
      </c>
      <c r="X58" s="20" t="s">
        <v>1514</v>
      </c>
      <c r="Y58" s="21">
        <v>46326</v>
      </c>
      <c r="Z58" s="20" t="s">
        <v>3808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4392</v>
      </c>
      <c r="E59" s="20" t="s">
        <v>25</v>
      </c>
      <c r="F59" s="20">
        <v>2105183360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4393</v>
      </c>
      <c r="M59" s="22" t="s">
        <v>245</v>
      </c>
      <c r="N59" s="20" t="s">
        <v>25</v>
      </c>
      <c r="O59" s="20" t="s">
        <v>4329</v>
      </c>
      <c r="P59" s="20" t="s">
        <v>25</v>
      </c>
      <c r="Q59" s="20" t="s">
        <v>25</v>
      </c>
      <c r="R59" s="20" t="s">
        <v>25</v>
      </c>
      <c r="S59" s="20" t="s">
        <v>31</v>
      </c>
      <c r="T59" s="20" t="s">
        <v>192</v>
      </c>
      <c r="U59" s="20" t="s">
        <v>4391</v>
      </c>
      <c r="V59" s="21"/>
      <c r="W59" s="21">
        <v>46317</v>
      </c>
      <c r="X59" s="20" t="s">
        <v>1514</v>
      </c>
      <c r="Y59" s="21">
        <v>46326</v>
      </c>
      <c r="Z59" s="20" t="s">
        <v>3808</v>
      </c>
    </row>
    <row r="60" spans="1:26" x14ac:dyDescent="0.25">
      <c r="A60" s="9">
        <f t="shared" si="0"/>
        <v>53</v>
      </c>
      <c r="B60" s="19" t="s">
        <v>4325</v>
      </c>
      <c r="C60" s="20" t="s">
        <v>4326</v>
      </c>
      <c r="D60" s="20" t="s">
        <v>4394</v>
      </c>
      <c r="E60" s="20" t="s">
        <v>25</v>
      </c>
      <c r="F60" s="20">
        <v>2105183361</v>
      </c>
      <c r="G60" s="20" t="s">
        <v>24</v>
      </c>
      <c r="H60" s="20" t="s">
        <v>25</v>
      </c>
      <c r="I60" s="21">
        <v>46317</v>
      </c>
      <c r="J60" s="20" t="s">
        <v>51</v>
      </c>
      <c r="K60" s="20" t="s">
        <v>27</v>
      </c>
      <c r="L60" s="20" t="s">
        <v>4395</v>
      </c>
      <c r="M60" s="22" t="s">
        <v>245</v>
      </c>
      <c r="N60" s="20" t="s">
        <v>25</v>
      </c>
      <c r="O60" s="20" t="s">
        <v>4329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4396</v>
      </c>
      <c r="V60" s="21"/>
      <c r="W60" s="21">
        <v>46317</v>
      </c>
      <c r="X60" s="20" t="s">
        <v>1514</v>
      </c>
      <c r="Y60" s="21">
        <v>46326</v>
      </c>
      <c r="Z60" s="20" t="s">
        <v>3808</v>
      </c>
    </row>
    <row r="61" spans="1:26" x14ac:dyDescent="0.25">
      <c r="A61" s="9">
        <f t="shared" si="0"/>
        <v>54</v>
      </c>
      <c r="B61" s="19" t="s">
        <v>4325</v>
      </c>
      <c r="C61" s="20" t="s">
        <v>4326</v>
      </c>
      <c r="D61" s="20" t="s">
        <v>4397</v>
      </c>
      <c r="E61" s="20" t="s">
        <v>25</v>
      </c>
      <c r="F61" s="20">
        <v>2105183366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4398</v>
      </c>
      <c r="M61" s="22" t="s">
        <v>245</v>
      </c>
      <c r="N61" s="20" t="s">
        <v>25</v>
      </c>
      <c r="O61" s="20" t="s">
        <v>4329</v>
      </c>
      <c r="P61" s="20" t="s">
        <v>146</v>
      </c>
      <c r="Q61" s="20" t="s">
        <v>147</v>
      </c>
      <c r="R61" s="20" t="s">
        <v>25</v>
      </c>
      <c r="S61" s="20" t="s">
        <v>31</v>
      </c>
      <c r="T61" s="20" t="s">
        <v>192</v>
      </c>
      <c r="U61" s="20" t="s">
        <v>4399</v>
      </c>
      <c r="V61" s="21"/>
      <c r="W61" s="21">
        <v>46317</v>
      </c>
      <c r="X61" s="20" t="s">
        <v>1514</v>
      </c>
      <c r="Y61" s="21">
        <v>46326</v>
      </c>
      <c r="Z61" s="20" t="s">
        <v>3808</v>
      </c>
    </row>
    <row r="62" spans="1:26" x14ac:dyDescent="0.25">
      <c r="A62" s="9">
        <f t="shared" si="0"/>
        <v>55</v>
      </c>
      <c r="B62" s="19" t="s">
        <v>4325</v>
      </c>
      <c r="C62" s="20" t="s">
        <v>4331</v>
      </c>
      <c r="D62" s="20" t="s">
        <v>4409</v>
      </c>
      <c r="E62" s="20" t="s">
        <v>25</v>
      </c>
      <c r="F62" s="20">
        <v>2105183392</v>
      </c>
      <c r="G62" s="20" t="s">
        <v>24</v>
      </c>
      <c r="H62" s="20" t="s">
        <v>25</v>
      </c>
      <c r="I62" s="21">
        <v>46317</v>
      </c>
      <c r="J62" s="20" t="s">
        <v>35</v>
      </c>
      <c r="K62" s="20" t="s">
        <v>27</v>
      </c>
      <c r="L62" s="20" t="s">
        <v>4410</v>
      </c>
      <c r="M62" s="22" t="s">
        <v>245</v>
      </c>
      <c r="N62" s="20" t="s">
        <v>25</v>
      </c>
      <c r="O62" s="20" t="s">
        <v>4329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4411</v>
      </c>
      <c r="V62" s="21"/>
      <c r="W62" s="21">
        <v>46317</v>
      </c>
      <c r="X62" s="20" t="s">
        <v>1514</v>
      </c>
      <c r="Y62" s="21">
        <v>46326</v>
      </c>
      <c r="Z62" s="20" t="s">
        <v>3808</v>
      </c>
    </row>
    <row r="63" spans="1:26" x14ac:dyDescent="0.25">
      <c r="A63" s="9">
        <f t="shared" si="0"/>
        <v>56</v>
      </c>
      <c r="B63" s="19" t="s">
        <v>4325</v>
      </c>
      <c r="C63" s="20" t="s">
        <v>4331</v>
      </c>
      <c r="D63" s="20" t="s">
        <v>4412</v>
      </c>
      <c r="E63" s="20" t="s">
        <v>25</v>
      </c>
      <c r="F63" s="20">
        <v>2105183394</v>
      </c>
      <c r="G63" s="20" t="s">
        <v>24</v>
      </c>
      <c r="H63" s="20" t="s">
        <v>25</v>
      </c>
      <c r="I63" s="21">
        <v>46317</v>
      </c>
      <c r="J63" s="20" t="s">
        <v>35</v>
      </c>
      <c r="K63" s="20" t="s">
        <v>27</v>
      </c>
      <c r="L63" s="20" t="s">
        <v>4413</v>
      </c>
      <c r="M63" s="22" t="s">
        <v>245</v>
      </c>
      <c r="N63" s="20" t="s">
        <v>25</v>
      </c>
      <c r="O63" s="20" t="s">
        <v>4329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4334</v>
      </c>
      <c r="V63" s="21"/>
      <c r="W63" s="21">
        <v>46317</v>
      </c>
      <c r="X63" s="20" t="s">
        <v>1514</v>
      </c>
      <c r="Y63" s="21">
        <v>46326</v>
      </c>
      <c r="Z63" s="20" t="s">
        <v>3808</v>
      </c>
    </row>
    <row r="64" spans="1:26" x14ac:dyDescent="0.25">
      <c r="A64" s="9">
        <f t="shared" si="0"/>
        <v>57</v>
      </c>
      <c r="B64" s="19" t="s">
        <v>4325</v>
      </c>
      <c r="C64" s="20" t="s">
        <v>4331</v>
      </c>
      <c r="D64" s="20" t="s">
        <v>4414</v>
      </c>
      <c r="E64" s="20" t="s">
        <v>25</v>
      </c>
      <c r="F64" s="20">
        <v>2105183395</v>
      </c>
      <c r="G64" s="20" t="s">
        <v>24</v>
      </c>
      <c r="H64" s="20" t="s">
        <v>4376</v>
      </c>
      <c r="I64" s="21">
        <v>46317</v>
      </c>
      <c r="J64" s="20" t="s">
        <v>35</v>
      </c>
      <c r="K64" s="20" t="s">
        <v>27</v>
      </c>
      <c r="L64" s="20" t="s">
        <v>4415</v>
      </c>
      <c r="M64" s="22" t="s">
        <v>245</v>
      </c>
      <c r="N64" s="20" t="s">
        <v>25</v>
      </c>
      <c r="O64" s="20" t="s">
        <v>4329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4416</v>
      </c>
      <c r="V64" s="21"/>
      <c r="W64" s="21">
        <v>46317</v>
      </c>
      <c r="X64" s="20" t="s">
        <v>1514</v>
      </c>
      <c r="Y64" s="21">
        <v>46326</v>
      </c>
      <c r="Z64" s="20" t="s">
        <v>3808</v>
      </c>
    </row>
    <row r="65" spans="1:26" x14ac:dyDescent="0.25">
      <c r="A65" s="9">
        <f t="shared" si="0"/>
        <v>58</v>
      </c>
      <c r="B65" s="19" t="s">
        <v>4325</v>
      </c>
      <c r="C65" s="20" t="s">
        <v>4331</v>
      </c>
      <c r="D65" s="20" t="s">
        <v>4417</v>
      </c>
      <c r="E65" s="20" t="s">
        <v>25</v>
      </c>
      <c r="F65" s="20">
        <v>2105183396</v>
      </c>
      <c r="G65" s="20" t="s">
        <v>24</v>
      </c>
      <c r="H65" s="20" t="s">
        <v>25</v>
      </c>
      <c r="I65" s="21">
        <v>46317</v>
      </c>
      <c r="J65" s="20" t="s">
        <v>62</v>
      </c>
      <c r="K65" s="20" t="s">
        <v>27</v>
      </c>
      <c r="L65" s="20" t="s">
        <v>4418</v>
      </c>
      <c r="M65" s="22" t="s">
        <v>245</v>
      </c>
      <c r="N65" s="20" t="s">
        <v>25</v>
      </c>
      <c r="O65" s="20" t="s">
        <v>4329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4419</v>
      </c>
      <c r="V65" s="21"/>
      <c r="W65" s="21">
        <v>46317</v>
      </c>
      <c r="X65" s="20" t="s">
        <v>1514</v>
      </c>
      <c r="Y65" s="21">
        <v>46326</v>
      </c>
      <c r="Z65" s="20" t="s">
        <v>3808</v>
      </c>
    </row>
    <row r="66" spans="1:26" x14ac:dyDescent="0.25">
      <c r="A66" s="9">
        <f t="shared" si="0"/>
        <v>59</v>
      </c>
      <c r="B66" s="19" t="s">
        <v>4325</v>
      </c>
      <c r="C66" s="20" t="s">
        <v>4331</v>
      </c>
      <c r="D66" s="20" t="s">
        <v>4420</v>
      </c>
      <c r="E66" s="20" t="s">
        <v>25</v>
      </c>
      <c r="F66" s="20">
        <v>2105183397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4421</v>
      </c>
      <c r="M66" s="22" t="s">
        <v>245</v>
      </c>
      <c r="N66" s="20" t="s">
        <v>25</v>
      </c>
      <c r="O66" s="20" t="s">
        <v>4329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4388</v>
      </c>
      <c r="V66" s="21"/>
      <c r="W66" s="21">
        <v>46317</v>
      </c>
      <c r="X66" s="20" t="s">
        <v>1514</v>
      </c>
      <c r="Y66" s="21">
        <v>46326</v>
      </c>
      <c r="Z66" s="20" t="s">
        <v>3808</v>
      </c>
    </row>
    <row r="67" spans="1:26" x14ac:dyDescent="0.25">
      <c r="A67" s="9">
        <f t="shared" si="0"/>
        <v>60</v>
      </c>
      <c r="B67" s="19" t="s">
        <v>4325</v>
      </c>
      <c r="C67" s="20" t="s">
        <v>4331</v>
      </c>
      <c r="D67" s="20" t="s">
        <v>4422</v>
      </c>
      <c r="E67" s="20" t="s">
        <v>25</v>
      </c>
      <c r="F67" s="20">
        <v>2105183398</v>
      </c>
      <c r="G67" s="20" t="s">
        <v>24</v>
      </c>
      <c r="H67" s="20" t="s">
        <v>25</v>
      </c>
      <c r="I67" s="21">
        <v>46317</v>
      </c>
      <c r="J67" s="20" t="s">
        <v>35</v>
      </c>
      <c r="K67" s="20" t="s">
        <v>27</v>
      </c>
      <c r="L67" s="20" t="s">
        <v>4423</v>
      </c>
      <c r="M67" s="22" t="s">
        <v>245</v>
      </c>
      <c r="N67" s="20" t="s">
        <v>25</v>
      </c>
      <c r="O67" s="20" t="s">
        <v>4329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4391</v>
      </c>
      <c r="V67" s="21"/>
      <c r="W67" s="21">
        <v>46317</v>
      </c>
      <c r="X67" s="20" t="s">
        <v>1514</v>
      </c>
      <c r="Y67" s="21">
        <v>46326</v>
      </c>
      <c r="Z67" s="20" t="s">
        <v>3808</v>
      </c>
    </row>
    <row r="68" spans="1:26" x14ac:dyDescent="0.25">
      <c r="A68" s="9">
        <f t="shared" si="0"/>
        <v>61</v>
      </c>
      <c r="B68" s="19" t="s">
        <v>4325</v>
      </c>
      <c r="C68" s="20" t="s">
        <v>4331</v>
      </c>
      <c r="D68" s="20" t="s">
        <v>4424</v>
      </c>
      <c r="E68" s="20" t="s">
        <v>25</v>
      </c>
      <c r="F68" s="20">
        <v>2105183399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4425</v>
      </c>
      <c r="M68" s="22" t="s">
        <v>245</v>
      </c>
      <c r="N68" s="20" t="s">
        <v>25</v>
      </c>
      <c r="O68" s="20" t="s">
        <v>4329</v>
      </c>
      <c r="P68" s="20" t="s">
        <v>25</v>
      </c>
      <c r="Q68" s="20" t="s">
        <v>25</v>
      </c>
      <c r="R68" s="20" t="s">
        <v>25</v>
      </c>
      <c r="S68" s="20" t="s">
        <v>31</v>
      </c>
      <c r="T68" s="20" t="s">
        <v>192</v>
      </c>
      <c r="U68" s="20" t="s">
        <v>4391</v>
      </c>
      <c r="V68" s="21"/>
      <c r="W68" s="21">
        <v>46317</v>
      </c>
      <c r="X68" s="20" t="s">
        <v>1514</v>
      </c>
      <c r="Y68" s="21">
        <v>46326</v>
      </c>
      <c r="Z68" s="20" t="s">
        <v>3808</v>
      </c>
    </row>
    <row r="69" spans="1:26" x14ac:dyDescent="0.25">
      <c r="A69" s="9">
        <f t="shared" si="0"/>
        <v>62</v>
      </c>
      <c r="B69" s="19" t="s">
        <v>4325</v>
      </c>
      <c r="C69" s="20" t="s">
        <v>4331</v>
      </c>
      <c r="D69" s="20" t="s">
        <v>4426</v>
      </c>
      <c r="E69" s="20" t="s">
        <v>25</v>
      </c>
      <c r="F69" s="20">
        <v>2105183400</v>
      </c>
      <c r="G69" s="20" t="s">
        <v>24</v>
      </c>
      <c r="H69" s="20" t="s">
        <v>25</v>
      </c>
      <c r="I69" s="21">
        <v>46317</v>
      </c>
      <c r="J69" s="20" t="s">
        <v>51</v>
      </c>
      <c r="K69" s="20" t="s">
        <v>27</v>
      </c>
      <c r="L69" s="20" t="s">
        <v>4427</v>
      </c>
      <c r="M69" s="22" t="s">
        <v>245</v>
      </c>
      <c r="N69" s="20" t="s">
        <v>25</v>
      </c>
      <c r="O69" s="20" t="s">
        <v>4329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4428</v>
      </c>
      <c r="V69" s="21"/>
      <c r="W69" s="21">
        <v>46317</v>
      </c>
      <c r="X69" s="20" t="s">
        <v>1514</v>
      </c>
      <c r="Y69" s="21">
        <v>46326</v>
      </c>
      <c r="Z69" s="20" t="s">
        <v>3808</v>
      </c>
    </row>
    <row r="70" spans="1:26" x14ac:dyDescent="0.25">
      <c r="A70" s="9">
        <f t="shared" si="0"/>
        <v>63</v>
      </c>
      <c r="B70" s="19" t="s">
        <v>4325</v>
      </c>
      <c r="C70" s="20" t="s">
        <v>4331</v>
      </c>
      <c r="D70" s="20" t="s">
        <v>4429</v>
      </c>
      <c r="E70" s="20" t="s">
        <v>25</v>
      </c>
      <c r="F70" s="20">
        <v>2105183401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4654</v>
      </c>
      <c r="M70" s="22" t="s">
        <v>245</v>
      </c>
      <c r="N70" s="20" t="s">
        <v>25</v>
      </c>
      <c r="O70" s="20" t="s">
        <v>4329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4430</v>
      </c>
      <c r="V70" s="21"/>
      <c r="W70" s="21">
        <v>46317</v>
      </c>
      <c r="X70" s="20" t="s">
        <v>1514</v>
      </c>
      <c r="Y70" s="21">
        <v>46326</v>
      </c>
      <c r="Z70" s="20" t="s">
        <v>3808</v>
      </c>
    </row>
    <row r="71" spans="1:26" x14ac:dyDescent="0.25">
      <c r="A71" s="9">
        <f t="shared" si="0"/>
        <v>64</v>
      </c>
      <c r="B71" s="19" t="s">
        <v>4325</v>
      </c>
      <c r="C71" s="20" t="s">
        <v>4331</v>
      </c>
      <c r="D71" s="20" t="s">
        <v>4431</v>
      </c>
      <c r="E71" s="20" t="s">
        <v>25</v>
      </c>
      <c r="F71" s="20">
        <v>2105183405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4432</v>
      </c>
      <c r="M71" s="22" t="s">
        <v>245</v>
      </c>
      <c r="N71" s="20" t="s">
        <v>25</v>
      </c>
      <c r="O71" s="20" t="s">
        <v>4329</v>
      </c>
      <c r="P71" s="20" t="s">
        <v>25</v>
      </c>
      <c r="Q71" s="20" t="s">
        <v>25</v>
      </c>
      <c r="R71" s="20" t="s">
        <v>25</v>
      </c>
      <c r="S71" s="20" t="s">
        <v>31</v>
      </c>
      <c r="T71" s="20" t="s">
        <v>192</v>
      </c>
      <c r="U71" s="20" t="s">
        <v>4433</v>
      </c>
      <c r="V71" s="21"/>
      <c r="W71" s="21">
        <v>46317</v>
      </c>
      <c r="X71" s="20" t="s">
        <v>1514</v>
      </c>
      <c r="Y71" s="21">
        <v>46326</v>
      </c>
      <c r="Z71" s="20" t="s">
        <v>3808</v>
      </c>
    </row>
    <row r="72" spans="1:26" x14ac:dyDescent="0.25">
      <c r="A72" s="9">
        <f t="shared" si="0"/>
        <v>65</v>
      </c>
      <c r="B72" s="19" t="s">
        <v>4325</v>
      </c>
      <c r="C72" s="20" t="s">
        <v>4331</v>
      </c>
      <c r="D72" s="20" t="s">
        <v>4434</v>
      </c>
      <c r="E72" s="20" t="s">
        <v>25</v>
      </c>
      <c r="F72" s="20">
        <v>2105183409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4435</v>
      </c>
      <c r="M72" s="22" t="s">
        <v>245</v>
      </c>
      <c r="N72" s="20" t="s">
        <v>25</v>
      </c>
      <c r="O72" s="20" t="s">
        <v>4329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4436</v>
      </c>
      <c r="V72" s="21"/>
      <c r="W72" s="21">
        <v>46317</v>
      </c>
      <c r="X72" s="20" t="s">
        <v>1514</v>
      </c>
      <c r="Y72" s="21">
        <v>46326</v>
      </c>
      <c r="Z72" s="20" t="s">
        <v>3808</v>
      </c>
    </row>
    <row r="73" spans="1:26" x14ac:dyDescent="0.25">
      <c r="A73" s="9">
        <f t="shared" si="0"/>
        <v>66</v>
      </c>
      <c r="B73" s="19" t="s">
        <v>4325</v>
      </c>
      <c r="C73" s="20" t="s">
        <v>4331</v>
      </c>
      <c r="D73" s="20" t="s">
        <v>4440</v>
      </c>
      <c r="E73" s="20" t="s">
        <v>25</v>
      </c>
      <c r="F73" s="20">
        <v>2105183417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4441</v>
      </c>
      <c r="M73" s="22" t="s">
        <v>245</v>
      </c>
      <c r="N73" s="20" t="s">
        <v>25</v>
      </c>
      <c r="O73" s="20" t="s">
        <v>4329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4442</v>
      </c>
      <c r="V73" s="21"/>
      <c r="W73" s="21">
        <v>46317</v>
      </c>
      <c r="X73" s="20" t="s">
        <v>1514</v>
      </c>
      <c r="Y73" s="21">
        <v>46326</v>
      </c>
      <c r="Z73" s="20" t="s">
        <v>3808</v>
      </c>
    </row>
    <row r="74" spans="1:26" x14ac:dyDescent="0.25">
      <c r="A74" s="9">
        <f t="shared" ref="A74:A126" si="1">A73+1</f>
        <v>67</v>
      </c>
      <c r="B74" s="19" t="s">
        <v>4325</v>
      </c>
      <c r="C74" s="20" t="s">
        <v>4339</v>
      </c>
      <c r="D74" s="20" t="s">
        <v>4446</v>
      </c>
      <c r="E74" s="20" t="s">
        <v>25</v>
      </c>
      <c r="F74" s="20">
        <v>2105183433</v>
      </c>
      <c r="G74" s="20" t="s">
        <v>24</v>
      </c>
      <c r="H74" s="20" t="s">
        <v>25</v>
      </c>
      <c r="I74" s="21">
        <v>46317</v>
      </c>
      <c r="J74" s="20" t="s">
        <v>35</v>
      </c>
      <c r="K74" s="20" t="s">
        <v>27</v>
      </c>
      <c r="L74" s="20" t="s">
        <v>4447</v>
      </c>
      <c r="M74" s="22" t="s">
        <v>245</v>
      </c>
      <c r="N74" s="20" t="s">
        <v>25</v>
      </c>
      <c r="O74" s="20" t="s">
        <v>4329</v>
      </c>
      <c r="P74" s="20" t="s">
        <v>146</v>
      </c>
      <c r="Q74" s="20" t="s">
        <v>147</v>
      </c>
      <c r="R74" s="20" t="s">
        <v>25</v>
      </c>
      <c r="S74" s="20" t="s">
        <v>31</v>
      </c>
      <c r="T74" s="20" t="s">
        <v>192</v>
      </c>
      <c r="U74" s="20" t="s">
        <v>4448</v>
      </c>
      <c r="V74" s="21"/>
      <c r="W74" s="21">
        <v>46317</v>
      </c>
      <c r="X74" s="20" t="s">
        <v>1514</v>
      </c>
      <c r="Y74" s="21">
        <v>46326</v>
      </c>
      <c r="Z74" s="20" t="s">
        <v>3808</v>
      </c>
    </row>
    <row r="75" spans="1:26" x14ac:dyDescent="0.25">
      <c r="A75" s="9">
        <f t="shared" si="1"/>
        <v>68</v>
      </c>
      <c r="B75" s="19" t="s">
        <v>4452</v>
      </c>
      <c r="C75" s="20" t="s">
        <v>4339</v>
      </c>
      <c r="D75" s="20" t="s">
        <v>4453</v>
      </c>
      <c r="E75" s="20" t="s">
        <v>4454</v>
      </c>
      <c r="F75" s="20" t="s">
        <v>4454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27</v>
      </c>
      <c r="L75" s="20" t="s">
        <v>4655</v>
      </c>
      <c r="M75" s="22" t="s">
        <v>245</v>
      </c>
      <c r="N75" s="20" t="s">
        <v>25</v>
      </c>
      <c r="O75" s="20" t="s">
        <v>4329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4455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4452</v>
      </c>
      <c r="C76" s="20" t="s">
        <v>4339</v>
      </c>
      <c r="D76" s="20" t="s">
        <v>4456</v>
      </c>
      <c r="E76" s="20" t="s">
        <v>4454</v>
      </c>
      <c r="F76" s="20" t="s">
        <v>4454</v>
      </c>
      <c r="G76" s="20" t="s">
        <v>191</v>
      </c>
      <c r="H76" s="20" t="s">
        <v>25</v>
      </c>
      <c r="I76" s="21">
        <v>46318</v>
      </c>
      <c r="J76" s="20" t="s">
        <v>26</v>
      </c>
      <c r="K76" s="20" t="s">
        <v>57</v>
      </c>
      <c r="L76" s="20" t="s">
        <v>4655</v>
      </c>
      <c r="M76" s="22" t="s">
        <v>245</v>
      </c>
      <c r="N76" s="20" t="s">
        <v>25</v>
      </c>
      <c r="O76" s="20" t="s">
        <v>4329</v>
      </c>
      <c r="P76" s="20" t="s">
        <v>25</v>
      </c>
      <c r="Q76" s="20" t="s">
        <v>25</v>
      </c>
      <c r="R76" s="20" t="s">
        <v>25</v>
      </c>
      <c r="S76" s="20" t="s">
        <v>31</v>
      </c>
      <c r="T76" s="20" t="s">
        <v>192</v>
      </c>
      <c r="U76" s="20" t="s">
        <v>25</v>
      </c>
      <c r="V76" s="21"/>
      <c r="W76" s="21">
        <v>46318</v>
      </c>
      <c r="X76" s="20" t="s">
        <v>4455</v>
      </c>
      <c r="Y76" s="21">
        <v>46387</v>
      </c>
      <c r="Z76" s="20" t="s">
        <v>222</v>
      </c>
    </row>
    <row r="77" spans="1:26" x14ac:dyDescent="0.25">
      <c r="A77" s="9">
        <f t="shared" si="1"/>
        <v>70</v>
      </c>
      <c r="B77" s="19" t="s">
        <v>4452</v>
      </c>
      <c r="C77" s="20" t="s">
        <v>4339</v>
      </c>
      <c r="D77" s="20" t="s">
        <v>4657</v>
      </c>
      <c r="E77" s="20" t="s">
        <v>4658</v>
      </c>
      <c r="F77" s="20" t="s">
        <v>4658</v>
      </c>
      <c r="G77" s="20" t="s">
        <v>191</v>
      </c>
      <c r="H77" s="20" t="s">
        <v>25</v>
      </c>
      <c r="I77" s="21">
        <v>46235</v>
      </c>
      <c r="J77" s="20" t="s">
        <v>665</v>
      </c>
      <c r="K77" s="20" t="s">
        <v>27</v>
      </c>
      <c r="L77" s="20" t="s">
        <v>4659</v>
      </c>
      <c r="M77" s="22" t="s">
        <v>245</v>
      </c>
      <c r="N77" s="20" t="s">
        <v>25</v>
      </c>
      <c r="O77" s="20" t="s">
        <v>4329</v>
      </c>
      <c r="P77" s="20" t="s">
        <v>25</v>
      </c>
      <c r="Q77" s="20" t="s">
        <v>25</v>
      </c>
      <c r="R77" s="20" t="s">
        <v>25</v>
      </c>
      <c r="S77" s="20" t="s">
        <v>31</v>
      </c>
      <c r="T77" s="20" t="s">
        <v>192</v>
      </c>
      <c r="U77" s="20" t="s">
        <v>25</v>
      </c>
      <c r="V77" s="21"/>
      <c r="W77" s="21">
        <v>46235</v>
      </c>
      <c r="X77" s="20" t="s">
        <v>3883</v>
      </c>
      <c r="Y77" s="21">
        <v>46356</v>
      </c>
      <c r="Z77" s="20" t="s">
        <v>222</v>
      </c>
    </row>
    <row r="78" spans="1:26" x14ac:dyDescent="0.25">
      <c r="A78" s="9">
        <f t="shared" si="1"/>
        <v>71</v>
      </c>
      <c r="B78" s="19" t="s">
        <v>4325</v>
      </c>
      <c r="C78" s="20" t="s">
        <v>4335</v>
      </c>
      <c r="D78" s="20" t="s">
        <v>4460</v>
      </c>
      <c r="E78" s="20" t="s">
        <v>25</v>
      </c>
      <c r="F78" s="20">
        <v>2105183351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4461</v>
      </c>
      <c r="M78" s="22" t="s">
        <v>245</v>
      </c>
      <c r="N78" s="20" t="s">
        <v>25</v>
      </c>
      <c r="O78" s="20" t="s">
        <v>4329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4462</v>
      </c>
      <c r="V78" s="21"/>
      <c r="W78" s="21">
        <v>46317</v>
      </c>
      <c r="X78" s="20" t="s">
        <v>1514</v>
      </c>
      <c r="Y78" s="21">
        <v>46326</v>
      </c>
      <c r="Z78" s="20" t="s">
        <v>3808</v>
      </c>
    </row>
    <row r="79" spans="1:26" x14ac:dyDescent="0.25">
      <c r="A79" s="9">
        <f t="shared" si="1"/>
        <v>72</v>
      </c>
      <c r="B79" s="19" t="s">
        <v>4325</v>
      </c>
      <c r="C79" s="20" t="s">
        <v>4335</v>
      </c>
      <c r="D79" s="20" t="s">
        <v>4463</v>
      </c>
      <c r="E79" s="20" t="s">
        <v>25</v>
      </c>
      <c r="F79" s="20">
        <v>2105183353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4464</v>
      </c>
      <c r="M79" s="22" t="s">
        <v>245</v>
      </c>
      <c r="N79" s="20" t="s">
        <v>25</v>
      </c>
      <c r="O79" s="20" t="s">
        <v>4329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4465</v>
      </c>
      <c r="V79" s="21"/>
      <c r="W79" s="21">
        <v>46317</v>
      </c>
      <c r="X79" s="20" t="s">
        <v>1514</v>
      </c>
      <c r="Y79" s="21">
        <v>46326</v>
      </c>
      <c r="Z79" s="20" t="s">
        <v>3808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4466</v>
      </c>
      <c r="E80" s="20" t="s">
        <v>25</v>
      </c>
      <c r="F80" s="20">
        <v>2105183364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4467</v>
      </c>
      <c r="M80" s="22" t="s">
        <v>245</v>
      </c>
      <c r="N80" s="20" t="s">
        <v>25</v>
      </c>
      <c r="O80" s="20" t="s">
        <v>4329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4468</v>
      </c>
      <c r="V80" s="21"/>
      <c r="W80" s="21">
        <v>46317</v>
      </c>
      <c r="X80" s="20" t="s">
        <v>1514</v>
      </c>
      <c r="Y80" s="21">
        <v>46326</v>
      </c>
      <c r="Z80" s="20" t="s">
        <v>3808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4469</v>
      </c>
      <c r="E81" s="20" t="s">
        <v>25</v>
      </c>
      <c r="F81" s="20">
        <v>2105183368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4470</v>
      </c>
      <c r="M81" s="22" t="s">
        <v>245</v>
      </c>
      <c r="N81" s="20" t="s">
        <v>25</v>
      </c>
      <c r="O81" s="20" t="s">
        <v>4329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4471</v>
      </c>
      <c r="V81" s="21"/>
      <c r="W81" s="21">
        <v>46317</v>
      </c>
      <c r="X81" s="20" t="s">
        <v>1514</v>
      </c>
      <c r="Y81" s="21">
        <v>46326</v>
      </c>
      <c r="Z81" s="20" t="s">
        <v>3808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4472</v>
      </c>
      <c r="E82" s="20" t="s">
        <v>25</v>
      </c>
      <c r="F82" s="20">
        <v>2105183374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4473</v>
      </c>
      <c r="M82" s="22" t="s">
        <v>245</v>
      </c>
      <c r="N82" s="20" t="s">
        <v>25</v>
      </c>
      <c r="O82" s="20" t="s">
        <v>4329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4474</v>
      </c>
      <c r="V82" s="21"/>
      <c r="W82" s="21">
        <v>46317</v>
      </c>
      <c r="X82" s="20" t="s">
        <v>1514</v>
      </c>
      <c r="Y82" s="21">
        <v>46326</v>
      </c>
      <c r="Z82" s="20" t="s">
        <v>3808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4475</v>
      </c>
      <c r="E83" s="20" t="s">
        <v>25</v>
      </c>
      <c r="F83" s="20">
        <v>2105183379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4476</v>
      </c>
      <c r="M83" s="22" t="s">
        <v>245</v>
      </c>
      <c r="N83" s="20" t="s">
        <v>25</v>
      </c>
      <c r="O83" s="20" t="s">
        <v>4329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4477</v>
      </c>
      <c r="V83" s="21"/>
      <c r="W83" s="21">
        <v>46317</v>
      </c>
      <c r="X83" s="20" t="s">
        <v>1514</v>
      </c>
      <c r="Y83" s="21">
        <v>46326</v>
      </c>
      <c r="Z83" s="20" t="s">
        <v>3808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4478</v>
      </c>
      <c r="E84" s="20" t="s">
        <v>25</v>
      </c>
      <c r="F84" s="20">
        <v>2105183380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4479</v>
      </c>
      <c r="M84" s="22" t="s">
        <v>245</v>
      </c>
      <c r="N84" s="20" t="s">
        <v>25</v>
      </c>
      <c r="O84" s="20" t="s">
        <v>4329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4480</v>
      </c>
      <c r="V84" s="21"/>
      <c r="W84" s="21">
        <v>46317</v>
      </c>
      <c r="X84" s="20" t="s">
        <v>1514</v>
      </c>
      <c r="Y84" s="21">
        <v>46326</v>
      </c>
      <c r="Z84" s="20" t="s">
        <v>3808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4481</v>
      </c>
      <c r="E85" s="20" t="s">
        <v>25</v>
      </c>
      <c r="F85" s="20">
        <v>2105183382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4482</v>
      </c>
      <c r="M85" s="22" t="s">
        <v>245</v>
      </c>
      <c r="N85" s="20" t="s">
        <v>25</v>
      </c>
      <c r="O85" s="20" t="s">
        <v>4329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4483</v>
      </c>
      <c r="V85" s="21"/>
      <c r="W85" s="21">
        <v>46317</v>
      </c>
      <c r="X85" s="20" t="s">
        <v>1514</v>
      </c>
      <c r="Y85" s="21">
        <v>46326</v>
      </c>
      <c r="Z85" s="20" t="s">
        <v>3808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4484</v>
      </c>
      <c r="E86" s="20" t="s">
        <v>25</v>
      </c>
      <c r="F86" s="20">
        <v>2105183383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4485</v>
      </c>
      <c r="M86" s="22" t="s">
        <v>245</v>
      </c>
      <c r="N86" s="20" t="s">
        <v>25</v>
      </c>
      <c r="O86" s="20" t="s">
        <v>4329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4486</v>
      </c>
      <c r="V86" s="21"/>
      <c r="W86" s="21">
        <v>46317</v>
      </c>
      <c r="X86" s="20" t="s">
        <v>1514</v>
      </c>
      <c r="Y86" s="21">
        <v>46326</v>
      </c>
      <c r="Z86" s="20" t="s">
        <v>3808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4487</v>
      </c>
      <c r="E87" s="20" t="s">
        <v>25</v>
      </c>
      <c r="F87" s="20">
        <v>2105183386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4488</v>
      </c>
      <c r="M87" s="22" t="s">
        <v>245</v>
      </c>
      <c r="N87" s="20" t="s">
        <v>25</v>
      </c>
      <c r="O87" s="20" t="s">
        <v>4329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4489</v>
      </c>
      <c r="V87" s="21"/>
      <c r="W87" s="21">
        <v>46317</v>
      </c>
      <c r="X87" s="20" t="s">
        <v>1514</v>
      </c>
      <c r="Y87" s="21">
        <v>46326</v>
      </c>
      <c r="Z87" s="20" t="s">
        <v>3808</v>
      </c>
    </row>
    <row r="88" spans="1:26" x14ac:dyDescent="0.25">
      <c r="A88" s="9">
        <f t="shared" si="1"/>
        <v>81</v>
      </c>
      <c r="B88" s="19" t="s">
        <v>4325</v>
      </c>
      <c r="C88" s="20" t="s">
        <v>4326</v>
      </c>
      <c r="D88" s="20" t="s">
        <v>4490</v>
      </c>
      <c r="E88" s="20" t="s">
        <v>25</v>
      </c>
      <c r="F88" s="20">
        <v>2105183387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4491</v>
      </c>
      <c r="M88" s="22" t="s">
        <v>245</v>
      </c>
      <c r="N88" s="20" t="s">
        <v>25</v>
      </c>
      <c r="O88" s="20" t="s">
        <v>4329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4430</v>
      </c>
      <c r="V88" s="21"/>
      <c r="W88" s="21">
        <v>46317</v>
      </c>
      <c r="X88" s="20" t="s">
        <v>1514</v>
      </c>
      <c r="Y88" s="21">
        <v>46326</v>
      </c>
      <c r="Z88" s="20" t="s">
        <v>3808</v>
      </c>
    </row>
    <row r="89" spans="1:26" x14ac:dyDescent="0.25">
      <c r="A89" s="9">
        <f t="shared" si="1"/>
        <v>82</v>
      </c>
      <c r="B89" s="19" t="s">
        <v>4325</v>
      </c>
      <c r="C89" s="20" t="s">
        <v>4331</v>
      </c>
      <c r="D89" s="20" t="s">
        <v>4492</v>
      </c>
      <c r="E89" s="20" t="s">
        <v>25</v>
      </c>
      <c r="F89" s="20">
        <v>2105183403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4493</v>
      </c>
      <c r="M89" s="22" t="s">
        <v>245</v>
      </c>
      <c r="N89" s="20" t="s">
        <v>25</v>
      </c>
      <c r="O89" s="20" t="s">
        <v>4329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4494</v>
      </c>
      <c r="V89" s="21"/>
      <c r="W89" s="21">
        <v>46317</v>
      </c>
      <c r="X89" s="20" t="s">
        <v>1514</v>
      </c>
      <c r="Y89" s="21">
        <v>46326</v>
      </c>
      <c r="Z89" s="20" t="s">
        <v>3808</v>
      </c>
    </row>
    <row r="90" spans="1:26" x14ac:dyDescent="0.25">
      <c r="A90" s="9">
        <f t="shared" si="1"/>
        <v>83</v>
      </c>
      <c r="B90" s="19" t="s">
        <v>4325</v>
      </c>
      <c r="C90" s="20" t="s">
        <v>4331</v>
      </c>
      <c r="D90" s="20" t="s">
        <v>4495</v>
      </c>
      <c r="E90" s="20" t="s">
        <v>25</v>
      </c>
      <c r="F90" s="20">
        <v>2105183407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4496</v>
      </c>
      <c r="M90" s="22" t="s">
        <v>245</v>
      </c>
      <c r="N90" s="20" t="s">
        <v>25</v>
      </c>
      <c r="O90" s="20" t="s">
        <v>4329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4497</v>
      </c>
      <c r="V90" s="21"/>
      <c r="W90" s="21">
        <v>46317</v>
      </c>
      <c r="X90" s="20" t="s">
        <v>1514</v>
      </c>
      <c r="Y90" s="21">
        <v>46326</v>
      </c>
      <c r="Z90" s="20" t="s">
        <v>3808</v>
      </c>
    </row>
    <row r="91" spans="1:26" x14ac:dyDescent="0.25">
      <c r="A91" s="9">
        <f t="shared" si="1"/>
        <v>84</v>
      </c>
      <c r="B91" s="19" t="s">
        <v>4325</v>
      </c>
      <c r="C91" s="20" t="s">
        <v>4331</v>
      </c>
      <c r="D91" s="20" t="s">
        <v>4498</v>
      </c>
      <c r="E91" s="20" t="s">
        <v>25</v>
      </c>
      <c r="F91" s="20">
        <v>2105183413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4499</v>
      </c>
      <c r="M91" s="22" t="s">
        <v>245</v>
      </c>
      <c r="N91" s="20" t="s">
        <v>25</v>
      </c>
      <c r="O91" s="20" t="s">
        <v>4329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4474</v>
      </c>
      <c r="V91" s="21"/>
      <c r="W91" s="21">
        <v>46317</v>
      </c>
      <c r="X91" s="20" t="s">
        <v>1514</v>
      </c>
      <c r="Y91" s="21">
        <v>46326</v>
      </c>
      <c r="Z91" s="20" t="s">
        <v>3808</v>
      </c>
    </row>
    <row r="92" spans="1:26" x14ac:dyDescent="0.25">
      <c r="A92" s="9">
        <f t="shared" si="1"/>
        <v>85</v>
      </c>
      <c r="B92" s="19" t="s">
        <v>4325</v>
      </c>
      <c r="C92" s="20" t="s">
        <v>4331</v>
      </c>
      <c r="D92" s="20" t="s">
        <v>4500</v>
      </c>
      <c r="E92" s="20" t="s">
        <v>25</v>
      </c>
      <c r="F92" s="20">
        <v>2105183418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4501</v>
      </c>
      <c r="M92" s="22" t="s">
        <v>245</v>
      </c>
      <c r="N92" s="20" t="s">
        <v>25</v>
      </c>
      <c r="O92" s="20" t="s">
        <v>4329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4502</v>
      </c>
      <c r="V92" s="21"/>
      <c r="W92" s="21">
        <v>46317</v>
      </c>
      <c r="X92" s="20" t="s">
        <v>1514</v>
      </c>
      <c r="Y92" s="21">
        <v>46326</v>
      </c>
      <c r="Z92" s="20" t="s">
        <v>3808</v>
      </c>
    </row>
    <row r="93" spans="1:26" x14ac:dyDescent="0.25">
      <c r="A93" s="9">
        <f t="shared" si="1"/>
        <v>86</v>
      </c>
      <c r="B93" s="19" t="s">
        <v>4325</v>
      </c>
      <c r="C93" s="20" t="s">
        <v>4331</v>
      </c>
      <c r="D93" s="20" t="s">
        <v>4503</v>
      </c>
      <c r="E93" s="20" t="s">
        <v>25</v>
      </c>
      <c r="F93" s="20">
        <v>2105183419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4504</v>
      </c>
      <c r="M93" s="22" t="s">
        <v>245</v>
      </c>
      <c r="N93" s="20" t="s">
        <v>25</v>
      </c>
      <c r="O93" s="20" t="s">
        <v>4329</v>
      </c>
      <c r="P93" s="20" t="s">
        <v>146</v>
      </c>
      <c r="Q93" s="20" t="s">
        <v>147</v>
      </c>
      <c r="R93" s="20" t="s">
        <v>25</v>
      </c>
      <c r="S93" s="20" t="s">
        <v>31</v>
      </c>
      <c r="T93" s="20" t="s">
        <v>192</v>
      </c>
      <c r="U93" s="20" t="s">
        <v>4505</v>
      </c>
      <c r="V93" s="21"/>
      <c r="W93" s="21">
        <v>46317</v>
      </c>
      <c r="X93" s="20" t="s">
        <v>1514</v>
      </c>
      <c r="Y93" s="21">
        <v>46326</v>
      </c>
      <c r="Z93" s="20" t="s">
        <v>3808</v>
      </c>
    </row>
    <row r="94" spans="1:26" x14ac:dyDescent="0.25">
      <c r="A94" s="9">
        <f t="shared" si="1"/>
        <v>87</v>
      </c>
      <c r="B94" s="19" t="s">
        <v>4325</v>
      </c>
      <c r="C94" s="20" t="s">
        <v>4331</v>
      </c>
      <c r="D94" s="20" t="s">
        <v>4506</v>
      </c>
      <c r="E94" s="20" t="s">
        <v>25</v>
      </c>
      <c r="F94" s="20">
        <v>2105183421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4507</v>
      </c>
      <c r="M94" s="22" t="s">
        <v>245</v>
      </c>
      <c r="N94" s="20" t="s">
        <v>25</v>
      </c>
      <c r="O94" s="20" t="s">
        <v>4329</v>
      </c>
      <c r="P94" s="20" t="s">
        <v>25</v>
      </c>
      <c r="Q94" s="20" t="s">
        <v>25</v>
      </c>
      <c r="R94" s="20" t="s">
        <v>25</v>
      </c>
      <c r="S94" s="20" t="s">
        <v>31</v>
      </c>
      <c r="T94" s="20" t="s">
        <v>192</v>
      </c>
      <c r="U94" s="20" t="s">
        <v>4508</v>
      </c>
      <c r="V94" s="21"/>
      <c r="W94" s="21">
        <v>46317</v>
      </c>
      <c r="X94" s="20" t="s">
        <v>1514</v>
      </c>
      <c r="Y94" s="21">
        <v>46326</v>
      </c>
      <c r="Z94" s="20" t="s">
        <v>3808</v>
      </c>
    </row>
    <row r="95" spans="1:26" x14ac:dyDescent="0.25">
      <c r="A95" s="9">
        <f t="shared" si="1"/>
        <v>88</v>
      </c>
      <c r="B95" s="19" t="s">
        <v>4325</v>
      </c>
      <c r="C95" s="20" t="s">
        <v>4331</v>
      </c>
      <c r="D95" s="20" t="s">
        <v>4509</v>
      </c>
      <c r="E95" s="20" t="s">
        <v>25</v>
      </c>
      <c r="F95" s="20">
        <v>2105183422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4510</v>
      </c>
      <c r="M95" s="22" t="s">
        <v>245</v>
      </c>
      <c r="N95" s="20" t="s">
        <v>25</v>
      </c>
      <c r="O95" s="20" t="s">
        <v>4329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4511</v>
      </c>
      <c r="V95" s="21"/>
      <c r="W95" s="21">
        <v>46317</v>
      </c>
      <c r="X95" s="20" t="s">
        <v>1514</v>
      </c>
      <c r="Y95" s="21">
        <v>46326</v>
      </c>
      <c r="Z95" s="20" t="s">
        <v>3808</v>
      </c>
    </row>
    <row r="96" spans="1:26" x14ac:dyDescent="0.25">
      <c r="A96" s="9">
        <f t="shared" si="1"/>
        <v>89</v>
      </c>
      <c r="B96" s="19" t="s">
        <v>4325</v>
      </c>
      <c r="C96" s="20" t="s">
        <v>4331</v>
      </c>
      <c r="D96" s="20" t="s">
        <v>4512</v>
      </c>
      <c r="E96" s="20" t="s">
        <v>25</v>
      </c>
      <c r="F96" s="20">
        <v>2105183425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4513</v>
      </c>
      <c r="M96" s="22" t="s">
        <v>245</v>
      </c>
      <c r="N96" s="20" t="s">
        <v>25</v>
      </c>
      <c r="O96" s="20" t="s">
        <v>4329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4514</v>
      </c>
      <c r="V96" s="21"/>
      <c r="W96" s="21">
        <v>46317</v>
      </c>
      <c r="X96" s="20" t="s">
        <v>1514</v>
      </c>
      <c r="Y96" s="21">
        <v>46326</v>
      </c>
      <c r="Z96" s="20" t="s">
        <v>3808</v>
      </c>
    </row>
    <row r="97" spans="1:26" x14ac:dyDescent="0.25">
      <c r="A97" s="9">
        <f t="shared" si="1"/>
        <v>90</v>
      </c>
      <c r="B97" s="19" t="s">
        <v>4325</v>
      </c>
      <c r="C97" s="20" t="s">
        <v>4331</v>
      </c>
      <c r="D97" s="20" t="s">
        <v>4515</v>
      </c>
      <c r="E97" s="20" t="s">
        <v>25</v>
      </c>
      <c r="F97" s="20">
        <v>2105183426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4516</v>
      </c>
      <c r="M97" s="22" t="s">
        <v>245</v>
      </c>
      <c r="N97" s="20" t="s">
        <v>25</v>
      </c>
      <c r="O97" s="20" t="s">
        <v>4329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4517</v>
      </c>
      <c r="V97" s="21"/>
      <c r="W97" s="21">
        <v>46317</v>
      </c>
      <c r="X97" s="20" t="s">
        <v>1514</v>
      </c>
      <c r="Y97" s="21">
        <v>46326</v>
      </c>
      <c r="Z97" s="20" t="s">
        <v>3808</v>
      </c>
    </row>
    <row r="98" spans="1:26" x14ac:dyDescent="0.25">
      <c r="A98" s="9">
        <f t="shared" si="1"/>
        <v>91</v>
      </c>
      <c r="B98" s="19" t="s">
        <v>4325</v>
      </c>
      <c r="C98" s="20" t="s">
        <v>4339</v>
      </c>
      <c r="D98" s="20" t="s">
        <v>4449</v>
      </c>
      <c r="E98" s="20" t="s">
        <v>25</v>
      </c>
      <c r="F98" s="20">
        <v>2105183436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4450</v>
      </c>
      <c r="M98" s="22" t="s">
        <v>245</v>
      </c>
      <c r="N98" s="20" t="s">
        <v>4316</v>
      </c>
      <c r="O98" s="20" t="s">
        <v>4329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4451</v>
      </c>
      <c r="V98" s="21"/>
      <c r="W98" s="21">
        <v>46317</v>
      </c>
      <c r="X98" s="20" t="s">
        <v>1514</v>
      </c>
      <c r="Y98" s="21">
        <v>46326</v>
      </c>
      <c r="Z98" s="20" t="s">
        <v>3808</v>
      </c>
    </row>
    <row r="99" spans="1:26" x14ac:dyDescent="0.25">
      <c r="A99" s="9">
        <f t="shared" si="1"/>
        <v>92</v>
      </c>
      <c r="B99" s="19" t="s">
        <v>4325</v>
      </c>
      <c r="C99" s="20" t="s">
        <v>4326</v>
      </c>
      <c r="D99" s="20" t="s">
        <v>4528</v>
      </c>
      <c r="E99" s="20" t="s">
        <v>25</v>
      </c>
      <c r="F99" s="20">
        <v>2105183362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4654</v>
      </c>
      <c r="M99" s="22" t="s">
        <v>245</v>
      </c>
      <c r="N99" s="20" t="s">
        <v>25</v>
      </c>
      <c r="O99" s="20" t="s">
        <v>4329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4430</v>
      </c>
      <c r="V99" s="21"/>
      <c r="W99" s="21">
        <v>46317</v>
      </c>
      <c r="X99" s="20" t="s">
        <v>1514</v>
      </c>
      <c r="Y99" s="21">
        <v>46326</v>
      </c>
      <c r="Z99" s="20" t="s">
        <v>3808</v>
      </c>
    </row>
    <row r="100" spans="1:26" x14ac:dyDescent="0.25">
      <c r="A100" s="9">
        <f t="shared" si="1"/>
        <v>93</v>
      </c>
      <c r="B100" s="19" t="s">
        <v>4325</v>
      </c>
      <c r="C100" s="20" t="s">
        <v>4339</v>
      </c>
      <c r="D100" s="20" t="s">
        <v>4529</v>
      </c>
      <c r="E100" s="20" t="s">
        <v>25</v>
      </c>
      <c r="F100" s="20">
        <v>2105183437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27</v>
      </c>
      <c r="L100" s="20" t="s">
        <v>4530</v>
      </c>
      <c r="M100" s="22" t="s">
        <v>245</v>
      </c>
      <c r="N100" s="20" t="s">
        <v>4315</v>
      </c>
      <c r="O100" s="20" t="s">
        <v>4329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4531</v>
      </c>
      <c r="V100" s="21"/>
      <c r="W100" s="21">
        <v>46317</v>
      </c>
      <c r="X100" s="20" t="s">
        <v>1514</v>
      </c>
      <c r="Y100" s="21">
        <v>46326</v>
      </c>
      <c r="Z100" s="20" t="s">
        <v>3808</v>
      </c>
    </row>
    <row r="101" spans="1:26" x14ac:dyDescent="0.25">
      <c r="A101" s="9">
        <f t="shared" si="1"/>
        <v>94</v>
      </c>
      <c r="B101" s="19" t="s">
        <v>4325</v>
      </c>
      <c r="C101" s="20" t="s">
        <v>4339</v>
      </c>
      <c r="D101" s="20" t="s">
        <v>4532</v>
      </c>
      <c r="E101" s="20" t="s">
        <v>25</v>
      </c>
      <c r="F101" s="20">
        <v>2105183437</v>
      </c>
      <c r="G101" s="20" t="s">
        <v>24</v>
      </c>
      <c r="H101" s="20" t="s">
        <v>25</v>
      </c>
      <c r="I101" s="21">
        <v>46317</v>
      </c>
      <c r="J101" s="20" t="s">
        <v>35</v>
      </c>
      <c r="K101" s="20" t="s">
        <v>57</v>
      </c>
      <c r="L101" s="20" t="s">
        <v>4530</v>
      </c>
      <c r="M101" s="22" t="s">
        <v>245</v>
      </c>
      <c r="N101" s="20" t="s">
        <v>4315</v>
      </c>
      <c r="O101" s="20" t="s">
        <v>4329</v>
      </c>
      <c r="P101" s="20" t="s">
        <v>146</v>
      </c>
      <c r="Q101" s="20" t="s">
        <v>147</v>
      </c>
      <c r="R101" s="20" t="s">
        <v>25</v>
      </c>
      <c r="S101" s="20" t="s">
        <v>31</v>
      </c>
      <c r="T101" s="20" t="s">
        <v>192</v>
      </c>
      <c r="U101" s="20" t="s">
        <v>4531</v>
      </c>
      <c r="V101" s="21"/>
      <c r="W101" s="21">
        <v>46317</v>
      </c>
      <c r="X101" s="20" t="s">
        <v>1514</v>
      </c>
      <c r="Y101" s="21">
        <v>46326</v>
      </c>
      <c r="Z101" s="20" t="s">
        <v>3808</v>
      </c>
    </row>
    <row r="102" spans="1:26" x14ac:dyDescent="0.25">
      <c r="A102" s="9">
        <f t="shared" si="1"/>
        <v>95</v>
      </c>
      <c r="B102" s="19" t="s">
        <v>4325</v>
      </c>
      <c r="C102" s="20" t="s">
        <v>4335</v>
      </c>
      <c r="D102" s="20" t="s">
        <v>4350</v>
      </c>
      <c r="E102" s="20" t="s">
        <v>25</v>
      </c>
      <c r="F102" s="20">
        <v>2105183311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4351</v>
      </c>
      <c r="M102" s="22" t="s">
        <v>245</v>
      </c>
      <c r="N102" s="20" t="s">
        <v>4316</v>
      </c>
      <c r="O102" s="20" t="s">
        <v>4329</v>
      </c>
      <c r="P102" s="20" t="s">
        <v>25</v>
      </c>
      <c r="Q102" s="20" t="s">
        <v>25</v>
      </c>
      <c r="R102" s="20" t="s">
        <v>25</v>
      </c>
      <c r="S102" s="20" t="s">
        <v>31</v>
      </c>
      <c r="T102" s="20" t="s">
        <v>192</v>
      </c>
      <c r="U102" s="20" t="s">
        <v>4338</v>
      </c>
      <c r="V102" s="21"/>
      <c r="W102" s="21">
        <v>46317</v>
      </c>
      <c r="X102" s="20" t="s">
        <v>1514</v>
      </c>
      <c r="Y102" s="21">
        <v>46326</v>
      </c>
      <c r="Z102" s="20" t="s">
        <v>3808</v>
      </c>
    </row>
    <row r="103" spans="1:26" x14ac:dyDescent="0.25">
      <c r="A103" s="9">
        <f t="shared" si="1"/>
        <v>96</v>
      </c>
      <c r="B103" s="19" t="s">
        <v>4325</v>
      </c>
      <c r="C103" s="20" t="s">
        <v>4335</v>
      </c>
      <c r="D103" s="20" t="s">
        <v>4352</v>
      </c>
      <c r="E103" s="20" t="s">
        <v>25</v>
      </c>
      <c r="F103" s="20">
        <v>2105183312</v>
      </c>
      <c r="G103" s="20" t="s">
        <v>24</v>
      </c>
      <c r="H103" s="20" t="s">
        <v>25</v>
      </c>
      <c r="I103" s="21">
        <v>46317</v>
      </c>
      <c r="J103" s="20" t="s">
        <v>35</v>
      </c>
      <c r="K103" s="20" t="s">
        <v>27</v>
      </c>
      <c r="L103" s="20" t="s">
        <v>4353</v>
      </c>
      <c r="M103" s="22" t="s">
        <v>245</v>
      </c>
      <c r="N103" s="20" t="s">
        <v>25</v>
      </c>
      <c r="O103" s="20" t="s">
        <v>4329</v>
      </c>
      <c r="P103" s="20" t="s">
        <v>25</v>
      </c>
      <c r="Q103" s="20" t="s">
        <v>25</v>
      </c>
      <c r="R103" s="20" t="s">
        <v>25</v>
      </c>
      <c r="S103" s="20" t="s">
        <v>31</v>
      </c>
      <c r="T103" s="20" t="s">
        <v>192</v>
      </c>
      <c r="U103" s="20" t="s">
        <v>4338</v>
      </c>
      <c r="V103" s="21"/>
      <c r="W103" s="21">
        <v>46317</v>
      </c>
      <c r="X103" s="20" t="s">
        <v>1514</v>
      </c>
      <c r="Y103" s="21">
        <v>46326</v>
      </c>
      <c r="Z103" s="20" t="s">
        <v>3808</v>
      </c>
    </row>
    <row r="104" spans="1:26" x14ac:dyDescent="0.25">
      <c r="A104" s="9">
        <f t="shared" si="1"/>
        <v>97</v>
      </c>
      <c r="B104" s="19" t="s">
        <v>4325</v>
      </c>
      <c r="C104" s="20" t="s">
        <v>4335</v>
      </c>
      <c r="D104" s="20" t="s">
        <v>4457</v>
      </c>
      <c r="E104" s="20" t="s">
        <v>25</v>
      </c>
      <c r="F104" s="20">
        <v>2105183347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4458</v>
      </c>
      <c r="M104" s="22" t="s">
        <v>245</v>
      </c>
      <c r="N104" s="20" t="s">
        <v>25</v>
      </c>
      <c r="O104" s="20" t="s">
        <v>4329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4459</v>
      </c>
      <c r="V104" s="21"/>
      <c r="W104" s="21">
        <v>46317</v>
      </c>
      <c r="X104" s="20" t="s">
        <v>1514</v>
      </c>
      <c r="Y104" s="21">
        <v>46326</v>
      </c>
      <c r="Z104" s="20" t="s">
        <v>3808</v>
      </c>
    </row>
    <row r="105" spans="1:26" x14ac:dyDescent="0.25">
      <c r="A105" s="9">
        <f t="shared" si="1"/>
        <v>98</v>
      </c>
      <c r="B105" s="19" t="s">
        <v>4325</v>
      </c>
      <c r="C105" s="20" t="s">
        <v>4335</v>
      </c>
      <c r="D105" s="20" t="s">
        <v>4533</v>
      </c>
      <c r="E105" s="20" t="s">
        <v>25</v>
      </c>
      <c r="F105" s="20">
        <v>2105183316</v>
      </c>
      <c r="G105" s="20" t="s">
        <v>24</v>
      </c>
      <c r="H105" s="20" t="s">
        <v>25</v>
      </c>
      <c r="I105" s="21">
        <v>46317</v>
      </c>
      <c r="J105" s="20" t="s">
        <v>51</v>
      </c>
      <c r="K105" s="20" t="s">
        <v>27</v>
      </c>
      <c r="L105" s="20" t="s">
        <v>4534</v>
      </c>
      <c r="M105" s="22" t="s">
        <v>245</v>
      </c>
      <c r="N105" s="20" t="s">
        <v>4315</v>
      </c>
      <c r="O105" s="20" t="s">
        <v>4329</v>
      </c>
      <c r="P105" s="20" t="s">
        <v>25</v>
      </c>
      <c r="Q105" s="20" t="s">
        <v>25</v>
      </c>
      <c r="R105" s="20" t="s">
        <v>25</v>
      </c>
      <c r="S105" s="20" t="s">
        <v>31</v>
      </c>
      <c r="T105" s="20" t="s">
        <v>192</v>
      </c>
      <c r="U105" s="20" t="s">
        <v>4535</v>
      </c>
      <c r="V105" s="21"/>
      <c r="W105" s="21">
        <v>46317</v>
      </c>
      <c r="X105" s="20" t="s">
        <v>1514</v>
      </c>
      <c r="Y105" s="21">
        <v>46326</v>
      </c>
      <c r="Z105" s="20" t="s">
        <v>3808</v>
      </c>
    </row>
    <row r="106" spans="1:26" x14ac:dyDescent="0.25">
      <c r="A106" s="9">
        <f t="shared" si="1"/>
        <v>99</v>
      </c>
      <c r="B106" s="19" t="s">
        <v>4325</v>
      </c>
      <c r="C106" s="20" t="s">
        <v>4335</v>
      </c>
      <c r="D106" s="20" t="s">
        <v>4536</v>
      </c>
      <c r="E106" s="20" t="s">
        <v>25</v>
      </c>
      <c r="F106" s="20">
        <v>2105183343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4537</v>
      </c>
      <c r="M106" s="22" t="s">
        <v>245</v>
      </c>
      <c r="N106" s="20" t="s">
        <v>4315</v>
      </c>
      <c r="O106" s="20" t="s">
        <v>4329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4538</v>
      </c>
      <c r="V106" s="21"/>
      <c r="W106" s="21">
        <v>46317</v>
      </c>
      <c r="X106" s="20" t="s">
        <v>1514</v>
      </c>
      <c r="Y106" s="21">
        <v>46326</v>
      </c>
      <c r="Z106" s="20" t="s">
        <v>3808</v>
      </c>
    </row>
    <row r="107" spans="1:26" x14ac:dyDescent="0.25">
      <c r="A107" s="9">
        <f t="shared" si="1"/>
        <v>100</v>
      </c>
      <c r="B107" s="19" t="s">
        <v>4325</v>
      </c>
      <c r="C107" s="20" t="s">
        <v>4335</v>
      </c>
      <c r="D107" s="20" t="s">
        <v>4539</v>
      </c>
      <c r="E107" s="20" t="s">
        <v>25</v>
      </c>
      <c r="F107" s="20">
        <v>2105183345</v>
      </c>
      <c r="G107" s="20" t="s">
        <v>24</v>
      </c>
      <c r="H107" s="20" t="s">
        <v>4376</v>
      </c>
      <c r="I107" s="21">
        <v>46317</v>
      </c>
      <c r="J107" s="20" t="s">
        <v>35</v>
      </c>
      <c r="K107" s="20" t="s">
        <v>27</v>
      </c>
      <c r="L107" s="20" t="s">
        <v>4540</v>
      </c>
      <c r="M107" s="22" t="s">
        <v>245</v>
      </c>
      <c r="N107" s="20" t="s">
        <v>4315</v>
      </c>
      <c r="O107" s="20" t="s">
        <v>4329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4541</v>
      </c>
      <c r="V107" s="21"/>
      <c r="W107" s="21">
        <v>46317</v>
      </c>
      <c r="X107" s="20" t="s">
        <v>1514</v>
      </c>
      <c r="Y107" s="21">
        <v>46326</v>
      </c>
      <c r="Z107" s="20" t="s">
        <v>3808</v>
      </c>
    </row>
    <row r="108" spans="1:26" x14ac:dyDescent="0.25">
      <c r="A108" s="9">
        <f t="shared" si="1"/>
        <v>101</v>
      </c>
      <c r="B108" s="19" t="s">
        <v>4325</v>
      </c>
      <c r="C108" s="20" t="s">
        <v>4326</v>
      </c>
      <c r="D108" s="20" t="s">
        <v>4546</v>
      </c>
      <c r="E108" s="20" t="s">
        <v>25</v>
      </c>
      <c r="F108" s="20">
        <v>2105183385</v>
      </c>
      <c r="G108" s="20" t="s">
        <v>24</v>
      </c>
      <c r="H108" s="20" t="s">
        <v>25</v>
      </c>
      <c r="I108" s="21">
        <v>46317</v>
      </c>
      <c r="J108" s="20" t="s">
        <v>35</v>
      </c>
      <c r="K108" s="20" t="s">
        <v>27</v>
      </c>
      <c r="L108" s="20" t="s">
        <v>4547</v>
      </c>
      <c r="M108" s="22" t="s">
        <v>245</v>
      </c>
      <c r="N108" s="20" t="s">
        <v>4315</v>
      </c>
      <c r="O108" s="20" t="s">
        <v>4329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4548</v>
      </c>
      <c r="V108" s="21"/>
      <c r="W108" s="21">
        <v>46317</v>
      </c>
      <c r="X108" s="20" t="s">
        <v>1514</v>
      </c>
      <c r="Y108" s="21">
        <v>46326</v>
      </c>
      <c r="Z108" s="20" t="s">
        <v>3808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4549</v>
      </c>
      <c r="E109" s="20" t="s">
        <v>25</v>
      </c>
      <c r="F109" s="20">
        <v>2105183390</v>
      </c>
      <c r="G109" s="20" t="s">
        <v>24</v>
      </c>
      <c r="H109" s="20" t="s">
        <v>25</v>
      </c>
      <c r="I109" s="21">
        <v>46317</v>
      </c>
      <c r="J109" s="20" t="s">
        <v>35</v>
      </c>
      <c r="K109" s="20" t="s">
        <v>27</v>
      </c>
      <c r="L109" s="20" t="s">
        <v>4550</v>
      </c>
      <c r="M109" s="22" t="s">
        <v>245</v>
      </c>
      <c r="N109" s="20" t="s">
        <v>4315</v>
      </c>
      <c r="O109" s="20" t="s">
        <v>4329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4551</v>
      </c>
      <c r="V109" s="21"/>
      <c r="W109" s="21">
        <v>46317</v>
      </c>
      <c r="X109" s="20" t="s">
        <v>1514</v>
      </c>
      <c r="Y109" s="21">
        <v>46326</v>
      </c>
      <c r="Z109" s="20" t="s">
        <v>3808</v>
      </c>
    </row>
    <row r="110" spans="1:26" x14ac:dyDescent="0.25">
      <c r="A110" s="9">
        <f t="shared" si="1"/>
        <v>103</v>
      </c>
      <c r="B110" s="19" t="s">
        <v>4325</v>
      </c>
      <c r="C110" s="20" t="s">
        <v>4331</v>
      </c>
      <c r="D110" s="20" t="s">
        <v>4552</v>
      </c>
      <c r="E110" s="20" t="s">
        <v>25</v>
      </c>
      <c r="F110" s="20">
        <v>2105183424</v>
      </c>
      <c r="G110" s="20" t="s">
        <v>24</v>
      </c>
      <c r="H110" s="20" t="s">
        <v>25</v>
      </c>
      <c r="I110" s="21">
        <v>46317</v>
      </c>
      <c r="J110" s="20" t="s">
        <v>35</v>
      </c>
      <c r="K110" s="20" t="s">
        <v>27</v>
      </c>
      <c r="L110" s="20" t="s">
        <v>4553</v>
      </c>
      <c r="M110" s="22" t="s">
        <v>245</v>
      </c>
      <c r="N110" s="20" t="s">
        <v>4315</v>
      </c>
      <c r="O110" s="20" t="s">
        <v>4329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4554</v>
      </c>
      <c r="V110" s="21"/>
      <c r="W110" s="21">
        <v>46317</v>
      </c>
      <c r="X110" s="20" t="s">
        <v>1514</v>
      </c>
      <c r="Y110" s="21">
        <v>46326</v>
      </c>
      <c r="Z110" s="20" t="s">
        <v>3808</v>
      </c>
    </row>
    <row r="111" spans="1:26" x14ac:dyDescent="0.25">
      <c r="A111" s="9">
        <f t="shared" si="1"/>
        <v>104</v>
      </c>
      <c r="B111" s="19" t="s">
        <v>4325</v>
      </c>
      <c r="C111" s="20" t="s">
        <v>4331</v>
      </c>
      <c r="D111" s="20" t="s">
        <v>4555</v>
      </c>
      <c r="E111" s="20" t="s">
        <v>25</v>
      </c>
      <c r="F111" s="20">
        <v>2105183429</v>
      </c>
      <c r="G111" s="20" t="s">
        <v>24</v>
      </c>
      <c r="H111" s="20" t="s">
        <v>25</v>
      </c>
      <c r="I111" s="21">
        <v>46317</v>
      </c>
      <c r="J111" s="20" t="s">
        <v>35</v>
      </c>
      <c r="K111" s="20" t="s">
        <v>27</v>
      </c>
      <c r="L111" s="20" t="s">
        <v>4556</v>
      </c>
      <c r="M111" s="22" t="s">
        <v>245</v>
      </c>
      <c r="N111" s="20" t="s">
        <v>4315</v>
      </c>
      <c r="O111" s="20" t="s">
        <v>4329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4557</v>
      </c>
      <c r="V111" s="21"/>
      <c r="W111" s="21">
        <v>46317</v>
      </c>
      <c r="X111" s="20" t="s">
        <v>1514</v>
      </c>
      <c r="Y111" s="21">
        <v>46326</v>
      </c>
      <c r="Z111" s="20" t="s">
        <v>3808</v>
      </c>
    </row>
    <row r="112" spans="1:26" x14ac:dyDescent="0.25">
      <c r="A112" s="9">
        <f t="shared" si="1"/>
        <v>105</v>
      </c>
      <c r="B112" s="19" t="s">
        <v>4325</v>
      </c>
      <c r="C112" s="20" t="s">
        <v>4335</v>
      </c>
      <c r="D112" s="20" t="s">
        <v>4558</v>
      </c>
      <c r="E112" s="20" t="s">
        <v>25</v>
      </c>
      <c r="F112" s="20">
        <v>2105183346</v>
      </c>
      <c r="G112" s="20" t="s">
        <v>24</v>
      </c>
      <c r="H112" s="20" t="s">
        <v>25</v>
      </c>
      <c r="I112" s="21">
        <v>46317</v>
      </c>
      <c r="J112" s="20" t="s">
        <v>51</v>
      </c>
      <c r="K112" s="20" t="s">
        <v>27</v>
      </c>
      <c r="L112" s="20" t="s">
        <v>4559</v>
      </c>
      <c r="M112" s="22" t="s">
        <v>245</v>
      </c>
      <c r="N112" s="20" t="s">
        <v>4316</v>
      </c>
      <c r="O112" s="20" t="s">
        <v>4329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4560</v>
      </c>
      <c r="V112" s="21"/>
      <c r="W112" s="21">
        <v>46317</v>
      </c>
      <c r="X112" s="20" t="s">
        <v>1514</v>
      </c>
      <c r="Y112" s="21">
        <v>46326</v>
      </c>
      <c r="Z112" s="20" t="s">
        <v>3808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4567</v>
      </c>
      <c r="E113" s="20" t="s">
        <v>25</v>
      </c>
      <c r="F113" s="20">
        <v>2105183365</v>
      </c>
      <c r="G113" s="20" t="s">
        <v>24</v>
      </c>
      <c r="H113" s="20" t="s">
        <v>4376</v>
      </c>
      <c r="I113" s="21">
        <v>46317</v>
      </c>
      <c r="J113" s="20" t="s">
        <v>35</v>
      </c>
      <c r="K113" s="20" t="s">
        <v>27</v>
      </c>
      <c r="L113" s="20" t="s">
        <v>4568</v>
      </c>
      <c r="M113" s="22" t="s">
        <v>245</v>
      </c>
      <c r="N113" s="20" t="s">
        <v>4316</v>
      </c>
      <c r="O113" s="20" t="s">
        <v>4329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192</v>
      </c>
      <c r="U113" s="20" t="s">
        <v>4569</v>
      </c>
      <c r="V113" s="21"/>
      <c r="W113" s="21">
        <v>46317</v>
      </c>
      <c r="X113" s="20" t="s">
        <v>1514</v>
      </c>
      <c r="Y113" s="21">
        <v>46326</v>
      </c>
      <c r="Z113" s="20" t="s">
        <v>3808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4570</v>
      </c>
      <c r="E114" s="20" t="s">
        <v>25</v>
      </c>
      <c r="F114" s="20">
        <v>2105183365</v>
      </c>
      <c r="G114" s="20" t="s">
        <v>24</v>
      </c>
      <c r="H114" s="20" t="s">
        <v>4376</v>
      </c>
      <c r="I114" s="21">
        <v>46317</v>
      </c>
      <c r="J114" s="20" t="s">
        <v>51</v>
      </c>
      <c r="K114" s="20" t="s">
        <v>57</v>
      </c>
      <c r="L114" s="20" t="s">
        <v>4568</v>
      </c>
      <c r="M114" s="22" t="s">
        <v>245</v>
      </c>
      <c r="N114" s="20" t="s">
        <v>4316</v>
      </c>
      <c r="O114" s="20" t="s">
        <v>4329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4569</v>
      </c>
      <c r="V114" s="21"/>
      <c r="W114" s="21">
        <v>46317</v>
      </c>
      <c r="X114" s="20" t="s">
        <v>1514</v>
      </c>
      <c r="Y114" s="21">
        <v>46326</v>
      </c>
      <c r="Z114" s="20" t="s">
        <v>3808</v>
      </c>
    </row>
    <row r="115" spans="1:26" x14ac:dyDescent="0.25">
      <c r="A115" s="9">
        <f t="shared" si="1"/>
        <v>108</v>
      </c>
      <c r="B115" s="19" t="s">
        <v>4325</v>
      </c>
      <c r="C115" s="20" t="s">
        <v>4326</v>
      </c>
      <c r="D115" s="20" t="s">
        <v>4571</v>
      </c>
      <c r="E115" s="20" t="s">
        <v>25</v>
      </c>
      <c r="F115" s="20">
        <v>2105183375</v>
      </c>
      <c r="G115" s="20" t="s">
        <v>24</v>
      </c>
      <c r="H115" s="20" t="s">
        <v>25</v>
      </c>
      <c r="I115" s="21">
        <v>46317</v>
      </c>
      <c r="J115" s="20" t="s">
        <v>35</v>
      </c>
      <c r="K115" s="20" t="s">
        <v>27</v>
      </c>
      <c r="L115" s="20" t="s">
        <v>4572</v>
      </c>
      <c r="M115" s="22" t="s">
        <v>245</v>
      </c>
      <c r="N115" s="20" t="s">
        <v>4316</v>
      </c>
      <c r="O115" s="20" t="s">
        <v>4329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4573</v>
      </c>
      <c r="V115" s="21"/>
      <c r="W115" s="21">
        <v>46317</v>
      </c>
      <c r="X115" s="20" t="s">
        <v>1514</v>
      </c>
      <c r="Y115" s="21">
        <v>46326</v>
      </c>
      <c r="Z115" s="20" t="s">
        <v>3808</v>
      </c>
    </row>
    <row r="116" spans="1:26" x14ac:dyDescent="0.25">
      <c r="A116" s="9">
        <f t="shared" si="1"/>
        <v>109</v>
      </c>
      <c r="B116" s="19" t="s">
        <v>4325</v>
      </c>
      <c r="C116" s="20" t="s">
        <v>4326</v>
      </c>
      <c r="D116" s="20" t="s">
        <v>4574</v>
      </c>
      <c r="E116" s="20" t="s">
        <v>25</v>
      </c>
      <c r="F116" s="20">
        <v>2105183377</v>
      </c>
      <c r="G116" s="20" t="s">
        <v>24</v>
      </c>
      <c r="H116" s="20" t="s">
        <v>25</v>
      </c>
      <c r="I116" s="21">
        <v>46317</v>
      </c>
      <c r="J116" s="20" t="s">
        <v>51</v>
      </c>
      <c r="K116" s="20" t="s">
        <v>27</v>
      </c>
      <c r="L116" s="20" t="s">
        <v>4575</v>
      </c>
      <c r="M116" s="22" t="s">
        <v>245</v>
      </c>
      <c r="N116" s="20" t="s">
        <v>4316</v>
      </c>
      <c r="O116" s="20" t="s">
        <v>4329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54</v>
      </c>
      <c r="U116" s="20" t="s">
        <v>4576</v>
      </c>
      <c r="V116" s="21"/>
      <c r="W116" s="21">
        <v>46317</v>
      </c>
      <c r="X116" s="20" t="s">
        <v>1514</v>
      </c>
      <c r="Y116" s="21">
        <v>46326</v>
      </c>
      <c r="Z116" s="20" t="s">
        <v>3808</v>
      </c>
    </row>
    <row r="117" spans="1:26" x14ac:dyDescent="0.25">
      <c r="A117" s="9">
        <f t="shared" si="1"/>
        <v>110</v>
      </c>
      <c r="B117" s="19" t="s">
        <v>4325</v>
      </c>
      <c r="C117" s="20" t="s">
        <v>4326</v>
      </c>
      <c r="D117" s="20" t="s">
        <v>4577</v>
      </c>
      <c r="E117" s="20" t="s">
        <v>25</v>
      </c>
      <c r="F117" s="20">
        <v>2105183381</v>
      </c>
      <c r="G117" s="20" t="s">
        <v>24</v>
      </c>
      <c r="H117" s="20" t="s">
        <v>25</v>
      </c>
      <c r="I117" s="21">
        <v>46317</v>
      </c>
      <c r="J117" s="20" t="s">
        <v>35</v>
      </c>
      <c r="K117" s="20" t="s">
        <v>27</v>
      </c>
      <c r="L117" s="20" t="s">
        <v>4578</v>
      </c>
      <c r="M117" s="22" t="s">
        <v>245</v>
      </c>
      <c r="N117" s="20" t="s">
        <v>4316</v>
      </c>
      <c r="O117" s="20" t="s">
        <v>4329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4579</v>
      </c>
      <c r="V117" s="21"/>
      <c r="W117" s="21">
        <v>46317</v>
      </c>
      <c r="X117" s="20" t="s">
        <v>1514</v>
      </c>
      <c r="Y117" s="21">
        <v>46326</v>
      </c>
      <c r="Z117" s="20" t="s">
        <v>3808</v>
      </c>
    </row>
    <row r="118" spans="1:26" x14ac:dyDescent="0.25">
      <c r="A118" s="9">
        <f t="shared" si="1"/>
        <v>111</v>
      </c>
      <c r="B118" s="19" t="s">
        <v>4325</v>
      </c>
      <c r="C118" s="20" t="s">
        <v>4331</v>
      </c>
      <c r="D118" s="20" t="s">
        <v>4580</v>
      </c>
      <c r="E118" s="20" t="s">
        <v>25</v>
      </c>
      <c r="F118" s="20">
        <v>2105183402</v>
      </c>
      <c r="G118" s="20" t="s">
        <v>24</v>
      </c>
      <c r="H118" s="20" t="s">
        <v>25</v>
      </c>
      <c r="I118" s="21">
        <v>46317</v>
      </c>
      <c r="J118" s="20" t="s">
        <v>51</v>
      </c>
      <c r="K118" s="20" t="s">
        <v>27</v>
      </c>
      <c r="L118" s="20" t="s">
        <v>4581</v>
      </c>
      <c r="M118" s="22" t="s">
        <v>245</v>
      </c>
      <c r="N118" s="20" t="s">
        <v>4316</v>
      </c>
      <c r="O118" s="20" t="s">
        <v>4329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4582</v>
      </c>
      <c r="V118" s="21"/>
      <c r="W118" s="21">
        <v>46317</v>
      </c>
      <c r="X118" s="20" t="s">
        <v>1514</v>
      </c>
      <c r="Y118" s="21">
        <v>46326</v>
      </c>
      <c r="Z118" s="20" t="s">
        <v>3808</v>
      </c>
    </row>
    <row r="119" spans="1:26" x14ac:dyDescent="0.25">
      <c r="A119" s="9">
        <f t="shared" si="1"/>
        <v>112</v>
      </c>
      <c r="B119" s="19" t="s">
        <v>4325</v>
      </c>
      <c r="C119" s="20" t="s">
        <v>4331</v>
      </c>
      <c r="D119" s="20" t="s">
        <v>4590</v>
      </c>
      <c r="E119" s="20" t="s">
        <v>25</v>
      </c>
      <c r="F119" s="20">
        <v>2105183416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4591</v>
      </c>
      <c r="M119" s="22" t="s">
        <v>245</v>
      </c>
      <c r="N119" s="20" t="s">
        <v>4316</v>
      </c>
      <c r="O119" s="20" t="s">
        <v>4329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4592</v>
      </c>
      <c r="V119" s="21"/>
      <c r="W119" s="21">
        <v>46317</v>
      </c>
      <c r="X119" s="20" t="s">
        <v>1514</v>
      </c>
      <c r="Y119" s="21">
        <v>46326</v>
      </c>
      <c r="Z119" s="20" t="s">
        <v>3808</v>
      </c>
    </row>
    <row r="120" spans="1:26" x14ac:dyDescent="0.25">
      <c r="A120" s="9">
        <f t="shared" si="1"/>
        <v>113</v>
      </c>
      <c r="B120" s="19" t="s">
        <v>4325</v>
      </c>
      <c r="C120" s="20" t="s">
        <v>4331</v>
      </c>
      <c r="D120" s="20" t="s">
        <v>4593</v>
      </c>
      <c r="E120" s="20" t="s">
        <v>25</v>
      </c>
      <c r="F120" s="20">
        <v>2105183420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4594</v>
      </c>
      <c r="M120" s="22" t="s">
        <v>245</v>
      </c>
      <c r="N120" s="20" t="s">
        <v>4316</v>
      </c>
      <c r="O120" s="20" t="s">
        <v>4329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4595</v>
      </c>
      <c r="V120" s="21"/>
      <c r="W120" s="21">
        <v>46317</v>
      </c>
      <c r="X120" s="20" t="s">
        <v>1514</v>
      </c>
      <c r="Y120" s="21">
        <v>46326</v>
      </c>
      <c r="Z120" s="20" t="s">
        <v>3808</v>
      </c>
    </row>
    <row r="121" spans="1:26" x14ac:dyDescent="0.25">
      <c r="A121" s="9">
        <f t="shared" si="1"/>
        <v>114</v>
      </c>
      <c r="B121" s="19" t="s">
        <v>4325</v>
      </c>
      <c r="C121" s="20" t="s">
        <v>4335</v>
      </c>
      <c r="D121" s="20" t="s">
        <v>4542</v>
      </c>
      <c r="E121" s="20" t="s">
        <v>25</v>
      </c>
      <c r="F121" s="20">
        <v>2105183348</v>
      </c>
      <c r="G121" s="20" t="s">
        <v>24</v>
      </c>
      <c r="H121" s="20" t="s">
        <v>4376</v>
      </c>
      <c r="I121" s="21">
        <v>46317</v>
      </c>
      <c r="J121" s="20" t="s">
        <v>35</v>
      </c>
      <c r="K121" s="20" t="s">
        <v>27</v>
      </c>
      <c r="L121" s="20" t="s">
        <v>4543</v>
      </c>
      <c r="M121" s="22" t="s">
        <v>245</v>
      </c>
      <c r="N121" s="20" t="s">
        <v>4315</v>
      </c>
      <c r="O121" s="20" t="s">
        <v>4329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4544</v>
      </c>
      <c r="V121" s="21"/>
      <c r="W121" s="21">
        <v>46317</v>
      </c>
      <c r="X121" s="20" t="s">
        <v>1514</v>
      </c>
      <c r="Y121" s="21">
        <v>46326</v>
      </c>
      <c r="Z121" s="20" t="s">
        <v>3808</v>
      </c>
    </row>
    <row r="122" spans="1:26" x14ac:dyDescent="0.25">
      <c r="A122" s="9">
        <f t="shared" si="1"/>
        <v>115</v>
      </c>
      <c r="B122" s="19" t="s">
        <v>4325</v>
      </c>
      <c r="C122" s="20" t="s">
        <v>4335</v>
      </c>
      <c r="D122" s="20" t="s">
        <v>4545</v>
      </c>
      <c r="E122" s="20" t="s">
        <v>25</v>
      </c>
      <c r="F122" s="20">
        <v>2105183348</v>
      </c>
      <c r="G122" s="20" t="s">
        <v>24</v>
      </c>
      <c r="H122" s="20" t="s">
        <v>4376</v>
      </c>
      <c r="I122" s="21">
        <v>46317</v>
      </c>
      <c r="J122" s="20" t="s">
        <v>51</v>
      </c>
      <c r="K122" s="20" t="s">
        <v>57</v>
      </c>
      <c r="L122" s="20" t="s">
        <v>4543</v>
      </c>
      <c r="M122" s="22" t="s">
        <v>245</v>
      </c>
      <c r="N122" s="20" t="s">
        <v>4315</v>
      </c>
      <c r="O122" s="20" t="s">
        <v>4329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4544</v>
      </c>
      <c r="V122" s="21"/>
      <c r="W122" s="21">
        <v>46317</v>
      </c>
      <c r="X122" s="20" t="s">
        <v>1514</v>
      </c>
      <c r="Y122" s="21">
        <v>46326</v>
      </c>
      <c r="Z122" s="20" t="s">
        <v>3808</v>
      </c>
    </row>
    <row r="123" spans="1:26" x14ac:dyDescent="0.25">
      <c r="A123" s="9">
        <f t="shared" si="1"/>
        <v>116</v>
      </c>
      <c r="B123" s="19" t="s">
        <v>4325</v>
      </c>
      <c r="C123" s="20" t="s">
        <v>4335</v>
      </c>
      <c r="D123" s="20" t="s">
        <v>4561</v>
      </c>
      <c r="E123" s="20" t="s">
        <v>25</v>
      </c>
      <c r="F123" s="20">
        <v>2105183350</v>
      </c>
      <c r="G123" s="20" t="s">
        <v>24</v>
      </c>
      <c r="H123" s="20" t="s">
        <v>25</v>
      </c>
      <c r="I123" s="21">
        <v>46317</v>
      </c>
      <c r="J123" s="20" t="s">
        <v>35</v>
      </c>
      <c r="K123" s="20" t="s">
        <v>27</v>
      </c>
      <c r="L123" s="20" t="s">
        <v>4562</v>
      </c>
      <c r="M123" s="22" t="s">
        <v>245</v>
      </c>
      <c r="N123" s="20" t="s">
        <v>4316</v>
      </c>
      <c r="O123" s="20" t="s">
        <v>4329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4563</v>
      </c>
      <c r="V123" s="21"/>
      <c r="W123" s="21">
        <v>46317</v>
      </c>
      <c r="X123" s="20" t="s">
        <v>1514</v>
      </c>
      <c r="Y123" s="21">
        <v>46326</v>
      </c>
      <c r="Z123" s="20" t="s">
        <v>3808</v>
      </c>
    </row>
    <row r="124" spans="1:26" x14ac:dyDescent="0.25">
      <c r="A124" s="9">
        <f t="shared" si="1"/>
        <v>117</v>
      </c>
      <c r="B124" s="19" t="s">
        <v>4325</v>
      </c>
      <c r="C124" s="20" t="s">
        <v>4326</v>
      </c>
      <c r="D124" s="20" t="s">
        <v>4564</v>
      </c>
      <c r="E124" s="20" t="s">
        <v>25</v>
      </c>
      <c r="F124" s="20">
        <v>2105183363</v>
      </c>
      <c r="G124" s="20" t="s">
        <v>24</v>
      </c>
      <c r="H124" s="20" t="s">
        <v>25</v>
      </c>
      <c r="I124" s="21">
        <v>46317</v>
      </c>
      <c r="J124" s="20" t="s">
        <v>51</v>
      </c>
      <c r="K124" s="20" t="s">
        <v>27</v>
      </c>
      <c r="L124" s="20" t="s">
        <v>4565</v>
      </c>
      <c r="M124" s="22" t="s">
        <v>245</v>
      </c>
      <c r="N124" s="20" t="s">
        <v>4316</v>
      </c>
      <c r="O124" s="20" t="s">
        <v>4329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4566</v>
      </c>
      <c r="V124" s="21"/>
      <c r="W124" s="21">
        <v>46317</v>
      </c>
      <c r="X124" s="20" t="s">
        <v>1514</v>
      </c>
      <c r="Y124" s="21">
        <v>46326</v>
      </c>
      <c r="Z124" s="20" t="s">
        <v>3808</v>
      </c>
    </row>
    <row r="125" spans="1:26" x14ac:dyDescent="0.25">
      <c r="A125" s="9">
        <f t="shared" si="1"/>
        <v>118</v>
      </c>
      <c r="B125" s="19" t="s">
        <v>4325</v>
      </c>
      <c r="C125" s="20" t="s">
        <v>4331</v>
      </c>
      <c r="D125" s="20" t="s">
        <v>4583</v>
      </c>
      <c r="E125" s="20" t="s">
        <v>25</v>
      </c>
      <c r="F125" s="20">
        <v>2105183404</v>
      </c>
      <c r="G125" s="20" t="s">
        <v>24</v>
      </c>
      <c r="H125" s="20" t="s">
        <v>4376</v>
      </c>
      <c r="I125" s="21">
        <v>46317</v>
      </c>
      <c r="J125" s="20" t="s">
        <v>35</v>
      </c>
      <c r="K125" s="20" t="s">
        <v>27</v>
      </c>
      <c r="L125" s="20" t="s">
        <v>4584</v>
      </c>
      <c r="M125" s="22" t="s">
        <v>245</v>
      </c>
      <c r="N125" s="20" t="s">
        <v>4316</v>
      </c>
      <c r="O125" s="20" t="s">
        <v>4329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4585</v>
      </c>
      <c r="V125" s="21"/>
      <c r="W125" s="21">
        <v>46317</v>
      </c>
      <c r="X125" s="20" t="s">
        <v>1514</v>
      </c>
      <c r="Y125" s="21">
        <v>46326</v>
      </c>
      <c r="Z125" s="20" t="s">
        <v>3808</v>
      </c>
    </row>
    <row r="126" spans="1:26" x14ac:dyDescent="0.25">
      <c r="A126" s="9">
        <f t="shared" si="1"/>
        <v>119</v>
      </c>
      <c r="B126" s="19" t="s">
        <v>4325</v>
      </c>
      <c r="C126" s="20" t="s">
        <v>4331</v>
      </c>
      <c r="D126" s="20" t="s">
        <v>4586</v>
      </c>
      <c r="E126" s="20" t="s">
        <v>25</v>
      </c>
      <c r="F126" s="20">
        <v>2105183404</v>
      </c>
      <c r="G126" s="20" t="s">
        <v>24</v>
      </c>
      <c r="H126" s="20" t="s">
        <v>4376</v>
      </c>
      <c r="I126" s="21">
        <v>46317</v>
      </c>
      <c r="J126" s="20" t="s">
        <v>51</v>
      </c>
      <c r="K126" s="20" t="s">
        <v>57</v>
      </c>
      <c r="L126" s="20" t="s">
        <v>4584</v>
      </c>
      <c r="M126" s="22" t="s">
        <v>245</v>
      </c>
      <c r="N126" s="20" t="s">
        <v>4316</v>
      </c>
      <c r="O126" s="20" t="s">
        <v>4329</v>
      </c>
      <c r="P126" s="20" t="s">
        <v>146</v>
      </c>
      <c r="Q126" s="20" t="s">
        <v>147</v>
      </c>
      <c r="R126" s="20" t="s">
        <v>25</v>
      </c>
      <c r="S126" s="20" t="s">
        <v>31</v>
      </c>
      <c r="T126" s="20" t="s">
        <v>192</v>
      </c>
      <c r="U126" s="20" t="s">
        <v>4585</v>
      </c>
      <c r="V126" s="21"/>
      <c r="W126" s="21">
        <v>46317</v>
      </c>
      <c r="X126" s="20" t="s">
        <v>1514</v>
      </c>
      <c r="Y126" s="21">
        <v>46326</v>
      </c>
      <c r="Z126" s="20" t="s">
        <v>3808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abSelected="1" workbookViewId="0">
      <selection activeCell="A14" sqref="A14"/>
    </sheetView>
  </sheetViews>
  <sheetFormatPr defaultRowHeight="15" x14ac:dyDescent="0.25"/>
  <cols>
    <col min="1" max="1" width="212.85546875" customWidth="1"/>
  </cols>
  <sheetData>
    <row r="7" spans="1:1" ht="22.5" x14ac:dyDescent="0.3">
      <c r="A7" s="28" t="s">
        <v>4662</v>
      </c>
    </row>
    <row r="8" spans="1:1" ht="19.5" x14ac:dyDescent="0.25">
      <c r="A8" s="29" t="s">
        <v>4663</v>
      </c>
    </row>
    <row r="9" spans="1:1" ht="19.5" x14ac:dyDescent="0.25">
      <c r="A9" s="29" t="s">
        <v>4664</v>
      </c>
    </row>
    <row r="10" spans="1:1" ht="19.5" x14ac:dyDescent="0.25">
      <c r="A10" s="30" t="s">
        <v>4665</v>
      </c>
    </row>
    <row r="11" spans="1:1" ht="19.5" x14ac:dyDescent="0.25">
      <c r="A11" s="29" t="s">
        <v>4666</v>
      </c>
    </row>
    <row r="12" spans="1:1" ht="19.5" x14ac:dyDescent="0.25">
      <c r="A12" s="31" t="s">
        <v>4705</v>
      </c>
    </row>
    <row r="13" spans="1:1" ht="19.5" x14ac:dyDescent="0.25">
      <c r="A13" s="31" t="s">
        <v>4667</v>
      </c>
    </row>
    <row r="15" spans="1:1" ht="22.5" x14ac:dyDescent="0.25">
      <c r="A15" s="32" t="s">
        <v>4668</v>
      </c>
    </row>
    <row r="16" spans="1:1" ht="22.5" x14ac:dyDescent="0.3">
      <c r="A16" s="33" t="s">
        <v>4669</v>
      </c>
    </row>
    <row r="17" spans="1:1" ht="22.5" x14ac:dyDescent="0.3">
      <c r="A17" s="33" t="s">
        <v>4670</v>
      </c>
    </row>
    <row r="18" spans="1:1" ht="22.5" x14ac:dyDescent="0.3">
      <c r="A18" s="33" t="s">
        <v>4671</v>
      </c>
    </row>
    <row r="19" spans="1:1" ht="22.5" x14ac:dyDescent="0.3">
      <c r="A19" s="33" t="s">
        <v>4672</v>
      </c>
    </row>
    <row r="20" spans="1:1" ht="22.5" x14ac:dyDescent="0.3">
      <c r="A20" s="33" t="s">
        <v>4673</v>
      </c>
    </row>
    <row r="21" spans="1:1" ht="22.5" x14ac:dyDescent="0.3">
      <c r="A21" s="33" t="s">
        <v>4674</v>
      </c>
    </row>
    <row r="22" spans="1:1" ht="22.5" x14ac:dyDescent="0.3">
      <c r="A22" s="33" t="s">
        <v>4675</v>
      </c>
    </row>
    <row r="23" spans="1:1" ht="22.5" x14ac:dyDescent="0.3">
      <c r="A23" s="33" t="s">
        <v>4676</v>
      </c>
    </row>
    <row r="24" spans="1:1" ht="22.5" x14ac:dyDescent="0.3">
      <c r="A24" s="33" t="s">
        <v>4677</v>
      </c>
    </row>
    <row r="25" spans="1:1" ht="19.5" x14ac:dyDescent="0.25">
      <c r="A25" s="34" t="s">
        <v>4678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topLeftCell="A184" workbookViewId="0">
      <selection activeCell="L211" sqref="L21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15" t="s">
        <v>28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15" t="s">
        <v>28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15" t="s">
        <v>28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15" t="s">
        <v>28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15" t="s">
        <v>28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15" t="s">
        <v>28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15" t="s">
        <v>28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15" t="s">
        <v>28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15" t="s">
        <v>28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15" t="s">
        <v>28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15" t="s">
        <v>28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15" t="s">
        <v>28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15" t="s">
        <v>28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7"/>
  <sheetViews>
    <sheetView topLeftCell="A7" workbookViewId="0">
      <selection activeCell="A27" sqref="A27"/>
    </sheetView>
  </sheetViews>
  <sheetFormatPr defaultRowHeight="15" x14ac:dyDescent="0.25"/>
  <cols>
    <col min="1" max="1" width="153.42578125" customWidth="1"/>
  </cols>
  <sheetData>
    <row r="7" spans="1:1" ht="22.5" x14ac:dyDescent="0.25">
      <c r="A7" s="32" t="s">
        <v>4679</v>
      </c>
    </row>
    <row r="8" spans="1:1" ht="22.5" x14ac:dyDescent="0.25">
      <c r="A8" s="32" t="s">
        <v>4680</v>
      </c>
    </row>
    <row r="9" spans="1:1" ht="22.5" x14ac:dyDescent="0.25">
      <c r="A9" s="35" t="s">
        <v>4681</v>
      </c>
    </row>
    <row r="10" spans="1:1" ht="22.5" x14ac:dyDescent="0.25">
      <c r="A10" s="36" t="s">
        <v>4682</v>
      </c>
    </row>
    <row r="11" spans="1:1" ht="19.5" x14ac:dyDescent="0.25">
      <c r="A11" s="38" t="s">
        <v>4703</v>
      </c>
    </row>
    <row r="12" spans="1:1" ht="19.5" x14ac:dyDescent="0.25">
      <c r="A12" s="38" t="s">
        <v>4683</v>
      </c>
    </row>
    <row r="13" spans="1:1" ht="19.5" x14ac:dyDescent="0.25">
      <c r="A13" s="37"/>
    </row>
    <row r="15" spans="1:1" ht="22.5" x14ac:dyDescent="0.25">
      <c r="A15" s="36" t="s">
        <v>4684</v>
      </c>
    </row>
    <row r="16" spans="1:1" ht="22.5" x14ac:dyDescent="0.25">
      <c r="A16" s="39" t="s">
        <v>4685</v>
      </c>
    </row>
    <row r="17" spans="1:1" ht="22.5" x14ac:dyDescent="0.3">
      <c r="A17" s="40" t="s">
        <v>4686</v>
      </c>
    </row>
    <row r="18" spans="1:1" ht="22.5" x14ac:dyDescent="0.3">
      <c r="A18" s="40" t="s">
        <v>4687</v>
      </c>
    </row>
    <row r="19" spans="1:1" ht="22.5" x14ac:dyDescent="0.3">
      <c r="A19" s="40" t="s">
        <v>4688</v>
      </c>
    </row>
    <row r="20" spans="1:1" ht="22.5" x14ac:dyDescent="0.3">
      <c r="A20" s="40" t="s">
        <v>4689</v>
      </c>
    </row>
    <row r="21" spans="1:1" ht="22.5" x14ac:dyDescent="0.3">
      <c r="A21" s="40" t="s">
        <v>4690</v>
      </c>
    </row>
    <row r="22" spans="1:1" ht="22.5" x14ac:dyDescent="0.3">
      <c r="A22" s="40" t="s">
        <v>4691</v>
      </c>
    </row>
    <row r="23" spans="1:1" ht="22.5" x14ac:dyDescent="0.3">
      <c r="A23" s="40" t="s">
        <v>4692</v>
      </c>
    </row>
    <row r="24" spans="1:1" ht="22.5" x14ac:dyDescent="0.3">
      <c r="A24" s="40" t="s">
        <v>4693</v>
      </c>
    </row>
    <row r="25" spans="1:1" ht="22.5" x14ac:dyDescent="0.3">
      <c r="A25" s="41" t="s">
        <v>4694</v>
      </c>
    </row>
    <row r="27" spans="1:1" ht="22.5" x14ac:dyDescent="0.3">
      <c r="A27" s="33" t="s">
        <v>4704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A20"/>
  <sheetViews>
    <sheetView workbookViewId="0">
      <selection activeCell="C23" sqref="C23"/>
    </sheetView>
  </sheetViews>
  <sheetFormatPr defaultRowHeight="15" x14ac:dyDescent="0.25"/>
  <sheetData>
    <row r="7" spans="1:1" ht="22.5" x14ac:dyDescent="0.25">
      <c r="A7" s="32" t="s">
        <v>4695</v>
      </c>
    </row>
    <row r="8" spans="1:1" ht="22.5" x14ac:dyDescent="0.25">
      <c r="A8" s="32" t="s">
        <v>4696</v>
      </c>
    </row>
    <row r="9" spans="1:1" ht="22.5" x14ac:dyDescent="0.25">
      <c r="A9" s="35" t="s">
        <v>4697</v>
      </c>
    </row>
    <row r="10" spans="1:1" ht="22.5" x14ac:dyDescent="0.25">
      <c r="A10" s="36" t="s">
        <v>4698</v>
      </c>
    </row>
    <row r="11" spans="1:1" ht="23.25" x14ac:dyDescent="0.25">
      <c r="A11" s="42"/>
    </row>
    <row r="12" spans="1:1" ht="23.25" x14ac:dyDescent="0.35">
      <c r="A12" s="43" t="s">
        <v>4700</v>
      </c>
    </row>
    <row r="14" spans="1:1" ht="22.5" x14ac:dyDescent="0.25">
      <c r="A14" s="32" t="s">
        <v>4699</v>
      </c>
    </row>
    <row r="15" spans="1:1" ht="23.25" x14ac:dyDescent="0.35">
      <c r="A15" s="44" t="s">
        <v>4701</v>
      </c>
    </row>
    <row r="17" spans="1:1" ht="23.25" x14ac:dyDescent="0.35">
      <c r="A17" s="44" t="s">
        <v>4702</v>
      </c>
    </row>
    <row r="20" spans="1:1" ht="22.5" x14ac:dyDescent="0.3">
      <c r="A20" s="33" t="s">
        <v>4704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TKP</vt:lpstr>
      <vt:lpstr>TEXT TKP</vt:lpstr>
      <vt:lpstr>TQM</vt:lpstr>
      <vt:lpstr>TEXT TQM</vt:lpstr>
      <vt:lpstr>TEV</vt:lpstr>
      <vt:lpstr>TEXT 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2026-10-29T09:14:09Z</dcterms:modified>
</cp:coreProperties>
</file>