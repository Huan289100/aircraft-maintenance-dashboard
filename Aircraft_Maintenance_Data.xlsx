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QM" sheetId="1" r:id="rId1"/>
    <sheet name="TEV" sheetId="2" r:id="rId2"/>
  </sheets>
  <externalReferences>
    <externalReference r:id="rId3"/>
    <externalReference r:id="rId4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2" i="1" l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A8" i="1"/>
  <c r="AA1122" i="2" l="1"/>
  <c r="AA1121" i="2"/>
  <c r="AA1120" i="2"/>
  <c r="AA1119" i="2"/>
  <c r="AA1118" i="2"/>
  <c r="AA1117" i="2"/>
  <c r="AA1116" i="2"/>
  <c r="AA1115" i="2"/>
  <c r="AA1114" i="2"/>
  <c r="AA1113" i="2"/>
  <c r="AA1112" i="2"/>
  <c r="AA1111" i="2"/>
  <c r="AA1110" i="2"/>
  <c r="AA1109" i="2"/>
  <c r="AA1108" i="2"/>
  <c r="AA1107" i="2"/>
  <c r="AA1106" i="2"/>
  <c r="AA1105" i="2"/>
  <c r="AA1104" i="2"/>
  <c r="AA1103" i="2"/>
  <c r="AA1102" i="2"/>
  <c r="AA1101" i="2"/>
  <c r="AA1100" i="2"/>
  <c r="AA1099" i="2"/>
  <c r="AA1098" i="2"/>
  <c r="AA1097" i="2"/>
  <c r="AA1096" i="2"/>
  <c r="AA1095" i="2"/>
  <c r="AA1094" i="2"/>
  <c r="AA1093" i="2"/>
  <c r="AA1092" i="2"/>
  <c r="AA1091" i="2"/>
  <c r="AA1090" i="2"/>
  <c r="AA1089" i="2"/>
  <c r="AA1088" i="2"/>
  <c r="AA1087" i="2"/>
  <c r="AA1086" i="2"/>
  <c r="AA1085" i="2"/>
  <c r="AA1084" i="2"/>
  <c r="AA1083" i="2"/>
  <c r="AA1082" i="2"/>
  <c r="AA1081" i="2"/>
  <c r="AA1080" i="2"/>
  <c r="AA1079" i="2"/>
  <c r="AA1078" i="2"/>
  <c r="AA1077" i="2"/>
  <c r="AA1076" i="2"/>
  <c r="AA1075" i="2"/>
  <c r="AA1074" i="2"/>
  <c r="AA1073" i="2"/>
  <c r="AA1072" i="2"/>
  <c r="AA1071" i="2"/>
  <c r="AA1070" i="2"/>
  <c r="AA1069" i="2"/>
  <c r="AA1068" i="2"/>
  <c r="AA1067" i="2"/>
  <c r="AA1066" i="2"/>
  <c r="AA1065" i="2"/>
  <c r="AA1064" i="2"/>
  <c r="AA1063" i="2"/>
  <c r="AA1062" i="2"/>
  <c r="AA1061" i="2"/>
  <c r="AA1060" i="2"/>
  <c r="AA1059" i="2"/>
  <c r="AA1058" i="2"/>
  <c r="AA1057" i="2"/>
  <c r="AA1056" i="2"/>
  <c r="AA1055" i="2"/>
  <c r="AA1054" i="2"/>
  <c r="AA1053" i="2"/>
  <c r="AA1052" i="2"/>
  <c r="AA1051" i="2"/>
  <c r="AA1050" i="2"/>
  <c r="AA1049" i="2"/>
  <c r="AA1048" i="2"/>
  <c r="AA1047" i="2"/>
  <c r="AA1046" i="2"/>
  <c r="AA1045" i="2"/>
  <c r="AA1044" i="2"/>
  <c r="AA1043" i="2"/>
  <c r="AA1042" i="2"/>
  <c r="AA1041" i="2"/>
  <c r="AA1040" i="2"/>
  <c r="AA1039" i="2"/>
  <c r="AA1038" i="2"/>
  <c r="AA1037" i="2"/>
  <c r="AA1036" i="2"/>
  <c r="AA1035" i="2"/>
  <c r="AA1034" i="2"/>
  <c r="AA1033" i="2"/>
  <c r="AA1032" i="2"/>
  <c r="AA1031" i="2"/>
  <c r="AA1030" i="2"/>
  <c r="AA1029" i="2"/>
  <c r="AA1028" i="2"/>
  <c r="AA1027" i="2"/>
  <c r="AA1026" i="2"/>
  <c r="AA1025" i="2"/>
  <c r="AA1024" i="2"/>
  <c r="AA1023" i="2"/>
  <c r="AA1022" i="2"/>
  <c r="AA1021" i="2"/>
  <c r="AA1020" i="2"/>
  <c r="AA1019" i="2"/>
  <c r="AA1018" i="2"/>
  <c r="AA1017" i="2"/>
  <c r="AA1016" i="2"/>
  <c r="AA1015" i="2"/>
  <c r="AA1014" i="2"/>
  <c r="AA1013" i="2"/>
  <c r="AA1012" i="2"/>
  <c r="AA1011" i="2"/>
  <c r="AA1010" i="2"/>
  <c r="AA1009" i="2"/>
  <c r="AA1008" i="2"/>
  <c r="AA1007" i="2"/>
  <c r="AA1006" i="2"/>
  <c r="AA1005" i="2"/>
  <c r="AA1004" i="2"/>
  <c r="AA1003" i="2"/>
  <c r="AA1002" i="2"/>
  <c r="AA1001" i="2"/>
  <c r="AA1000" i="2"/>
  <c r="AA999" i="2"/>
  <c r="AA998" i="2"/>
  <c r="AA997" i="2"/>
  <c r="AA996" i="2"/>
  <c r="AA995" i="2"/>
  <c r="AA994" i="2"/>
  <c r="AA993" i="2"/>
  <c r="AA992" i="2"/>
  <c r="AA991" i="2"/>
  <c r="AA990" i="2"/>
  <c r="AA989" i="2"/>
  <c r="AA988" i="2"/>
  <c r="AA987" i="2"/>
  <c r="AA986" i="2"/>
  <c r="AA985" i="2"/>
  <c r="AA984" i="2"/>
  <c r="AA983" i="2"/>
  <c r="AA982" i="2"/>
  <c r="AA981" i="2"/>
  <c r="AA980" i="2"/>
  <c r="AA979" i="2"/>
  <c r="AA978" i="2"/>
  <c r="AA977" i="2"/>
  <c r="AA976" i="2"/>
  <c r="AA975" i="2"/>
  <c r="AA974" i="2"/>
  <c r="AA973" i="2"/>
  <c r="AA972" i="2"/>
  <c r="AA971" i="2"/>
  <c r="AA970" i="2"/>
  <c r="AA969" i="2"/>
  <c r="AA968" i="2"/>
  <c r="AA967" i="2"/>
  <c r="AA966" i="2"/>
  <c r="AA965" i="2"/>
  <c r="AA964" i="2"/>
  <c r="AA963" i="2"/>
  <c r="AA962" i="2"/>
  <c r="AA961" i="2"/>
  <c r="AA960" i="2"/>
  <c r="AA959" i="2"/>
  <c r="AA958" i="2"/>
  <c r="AA957" i="2"/>
  <c r="AA956" i="2"/>
  <c r="AA955" i="2"/>
  <c r="AA954" i="2"/>
  <c r="AA953" i="2"/>
  <c r="AA952" i="2"/>
  <c r="AA951" i="2"/>
  <c r="AA950" i="2"/>
  <c r="AA949" i="2"/>
  <c r="AA948" i="2"/>
  <c r="AA947" i="2"/>
  <c r="AA946" i="2"/>
  <c r="AA945" i="2"/>
  <c r="AA944" i="2"/>
  <c r="AA943" i="2"/>
  <c r="AA942" i="2"/>
  <c r="AA941" i="2"/>
  <c r="AA940" i="2"/>
  <c r="AA939" i="2"/>
  <c r="AA938" i="2"/>
  <c r="AA937" i="2"/>
  <c r="AA936" i="2"/>
  <c r="AA935" i="2"/>
  <c r="AA934" i="2"/>
  <c r="AA933" i="2"/>
  <c r="AA932" i="2"/>
  <c r="AA931" i="2"/>
  <c r="AA930" i="2"/>
  <c r="AA929" i="2"/>
  <c r="AA928" i="2"/>
  <c r="AA927" i="2"/>
  <c r="AA926" i="2"/>
  <c r="AA925" i="2"/>
  <c r="AA924" i="2"/>
  <c r="AA923" i="2"/>
  <c r="AA922" i="2"/>
  <c r="AA921" i="2"/>
  <c r="AA920" i="2"/>
  <c r="AA919" i="2"/>
  <c r="AA918" i="2"/>
  <c r="AA917" i="2"/>
  <c r="AA916" i="2"/>
  <c r="AA915" i="2"/>
  <c r="AA914" i="2"/>
  <c r="AA913" i="2"/>
  <c r="AA912" i="2"/>
  <c r="AA911" i="2"/>
  <c r="AA910" i="2"/>
  <c r="AA909" i="2"/>
  <c r="AA908" i="2"/>
  <c r="AA907" i="2"/>
  <c r="AA906" i="2"/>
  <c r="AA905" i="2"/>
  <c r="AA904" i="2"/>
  <c r="AA903" i="2"/>
  <c r="AA902" i="2"/>
  <c r="AA901" i="2"/>
  <c r="AA900" i="2"/>
  <c r="AA899" i="2"/>
  <c r="AA898" i="2"/>
  <c r="AA897" i="2"/>
  <c r="AA896" i="2"/>
  <c r="AA895" i="2"/>
  <c r="AA894" i="2"/>
  <c r="AA893" i="2"/>
  <c r="AA892" i="2"/>
  <c r="AA891" i="2"/>
  <c r="AA890" i="2"/>
  <c r="AA889" i="2"/>
  <c r="AA888" i="2"/>
  <c r="AA887" i="2"/>
  <c r="AA886" i="2"/>
  <c r="AA885" i="2"/>
  <c r="AA884" i="2"/>
  <c r="AA883" i="2"/>
  <c r="AA882" i="2"/>
  <c r="AA881" i="2"/>
  <c r="AA880" i="2"/>
  <c r="AA879" i="2"/>
  <c r="AA878" i="2"/>
  <c r="AA877" i="2"/>
  <c r="AA876" i="2"/>
  <c r="AA875" i="2"/>
  <c r="AA874" i="2"/>
  <c r="AA873" i="2"/>
  <c r="AA872" i="2"/>
  <c r="AA871" i="2"/>
  <c r="AA870" i="2"/>
  <c r="AA869" i="2"/>
  <c r="AA868" i="2"/>
  <c r="AA867" i="2"/>
  <c r="AA866" i="2"/>
  <c r="AA865" i="2"/>
  <c r="AA864" i="2"/>
  <c r="AA863" i="2"/>
  <c r="AA862" i="2"/>
  <c r="AA861" i="2"/>
  <c r="AA860" i="2"/>
  <c r="AA859" i="2"/>
  <c r="AA858" i="2"/>
  <c r="AA857" i="2"/>
  <c r="AA856" i="2"/>
  <c r="AA855" i="2"/>
  <c r="AA854" i="2"/>
  <c r="AA853" i="2"/>
  <c r="AA852" i="2"/>
  <c r="AA851" i="2"/>
  <c r="AA850" i="2"/>
  <c r="AA849" i="2"/>
  <c r="AA848" i="2"/>
  <c r="AA847" i="2"/>
  <c r="AA846" i="2"/>
  <c r="AA845" i="2"/>
  <c r="AA844" i="2"/>
  <c r="AA843" i="2"/>
  <c r="AA842" i="2"/>
  <c r="AA841" i="2"/>
  <c r="AA840" i="2"/>
  <c r="AA839" i="2"/>
  <c r="AA838" i="2"/>
  <c r="AA837" i="2"/>
  <c r="AA836" i="2"/>
  <c r="AA835" i="2"/>
  <c r="AA834" i="2"/>
  <c r="AA833" i="2"/>
  <c r="AA832" i="2"/>
  <c r="AA831" i="2"/>
  <c r="AA830" i="2"/>
  <c r="AA829" i="2"/>
  <c r="AA828" i="2"/>
  <c r="AA827" i="2"/>
  <c r="AA826" i="2"/>
  <c r="AA825" i="2"/>
  <c r="AA824" i="2"/>
  <c r="AA823" i="2"/>
  <c r="AA822" i="2"/>
  <c r="AA821" i="2"/>
  <c r="AA820" i="2"/>
  <c r="AA819" i="2"/>
  <c r="AA818" i="2"/>
  <c r="AA817" i="2"/>
  <c r="AA816" i="2"/>
  <c r="AA815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802" i="2"/>
  <c r="AA801" i="2"/>
  <c r="AA800" i="2"/>
  <c r="AA799" i="2"/>
  <c r="AA798" i="2"/>
  <c r="AA797" i="2"/>
  <c r="AA796" i="2"/>
  <c r="AA795" i="2"/>
  <c r="AA794" i="2"/>
  <c r="AA793" i="2"/>
  <c r="AA792" i="2"/>
  <c r="AA791" i="2"/>
  <c r="AA790" i="2"/>
  <c r="AA789" i="2"/>
  <c r="AA788" i="2"/>
  <c r="AA787" i="2"/>
  <c r="AA786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72" i="2"/>
  <c r="AA771" i="2"/>
  <c r="AA770" i="2"/>
  <c r="AA769" i="2"/>
  <c r="AA768" i="2"/>
  <c r="AA767" i="2"/>
  <c r="AA766" i="2"/>
  <c r="AA765" i="2"/>
  <c r="AA764" i="2"/>
  <c r="AA763" i="2"/>
  <c r="AA762" i="2"/>
  <c r="AA761" i="2"/>
  <c r="AA760" i="2"/>
  <c r="AA759" i="2"/>
  <c r="AA758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4" i="2"/>
  <c r="AA733" i="2"/>
  <c r="AA732" i="2"/>
  <c r="AA731" i="2"/>
  <c r="AA730" i="2"/>
  <c r="AA729" i="2"/>
  <c r="AA728" i="2"/>
  <c r="AA727" i="2"/>
  <c r="AA726" i="2"/>
  <c r="AA725" i="2"/>
  <c r="AA724" i="2"/>
  <c r="AA723" i="2"/>
  <c r="AA722" i="2"/>
  <c r="AA721" i="2"/>
  <c r="AA720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707" i="2"/>
  <c r="AA706" i="2"/>
  <c r="AA705" i="2"/>
  <c r="AA704" i="2"/>
  <c r="AA703" i="2"/>
  <c r="AA702" i="2"/>
  <c r="AA701" i="2"/>
  <c r="AA700" i="2"/>
  <c r="AA699" i="2"/>
  <c r="AA698" i="2"/>
  <c r="AA697" i="2"/>
  <c r="AA696" i="2"/>
  <c r="AA695" i="2"/>
  <c r="AA694" i="2"/>
  <c r="AA693" i="2"/>
  <c r="AA692" i="2"/>
  <c r="AA691" i="2"/>
  <c r="AA690" i="2"/>
  <c r="AA689" i="2"/>
  <c r="AA688" i="2"/>
  <c r="AA687" i="2"/>
  <c r="AA686" i="2"/>
  <c r="AA685" i="2"/>
  <c r="AA684" i="2"/>
  <c r="AA683" i="2"/>
  <c r="AA682" i="2"/>
  <c r="AA681" i="2"/>
  <c r="AA680" i="2"/>
  <c r="AA679" i="2"/>
  <c r="AA678" i="2"/>
  <c r="AA677" i="2"/>
  <c r="AA676" i="2"/>
  <c r="AA675" i="2"/>
  <c r="AA674" i="2"/>
  <c r="AA673" i="2"/>
  <c r="AA672" i="2"/>
  <c r="AA671" i="2"/>
  <c r="AA670" i="2"/>
  <c r="AA669" i="2"/>
  <c r="AA668" i="2"/>
  <c r="AA667" i="2"/>
  <c r="AA666" i="2"/>
  <c r="AA665" i="2"/>
  <c r="AA664" i="2"/>
  <c r="AA663" i="2"/>
  <c r="AA662" i="2"/>
  <c r="AA661" i="2"/>
  <c r="AA660" i="2"/>
  <c r="AA659" i="2"/>
  <c r="AA658" i="2"/>
  <c r="AA657" i="2"/>
  <c r="AA656" i="2"/>
  <c r="AA655" i="2"/>
  <c r="AA654" i="2"/>
  <c r="AA653" i="2"/>
  <c r="AA652" i="2"/>
  <c r="AA651" i="2"/>
  <c r="AA650" i="2"/>
  <c r="AA649" i="2"/>
  <c r="AA648" i="2"/>
  <c r="AA647" i="2"/>
  <c r="AA646" i="2"/>
  <c r="AA645" i="2"/>
  <c r="AA644" i="2"/>
  <c r="AA643" i="2"/>
  <c r="AA642" i="2"/>
  <c r="AA641" i="2"/>
  <c r="AA640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15" i="2"/>
  <c r="AA614" i="2"/>
  <c r="AA613" i="2"/>
  <c r="AA612" i="2"/>
  <c r="AA611" i="2"/>
  <c r="AA610" i="2"/>
  <c r="AA609" i="2"/>
  <c r="AA608" i="2"/>
  <c r="AA607" i="2"/>
  <c r="AA606" i="2"/>
  <c r="AA605" i="2"/>
  <c r="AA604" i="2"/>
  <c r="AA603" i="2"/>
  <c r="AA602" i="2"/>
  <c r="AA601" i="2"/>
  <c r="AA600" i="2"/>
  <c r="AA599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4" i="2"/>
  <c r="AA583" i="2"/>
  <c r="AA582" i="2"/>
  <c r="AA581" i="2"/>
  <c r="AA580" i="2"/>
  <c r="AA579" i="2"/>
  <c r="AA578" i="2"/>
  <c r="AA577" i="2"/>
  <c r="AA576" i="2"/>
  <c r="AA575" i="2"/>
  <c r="AA574" i="2"/>
  <c r="AA573" i="2"/>
  <c r="AA572" i="2"/>
  <c r="AA571" i="2"/>
  <c r="AA570" i="2"/>
  <c r="AA569" i="2"/>
  <c r="AA568" i="2"/>
  <c r="AA567" i="2"/>
  <c r="AA566" i="2"/>
  <c r="AA565" i="2"/>
  <c r="AA564" i="2"/>
  <c r="AA563" i="2"/>
  <c r="AA562" i="2"/>
  <c r="AA561" i="2"/>
  <c r="AA560" i="2"/>
  <c r="AA559" i="2"/>
  <c r="AA558" i="2"/>
  <c r="AA557" i="2"/>
  <c r="AA556" i="2"/>
  <c r="AA555" i="2"/>
  <c r="AA554" i="2"/>
  <c r="AA553" i="2"/>
  <c r="AA552" i="2"/>
  <c r="AA551" i="2"/>
  <c r="AA550" i="2"/>
  <c r="AA549" i="2"/>
  <c r="AA548" i="2"/>
  <c r="AA547" i="2"/>
  <c r="AA546" i="2"/>
  <c r="AA545" i="2"/>
  <c r="AA544" i="2"/>
  <c r="AA543" i="2"/>
  <c r="AA542" i="2"/>
  <c r="AA541" i="2"/>
  <c r="AA540" i="2"/>
  <c r="AA539" i="2"/>
  <c r="AA538" i="2"/>
  <c r="AA537" i="2"/>
  <c r="AA536" i="2"/>
  <c r="AA535" i="2"/>
  <c r="AA534" i="2"/>
  <c r="AA533" i="2"/>
  <c r="AA532" i="2"/>
  <c r="AA531" i="2"/>
  <c r="AA530" i="2"/>
  <c r="AA529" i="2"/>
  <c r="AA528" i="2"/>
  <c r="AA527" i="2"/>
  <c r="AA526" i="2"/>
  <c r="AA525" i="2"/>
  <c r="AA524" i="2"/>
  <c r="AA523" i="2"/>
  <c r="AA522" i="2"/>
  <c r="AA521" i="2"/>
  <c r="AA520" i="2"/>
  <c r="AA519" i="2"/>
  <c r="AA518" i="2"/>
  <c r="AA517" i="2"/>
  <c r="AA516" i="2"/>
  <c r="AA515" i="2"/>
  <c r="AA514" i="2"/>
  <c r="AA513" i="2"/>
  <c r="AA512" i="2"/>
  <c r="AA511" i="2"/>
  <c r="AA510" i="2"/>
  <c r="AA509" i="2"/>
  <c r="AA508" i="2"/>
  <c r="AA507" i="2"/>
  <c r="AA506" i="2"/>
  <c r="AA505" i="2"/>
  <c r="AA504" i="2"/>
  <c r="AA503" i="2"/>
  <c r="AA502" i="2"/>
  <c r="AA501" i="2"/>
  <c r="AA500" i="2"/>
  <c r="AA499" i="2"/>
  <c r="AA498" i="2"/>
  <c r="AA497" i="2"/>
  <c r="AA496" i="2"/>
  <c r="AA495" i="2"/>
  <c r="AA494" i="2"/>
  <c r="AA493" i="2"/>
  <c r="AA492" i="2"/>
  <c r="AA491" i="2"/>
  <c r="AA490" i="2"/>
  <c r="AA489" i="2"/>
  <c r="AA488" i="2"/>
  <c r="AA487" i="2"/>
  <c r="AA486" i="2"/>
  <c r="AA485" i="2"/>
  <c r="AA484" i="2"/>
  <c r="AA483" i="2"/>
  <c r="AA482" i="2"/>
  <c r="AA481" i="2"/>
  <c r="AA480" i="2"/>
  <c r="AA479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51" i="2"/>
  <c r="AA450" i="2"/>
  <c r="AA449" i="2"/>
  <c r="AA448" i="2"/>
  <c r="AA447" i="2"/>
  <c r="AA446" i="2"/>
  <c r="AA445" i="2"/>
  <c r="AA444" i="2"/>
  <c r="AA443" i="2"/>
  <c r="AA442" i="2"/>
  <c r="AA441" i="2"/>
  <c r="AA440" i="2"/>
  <c r="AA439" i="2"/>
  <c r="AA438" i="2"/>
  <c r="AA437" i="2"/>
  <c r="AA436" i="2"/>
  <c r="AA435" i="2"/>
  <c r="AA434" i="2"/>
  <c r="AA433" i="2"/>
  <c r="AA432" i="2"/>
  <c r="AA431" i="2"/>
  <c r="AA430" i="2"/>
  <c r="AA429" i="2"/>
  <c r="AA428" i="2"/>
  <c r="AA427" i="2"/>
  <c r="AA426" i="2"/>
  <c r="AA425" i="2"/>
  <c r="AA424" i="2"/>
  <c r="AA423" i="2"/>
  <c r="AA422" i="2"/>
  <c r="AA421" i="2"/>
  <c r="AA420" i="2"/>
  <c r="AA419" i="2"/>
  <c r="AA418" i="2"/>
  <c r="AA417" i="2"/>
  <c r="AA416" i="2"/>
  <c r="AA415" i="2"/>
  <c r="AA414" i="2"/>
  <c r="AA413" i="2"/>
  <c r="AA412" i="2"/>
  <c r="AA411" i="2"/>
  <c r="AA410" i="2"/>
  <c r="AA409" i="2"/>
  <c r="AA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A8" i="2"/>
</calcChain>
</file>

<file path=xl/sharedStrings.xml><?xml version="1.0" encoding="utf-8"?>
<sst xmlns="http://schemas.openxmlformats.org/spreadsheetml/2006/main" count="28259" uniqueCount="4351">
  <si>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</si>
  <si>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</si>
  <si>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</si>
  <si>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</si>
  <si>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</si>
  <si>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</si>
  <si>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</si>
  <si>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</si>
  <si>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</si>
  <si>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</si>
  <si>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</si>
  <si>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</si>
  <si>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</si>
  <si>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</si>
  <si>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</si>
  <si>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</si>
  <si>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</si>
  <si>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</si>
  <si>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</si>
  <si>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</si>
  <si>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</si>
  <si>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</si>
  <si>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</si>
  <si>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</si>
  <si>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</si>
  <si>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</si>
  <si>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</si>
  <si>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</si>
  <si>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</si>
  <si>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</si>
  <si>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</si>
  <si>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</si>
  <si>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</si>
  <si>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</si>
  <si>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</si>
  <si>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</si>
  <si>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</si>
  <si>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</si>
  <si>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</si>
  <si>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</si>
  <si>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</si>
  <si>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</si>
  <si>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</si>
  <si>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</si>
  <si>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</si>
  <si>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</si>
  <si>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</si>
  <si>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</si>
  <si>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</si>
  <si>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</si>
  <si>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</si>
  <si>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</si>
  <si>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</si>
  <si>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</si>
  <si>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</si>
  <si>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</si>
  <si>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</si>
  <si>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</si>
  <si>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</si>
  <si>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</si>
  <si>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</si>
  <si>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</si>
  <si>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</si>
  <si>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</si>
  <si>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</si>
  <si>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</si>
  <si>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</si>
  <si>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</si>
  <si>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</si>
  <si>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</si>
  <si>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</si>
  <si>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</si>
  <si>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</si>
  <si>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</si>
  <si>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</si>
  <si>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</si>
  <si>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</si>
  <si>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</si>
  <si>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</si>
  <si>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</si>
  <si>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</si>
  <si>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</si>
  <si>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</si>
  <si>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</si>
  <si>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</si>
  <si>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</si>
  <si>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</si>
  <si>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</si>
  <si>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</si>
  <si>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</si>
  <si>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</si>
  <si>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</si>
  <si>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</si>
  <si>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</si>
  <si>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</si>
  <si>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</si>
  <si>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</si>
  <si>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</si>
  <si>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</si>
  <si>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</si>
  <si>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</si>
  <si>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</si>
  <si>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</si>
  <si>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</si>
  <si>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</si>
  <si>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</si>
  <si>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</si>
  <si>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</si>
  <si>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</si>
  <si>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</si>
  <si>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</si>
  <si>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</si>
  <si>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</si>
  <si>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</si>
  <si>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</si>
  <si>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</si>
  <si>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</si>
  <si>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</si>
  <si>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</si>
  <si>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</si>
  <si>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</si>
  <si>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</si>
  <si>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</si>
  <si>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</si>
  <si>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</si>
  <si>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</si>
  <si>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</si>
  <si>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</si>
  <si>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</si>
  <si>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</si>
  <si>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</si>
  <si>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</si>
  <si>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</si>
  <si>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</si>
  <si>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</si>
  <si>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</si>
  <si>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</si>
  <si>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</si>
  <si>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</si>
  <si>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</si>
  <si>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</si>
  <si>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</si>
  <si>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</si>
  <si>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</si>
  <si>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</si>
  <si>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</si>
  <si>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</si>
  <si>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</si>
  <si>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</si>
  <si>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</si>
  <si>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</si>
  <si>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</si>
  <si>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</si>
  <si>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</si>
  <si>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</si>
  <si>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</si>
  <si>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</si>
  <si>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</si>
  <si>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</si>
  <si>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</si>
  <si>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</si>
  <si>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</si>
  <si>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</si>
  <si>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</si>
  <si>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</si>
  <si>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</si>
  <si>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</si>
  <si>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</si>
  <si>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</si>
  <si>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</si>
  <si>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</si>
  <si>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</si>
  <si>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</si>
  <si>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</si>
  <si>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</si>
  <si>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</si>
  <si>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</si>
  <si>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</si>
  <si>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</si>
  <si>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</si>
  <si>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</si>
  <si>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</si>
  <si>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</si>
  <si>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</si>
  <si>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</si>
  <si>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</si>
  <si>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</si>
  <si>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</si>
  <si>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</si>
  <si>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</si>
  <si>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</si>
  <si>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</si>
  <si>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</si>
  <si>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</si>
  <si>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</si>
  <si>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</si>
  <si>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</si>
  <si>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</si>
  <si>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</si>
  <si>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</si>
  <si>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</si>
  <si>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</si>
  <si>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</si>
  <si>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</si>
  <si>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</si>
  <si>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</si>
  <si>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</si>
  <si>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</si>
  <si>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</si>
  <si>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</si>
  <si>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</si>
  <si>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</si>
  <si>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</si>
  <si>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</si>
  <si>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</si>
  <si>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</si>
  <si>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</si>
  <si>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</si>
  <si>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</si>
  <si>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</si>
  <si>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</si>
  <si>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</si>
  <si>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</si>
  <si>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</si>
  <si>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</si>
  <si>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</si>
  <si>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</si>
  <si>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</si>
  <si>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</si>
  <si>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</si>
  <si>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</si>
  <si>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</si>
  <si>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</si>
  <si>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</si>
  <si>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</si>
  <si>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</si>
  <si>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</si>
  <si>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</si>
  <si>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</si>
  <si>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</si>
  <si>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</si>
  <si>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</si>
  <si>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</si>
  <si>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</si>
  <si>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</si>
  <si>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</si>
  <si>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</si>
  <si>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</si>
  <si>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</si>
  <si>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</si>
  <si>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</si>
  <si>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</si>
  <si>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</si>
  <si>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</si>
  <si>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</si>
  <si>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</si>
  <si>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</si>
  <si>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</si>
  <si>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</si>
  <si>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</si>
  <si>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</si>
  <si>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</si>
  <si>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</si>
  <si>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</si>
  <si>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</si>
  <si>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</si>
  <si>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</si>
  <si>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</si>
  <si>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</si>
  <si>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</si>
  <si>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</si>
  <si>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</si>
  <si>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</si>
  <si>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</si>
  <si>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</si>
  <si>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</si>
  <si>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</si>
  <si>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</si>
  <si>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</si>
  <si>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</si>
  <si>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</si>
  <si>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</si>
  <si>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</si>
  <si>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</si>
  <si>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</si>
  <si>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</si>
  <si>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</si>
  <si>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</si>
  <si>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</si>
  <si>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</si>
  <si>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</si>
  <si>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</si>
  <si>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</si>
  <si>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</si>
  <si>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</si>
  <si>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</si>
  <si>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</si>
  <si>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</si>
  <si>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</si>
  <si>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</si>
  <si>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</si>
  <si>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</si>
  <si>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</si>
  <si>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</si>
  <si>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</si>
  <si>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</si>
  <si>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</si>
  <si>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</si>
  <si>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</si>
  <si>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</si>
  <si>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</si>
  <si>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</si>
  <si>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</si>
  <si>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</si>
  <si>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</si>
  <si>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</si>
  <si>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</si>
  <si>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</si>
  <si>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</si>
  <si>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</si>
  <si>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</si>
  <si>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</si>
  <si>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</si>
  <si>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</si>
  <si>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</si>
  <si>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</si>
  <si>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</si>
  <si>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</si>
  <si>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</si>
  <si>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</si>
  <si>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</si>
  <si>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</si>
  <si>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</si>
  <si>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</si>
  <si>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</si>
  <si>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</si>
  <si>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</si>
  <si>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</si>
  <si>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</si>
  <si>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</si>
  <si>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</si>
  <si>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</si>
  <si>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</si>
  <si>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</si>
  <si>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</si>
  <si>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</si>
  <si>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</si>
  <si>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</si>
  <si>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</si>
  <si>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</si>
  <si>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</si>
  <si>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</si>
  <si>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</si>
  <si>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</si>
  <si>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</si>
  <si>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</si>
  <si>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</si>
  <si>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</si>
  <si>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</si>
  <si>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</si>
  <si>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</si>
  <si>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</si>
  <si>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</si>
  <si>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</si>
  <si>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</si>
  <si>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</si>
  <si>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</si>
  <si>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</si>
  <si>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</si>
  <si>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</si>
  <si>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</si>
  <si>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</si>
  <si>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</si>
  <si>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</si>
  <si>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</si>
  <si>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</si>
  <si>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</si>
  <si>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</si>
  <si>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</si>
  <si>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</si>
  <si>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</si>
  <si>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</si>
  <si>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</si>
  <si>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</si>
  <si>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</si>
  <si>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</si>
  <si>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</si>
  <si>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</si>
  <si>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</si>
  <si>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</si>
  <si>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</si>
  <si>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</si>
  <si>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</si>
  <si>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</si>
  <si>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</si>
  <si>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</si>
  <si>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</si>
  <si>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</si>
  <si>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</si>
  <si>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</si>
  <si>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</si>
  <si>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</si>
  <si>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</si>
  <si>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</si>
  <si>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</si>
  <si>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</si>
  <si>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</si>
  <si>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</si>
  <si>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</si>
  <si>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</si>
  <si>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</si>
  <si>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</si>
  <si>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</si>
  <si>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</si>
  <si>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</si>
  <si>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</si>
  <si>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</si>
  <si>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</si>
  <si>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</si>
  <si>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</si>
  <si>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</si>
  <si>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</si>
  <si>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</si>
  <si>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</si>
  <si>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</si>
  <si>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</si>
  <si>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</si>
  <si>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</si>
  <si>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</si>
  <si>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</si>
  <si>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</si>
  <si>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</si>
  <si>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</si>
  <si>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</si>
  <si>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</si>
  <si>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</si>
  <si>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</si>
  <si>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</si>
  <si>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</si>
  <si>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</si>
  <si>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</si>
  <si>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</si>
  <si>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</si>
  <si>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</si>
  <si>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</si>
  <si>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</si>
  <si>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</si>
  <si>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</si>
  <si>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</si>
  <si>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</si>
  <si>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</si>
  <si>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</si>
  <si>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</si>
  <si>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</si>
  <si>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</si>
  <si>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</si>
  <si>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</si>
  <si>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</si>
  <si>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</si>
  <si>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</si>
  <si>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</si>
  <si>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</si>
  <si>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</si>
  <si>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</si>
  <si>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</si>
  <si>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</si>
  <si>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</si>
  <si>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</si>
  <si>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</si>
  <si>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</si>
  <si>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</si>
  <si>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</si>
  <si>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</si>
  <si>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</si>
  <si>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</si>
  <si>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</si>
  <si>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</si>
  <si>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</si>
  <si>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</si>
  <si>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</si>
  <si>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</si>
  <si>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</si>
  <si>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</si>
  <si>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</si>
  <si>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</si>
  <si>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</si>
  <si>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</si>
  <si>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</si>
  <si>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</si>
  <si>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</si>
  <si>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</si>
  <si>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</si>
  <si>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</si>
  <si>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</si>
  <si>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</si>
  <si>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</si>
  <si>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</si>
  <si>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</si>
  <si>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</si>
  <si>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</si>
  <si>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</si>
  <si>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</si>
  <si>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</si>
  <si>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</si>
  <si>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</si>
  <si>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</si>
  <si>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</si>
  <si>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</si>
  <si>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</si>
  <si>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</si>
  <si>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</si>
  <si>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</si>
  <si>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</si>
  <si>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</si>
  <si>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</si>
  <si>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</si>
  <si>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</si>
  <si>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</si>
  <si>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</si>
  <si>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</si>
  <si>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</si>
  <si>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</si>
  <si>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</si>
  <si>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</si>
  <si>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</si>
  <si>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</si>
  <si>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</si>
  <si>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</si>
  <si>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</si>
  <si>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</si>
  <si>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</si>
  <si>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</si>
  <si>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</si>
  <si>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</si>
  <si>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</si>
  <si>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</si>
  <si>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</si>
  <si>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</si>
  <si>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</si>
  <si>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</si>
  <si>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</si>
  <si>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</si>
  <si>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</si>
  <si>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</si>
  <si>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</si>
  <si>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</si>
  <si>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</si>
  <si>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</si>
  <si>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</si>
  <si>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</si>
  <si>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</si>
  <si>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</si>
  <si>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</si>
  <si>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</si>
  <si>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</si>
  <si>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</si>
  <si>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</si>
  <si>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</si>
  <si>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</si>
  <si>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</si>
  <si>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</si>
  <si>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</si>
  <si>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</si>
  <si>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</si>
  <si>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</si>
  <si>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</si>
  <si>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</si>
  <si>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</si>
  <si>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</si>
  <si>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</si>
  <si>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</si>
  <si>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</si>
  <si>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</si>
  <si>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</si>
  <si>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</si>
  <si>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</si>
  <si>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</si>
  <si>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</si>
  <si>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</si>
  <si>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</si>
  <si>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</si>
  <si>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</si>
  <si>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</si>
  <si>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</si>
  <si>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</si>
  <si>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</si>
  <si>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</si>
  <si>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</si>
  <si>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</si>
  <si>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</si>
  <si>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</si>
  <si>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</si>
  <si>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</si>
  <si>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</si>
  <si>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</si>
  <si>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</si>
  <si>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</si>
  <si>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</si>
  <si>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</si>
  <si>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</si>
  <si>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</si>
  <si>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</si>
  <si>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</si>
  <si>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</si>
  <si>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</si>
  <si>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</si>
  <si>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</si>
  <si>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</si>
  <si>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</si>
  <si>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</si>
  <si>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</si>
  <si>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</si>
  <si>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</si>
  <si>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</si>
  <si>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</si>
  <si>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</si>
  <si>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</si>
  <si>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</si>
  <si>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</si>
  <si>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</si>
  <si>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</si>
  <si>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</si>
  <si>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</si>
  <si>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</si>
  <si>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</si>
  <si>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</si>
  <si>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</si>
  <si>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</si>
  <si>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</si>
  <si>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</si>
  <si>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</si>
  <si>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</si>
  <si>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</si>
  <si>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</si>
  <si>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</si>
  <si>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</si>
  <si>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</si>
  <si>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</si>
  <si>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</si>
  <si>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</si>
  <si>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</si>
  <si>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</si>
  <si>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</si>
  <si>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</si>
  <si>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</si>
  <si>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</si>
  <si>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</si>
  <si>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</si>
  <si>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</si>
  <si>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</si>
  <si>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</si>
  <si>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</si>
  <si>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</si>
  <si>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</si>
  <si>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</si>
  <si>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</si>
  <si>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</si>
  <si>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</si>
  <si>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</si>
  <si>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</si>
  <si>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</si>
  <si>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</si>
  <si>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</si>
  <si>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</si>
  <si>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</si>
  <si>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</si>
  <si>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</si>
  <si>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</si>
  <si>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</si>
  <si>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</si>
  <si>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</si>
  <si>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</si>
  <si>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</si>
  <si>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</si>
  <si>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</si>
  <si>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</si>
  <si>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</si>
  <si>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</si>
  <si>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</si>
  <si>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</si>
  <si>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</si>
  <si>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</si>
  <si>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</si>
  <si>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</si>
  <si>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</si>
  <si>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</si>
  <si>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</si>
  <si>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</si>
  <si>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</si>
  <si>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</si>
  <si>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</si>
  <si>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</si>
  <si>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</si>
  <si>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</si>
  <si>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</si>
  <si>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</si>
  <si>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</si>
  <si>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</si>
  <si>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</si>
  <si>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</si>
  <si>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</si>
  <si>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</si>
  <si>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</si>
  <si>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</si>
  <si>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</si>
  <si>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</si>
  <si>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</si>
  <si>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</si>
  <si>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</si>
  <si>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</si>
  <si>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</si>
  <si>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</si>
  <si>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</si>
  <si>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</si>
  <si>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</si>
  <si>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</si>
  <si>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</si>
  <si>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</si>
  <si>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</si>
  <si>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</si>
  <si>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</si>
  <si>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</si>
  <si>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</si>
  <si>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</si>
  <si>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</si>
  <si>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</si>
  <si>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</si>
  <si>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</si>
  <si>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</si>
  <si>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</si>
  <si>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</si>
  <si>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</si>
  <si>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</si>
  <si>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</si>
  <si>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</si>
  <si>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</si>
  <si>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</si>
  <si>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</si>
  <si>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</si>
  <si>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</si>
  <si>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</si>
  <si>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</si>
  <si>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</si>
  <si>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</si>
  <si>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</si>
  <si>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</si>
  <si>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</si>
  <si>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</si>
  <si>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</si>
  <si>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</si>
  <si>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</si>
  <si>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</si>
  <si>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</si>
  <si>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</si>
  <si>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</si>
  <si>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</si>
  <si>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</si>
  <si>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</si>
  <si>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</si>
  <si>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</si>
  <si>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</si>
  <si>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</si>
  <si>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</si>
  <si>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</si>
  <si>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</si>
  <si>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</si>
  <si>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</si>
  <si>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</si>
  <si>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</si>
  <si>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</si>
  <si>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</si>
  <si>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</si>
  <si>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</si>
  <si>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</si>
  <si>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</si>
  <si>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</si>
  <si>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</si>
  <si>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</si>
  <si>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</si>
  <si>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</si>
  <si>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</si>
  <si>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</si>
  <si>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</si>
  <si>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</si>
  <si>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</si>
  <si>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</si>
  <si>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</si>
  <si>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</si>
  <si>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</si>
  <si>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</si>
  <si>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</si>
  <si>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</si>
  <si>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</si>
  <si>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</si>
  <si>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</si>
  <si>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</si>
  <si>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</si>
  <si>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</si>
  <si>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</si>
  <si>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</si>
  <si>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</si>
  <si>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</si>
  <si>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</si>
  <si>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</si>
  <si>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</si>
  <si>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</si>
  <si>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</si>
  <si>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</si>
  <si>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</si>
  <si>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</si>
  <si>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</si>
  <si>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</si>
  <si>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</si>
  <si>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</si>
  <si>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</si>
  <si>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</si>
  <si>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</si>
  <si>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</si>
  <si>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</si>
  <si>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</si>
  <si>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</si>
  <si>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</si>
  <si>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</si>
  <si>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</si>
  <si>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</si>
  <si>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</si>
  <si>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</si>
  <si>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</si>
  <si>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</si>
  <si>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</si>
  <si>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</si>
  <si>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</si>
  <si>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</si>
  <si>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</si>
  <si>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</si>
  <si>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</si>
  <si>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</si>
  <si>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</si>
  <si>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</si>
  <si>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</si>
  <si>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</si>
  <si>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</si>
  <si>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</si>
  <si>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</si>
  <si>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</si>
  <si>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</si>
  <si>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</si>
  <si>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</si>
  <si>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</si>
  <si>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</si>
  <si>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</si>
  <si>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</si>
  <si>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</si>
  <si>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</si>
  <si>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</si>
  <si>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</si>
  <si>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</si>
  <si>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</si>
  <si>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</si>
  <si>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</si>
  <si>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</si>
  <si>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</si>
  <si>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</si>
  <si>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</si>
  <si>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</si>
  <si>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</si>
  <si>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</si>
  <si>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</si>
  <si>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</si>
  <si>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</si>
  <si>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</si>
  <si>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</si>
  <si>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</si>
  <si>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</si>
  <si>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</si>
  <si>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</si>
  <si>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</si>
  <si>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</si>
  <si>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</si>
  <si>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</si>
  <si>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</si>
  <si>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</si>
  <si>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</si>
  <si>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</si>
  <si>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</si>
  <si>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</si>
  <si>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</si>
  <si>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</si>
  <si>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</si>
  <si>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</si>
  <si>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</si>
  <si>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</si>
  <si>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</si>
  <si>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</si>
  <si>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</si>
  <si>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</si>
  <si>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</si>
  <si>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</si>
  <si>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</si>
  <si>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</si>
  <si>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</si>
  <si>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</si>
  <si>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</si>
  <si>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</si>
  <si>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</si>
  <si>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</si>
  <si>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</si>
  <si>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</si>
  <si>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</si>
  <si>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</si>
  <si>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</si>
  <si>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</si>
  <si>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</si>
  <si>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</si>
  <si>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</si>
  <si>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</si>
  <si>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</si>
  <si>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</si>
  <si>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</si>
  <si>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</si>
  <si>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</si>
  <si>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</si>
  <si>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</si>
  <si>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</si>
  <si>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</si>
  <si>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</si>
  <si>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</si>
  <si>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</si>
  <si>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</si>
  <si>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</si>
  <si>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</si>
  <si>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</si>
  <si>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</si>
  <si>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</si>
  <si>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</si>
  <si>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</si>
  <si>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</si>
  <si>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</si>
  <si>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</si>
  <si>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</si>
  <si>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</si>
  <si>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</si>
  <si>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</si>
  <si>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</si>
  <si>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</si>
  <si>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</si>
  <si>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</si>
  <si>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</si>
  <si>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</si>
  <si>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</si>
  <si>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</si>
  <si>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</si>
  <si>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</si>
  <si>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</si>
  <si>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</si>
  <si>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</si>
  <si>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</si>
  <si>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</si>
  <si>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</si>
  <si>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</si>
  <si>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</si>
  <si>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</si>
  <si>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</si>
  <si>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</si>
  <si>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</si>
  <si>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</si>
  <si>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</si>
  <si>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</si>
  <si>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</si>
  <si>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</si>
  <si>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</si>
  <si>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</si>
  <si>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</si>
  <si>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</si>
  <si>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</si>
  <si>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</si>
  <si>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</si>
  <si>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</si>
  <si>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</si>
  <si>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</si>
  <si>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</si>
  <si>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</si>
  <si>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</si>
  <si>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</si>
  <si>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</si>
  <si>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</si>
  <si>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</si>
  <si>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</si>
  <si>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</si>
  <si>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</si>
  <si>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</si>
  <si>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</si>
  <si>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</si>
  <si>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</si>
  <si>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</si>
  <si>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</si>
  <si>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</si>
  <si>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</si>
  <si>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</si>
  <si>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</si>
  <si>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</si>
  <si>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</si>
  <si>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</si>
  <si>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</si>
  <si>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</si>
  <si>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</si>
  <si>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</si>
  <si>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</si>
  <si>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</si>
  <si>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</si>
  <si>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</si>
  <si>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</si>
  <si>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</si>
  <si>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</si>
  <si>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</si>
  <si>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</si>
  <si>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</si>
  <si>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</si>
  <si>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</si>
  <si>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</si>
  <si>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</si>
  <si>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</si>
  <si>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</si>
  <si>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</si>
  <si>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</si>
  <si>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</si>
  <si>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</si>
  <si>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</si>
  <si>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</si>
  <si>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</si>
  <si>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</si>
  <si>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</si>
  <si>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</si>
  <si>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</si>
  <si>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</si>
  <si>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</si>
  <si>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</si>
  <si>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</si>
  <si>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</si>
  <si>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</si>
  <si>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</si>
  <si>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</si>
  <si>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</si>
  <si>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</si>
  <si>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</si>
  <si>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</si>
  <si>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</si>
  <si>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</si>
  <si>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</si>
  <si>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</si>
  <si>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</si>
  <si>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</si>
  <si>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</si>
  <si>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</si>
  <si>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</si>
  <si>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</si>
  <si>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</si>
  <si>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</si>
  <si>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</si>
  <si>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</si>
  <si>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</si>
  <si>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</si>
  <si>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</si>
  <si>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</si>
  <si>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</si>
  <si>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</si>
  <si>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</si>
  <si>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</si>
  <si>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</si>
  <si>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</si>
  <si>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</si>
  <si>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</si>
  <si>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</si>
  <si>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</si>
  <si>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</si>
  <si>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</si>
  <si>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</si>
  <si>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</si>
  <si>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</si>
  <si>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</si>
  <si>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</si>
  <si>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</si>
  <si>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</si>
  <si>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</si>
  <si>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</si>
  <si>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</si>
  <si>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</si>
  <si>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</si>
  <si>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</si>
  <si>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</si>
  <si>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</si>
  <si>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</si>
  <si>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</si>
  <si>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</si>
  <si>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</si>
  <si>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</si>
  <si>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</si>
  <si>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</si>
  <si>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</si>
  <si>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</si>
  <si>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</si>
  <si>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</si>
  <si>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</si>
  <si>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</si>
  <si>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</si>
  <si>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</si>
  <si>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</si>
  <si>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</si>
  <si>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</si>
  <si>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</si>
  <si>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</si>
  <si>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</si>
  <si>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</si>
  <si>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</si>
  <si>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</si>
  <si>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</si>
  <si>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</si>
  <si>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</si>
  <si>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</si>
  <si>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</si>
  <si>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</si>
  <si>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</si>
  <si>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</si>
  <si>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</si>
  <si>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</si>
  <si>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</si>
  <si>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</si>
  <si>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</si>
  <si>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</si>
  <si>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</si>
  <si>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</si>
  <si>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</si>
  <si>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</si>
  <si>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</si>
  <si>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</si>
  <si>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</si>
  <si>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</si>
  <si>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</si>
  <si>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</si>
  <si>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</si>
  <si>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</si>
  <si>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</si>
  <si>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</si>
  <si>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</si>
  <si>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</si>
  <si>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</si>
  <si>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</si>
  <si>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</si>
  <si>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</si>
  <si>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</si>
  <si>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</si>
  <si>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</si>
  <si>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</si>
  <si>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</si>
  <si>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</si>
  <si>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</si>
  <si>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</si>
  <si>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</si>
  <si>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</si>
  <si>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</si>
  <si>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</si>
  <si>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</si>
  <si>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</si>
  <si>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</si>
  <si>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</si>
  <si>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</si>
  <si>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</si>
  <si>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</si>
  <si>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</si>
  <si>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</si>
  <si>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</si>
  <si>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</si>
  <si>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</si>
  <si>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</si>
  <si>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</si>
  <si>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</si>
  <si>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</si>
  <si>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</si>
  <si>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</si>
  <si>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</si>
  <si>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</si>
  <si>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</si>
  <si>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</si>
  <si>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</si>
  <si>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</si>
  <si>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</si>
  <si>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</si>
  <si>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</si>
  <si>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</si>
  <si>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</si>
  <si>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</si>
  <si>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</si>
  <si>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</si>
  <si>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</si>
  <si>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</si>
  <si>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</si>
  <si>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</si>
  <si>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</si>
  <si>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</si>
  <si>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</si>
  <si>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</si>
  <si>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</si>
  <si>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</si>
  <si>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</si>
  <si>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</si>
  <si>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</si>
  <si>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</si>
  <si>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</si>
  <si>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</si>
  <si>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</si>
  <si>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</si>
  <si>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</si>
  <si>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</si>
  <si>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</si>
  <si>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</si>
  <si>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</si>
  <si>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</si>
  <si>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</si>
  <si>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</si>
  <si>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</si>
  <si>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</si>
  <si>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</si>
  <si>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</si>
  <si>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</si>
  <si>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</si>
  <si>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</si>
  <si>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</si>
  <si>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</si>
  <si>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</si>
  <si>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</si>
  <si>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</si>
  <si>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</si>
  <si>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</si>
  <si>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</si>
  <si>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</si>
  <si>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</si>
  <si>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</si>
  <si>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</si>
  <si>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</si>
  <si>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</si>
  <si>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</si>
  <si>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</si>
  <si>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</si>
  <si>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</si>
  <si>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</si>
  <si>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</si>
  <si>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</si>
  <si>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</si>
  <si>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</si>
  <si>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</si>
  <si>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</si>
  <si>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</si>
  <si>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</si>
  <si>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</si>
  <si>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</si>
  <si>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</si>
  <si>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</si>
  <si>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</si>
  <si>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</si>
  <si>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</si>
  <si>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</si>
  <si>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</si>
  <si>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</si>
  <si>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</si>
  <si>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</si>
  <si>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</si>
  <si>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</si>
  <si>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</si>
  <si>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</si>
  <si>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</si>
  <si>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</si>
  <si>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</si>
  <si>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</si>
  <si>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</si>
  <si>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</si>
  <si>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</si>
  <si>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</si>
  <si>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</si>
  <si>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</si>
  <si>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</si>
  <si>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</si>
  <si>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</si>
  <si>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</si>
  <si>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</si>
  <si>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</si>
  <si>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</si>
  <si>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</si>
  <si>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</si>
  <si>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</si>
  <si>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</si>
  <si>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</si>
  <si>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</si>
  <si>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</si>
  <si>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</si>
  <si>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</si>
  <si>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</si>
  <si>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</si>
  <si>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</si>
  <si>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</si>
  <si>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</si>
  <si>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</si>
  <si>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</si>
  <si>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</si>
  <si>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</si>
  <si>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</si>
  <si>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</si>
  <si>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</si>
  <si>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</si>
  <si>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</si>
  <si>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</si>
  <si>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</si>
  <si>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</si>
  <si>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</si>
  <si>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</si>
  <si>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</si>
  <si>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</si>
  <si>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</si>
  <si>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</si>
  <si>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</si>
  <si>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</si>
  <si>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</si>
  <si>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</si>
  <si>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</si>
  <si>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</si>
  <si>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</si>
  <si>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</si>
  <si>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</si>
  <si>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</si>
  <si>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</si>
  <si>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</si>
  <si>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</si>
  <si>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</si>
  <si>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</si>
  <si>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</si>
  <si>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</si>
  <si>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</si>
  <si>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</si>
  <si>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</si>
  <si>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</si>
  <si>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</si>
  <si>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</si>
  <si>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</si>
  <si>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</si>
  <si>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</si>
  <si>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</si>
  <si>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</si>
  <si>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</si>
  <si>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</si>
  <si>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</si>
  <si>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</si>
  <si>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</si>
  <si>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</si>
  <si>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</si>
  <si>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</si>
  <si>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</si>
  <si>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</si>
  <si>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</si>
  <si>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</si>
  <si>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</si>
  <si>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</si>
  <si>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</si>
  <si>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</si>
  <si>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</si>
  <si>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</si>
  <si>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</si>
  <si>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</si>
  <si>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</si>
  <si>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</si>
  <si>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</si>
  <si>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</si>
  <si>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</si>
  <si>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</si>
  <si>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</si>
  <si>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</si>
  <si>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</si>
  <si>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</si>
  <si>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</si>
  <si>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</si>
  <si>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</si>
  <si>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</si>
  <si>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</si>
  <si>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</si>
  <si>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</si>
  <si>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</si>
  <si>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</si>
  <si>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</si>
  <si>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</si>
  <si>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</si>
  <si>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</si>
  <si>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</si>
  <si>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</si>
  <si>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</si>
  <si>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</si>
  <si>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</si>
  <si>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</si>
  <si>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</si>
  <si>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</si>
  <si>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</si>
  <si>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</si>
  <si>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</si>
  <si>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</si>
  <si>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</si>
  <si>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</si>
  <si>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</si>
  <si>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</si>
  <si>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</si>
  <si>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</si>
  <si>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</si>
  <si>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</si>
  <si>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</si>
  <si>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</si>
  <si>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</si>
  <si>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</si>
  <si>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</si>
  <si>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</si>
  <si>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</si>
  <si>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</si>
  <si>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</si>
  <si>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</si>
  <si>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</si>
  <si>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</si>
  <si>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</si>
  <si>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</si>
  <si>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</si>
  <si>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</si>
  <si>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</si>
  <si>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</si>
  <si>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</si>
  <si>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</si>
  <si>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</si>
  <si>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</si>
  <si>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</si>
  <si>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</si>
  <si>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</si>
  <si>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</si>
  <si>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</si>
  <si>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</si>
  <si>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</si>
  <si>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</si>
  <si>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</si>
  <si>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</si>
  <si>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</si>
  <si>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</si>
  <si>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</si>
  <si>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</si>
  <si>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</si>
  <si>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</si>
  <si>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</si>
  <si>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</si>
  <si>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</si>
  <si>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</si>
  <si>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</si>
  <si>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</si>
  <si>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</si>
  <si>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</si>
  <si>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</si>
  <si>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</si>
  <si>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</si>
  <si>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</si>
  <si>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</si>
  <si>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</si>
  <si>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</si>
  <si>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</si>
  <si>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</si>
  <si>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</si>
  <si>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</si>
  <si>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</si>
  <si>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</si>
  <si>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</si>
  <si>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</si>
  <si>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</si>
  <si>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</si>
  <si>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</si>
  <si>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</si>
  <si>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</si>
  <si>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</si>
  <si>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</si>
  <si>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</si>
  <si>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</si>
  <si>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</si>
  <si>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</si>
  <si>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</si>
  <si>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</si>
  <si>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</si>
  <si>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</si>
  <si>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</si>
  <si>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</si>
  <si>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</si>
  <si>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</si>
  <si>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</si>
  <si>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</si>
  <si>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</si>
  <si>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</si>
  <si>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</si>
  <si>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</si>
  <si>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</si>
  <si>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</si>
  <si>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</si>
  <si>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</si>
  <si>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</si>
  <si>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</si>
  <si>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</si>
  <si>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</si>
  <si>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</si>
  <si>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</si>
  <si>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</si>
  <si>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</si>
  <si>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</si>
  <si>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</si>
  <si>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</si>
  <si>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</si>
  <si>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</si>
  <si>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</si>
  <si>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</si>
  <si>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</si>
  <si>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</si>
  <si>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</si>
  <si>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</si>
  <si>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</si>
  <si>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</si>
  <si>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</si>
  <si>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</si>
  <si>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</si>
  <si>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</si>
  <si>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</si>
  <si>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</si>
  <si>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</si>
  <si>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</si>
  <si>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</si>
  <si>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</si>
  <si>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</si>
  <si>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</si>
  <si>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</si>
  <si>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</si>
  <si>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</si>
  <si>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</si>
  <si>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</si>
  <si>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</si>
  <si>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</si>
  <si>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</si>
  <si>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</si>
  <si>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</si>
  <si>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</si>
  <si>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</si>
  <si>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</si>
  <si>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</si>
  <si>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</si>
  <si>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</si>
  <si>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</si>
  <si>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</si>
  <si>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</si>
  <si>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</si>
  <si>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</si>
  <si>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</si>
  <si>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</si>
  <si>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</si>
  <si>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</si>
  <si>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</si>
  <si>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</si>
  <si>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</si>
  <si>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</si>
  <si>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</si>
  <si>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</si>
  <si>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</si>
  <si>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</si>
  <si>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</si>
  <si>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</si>
  <si>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</si>
  <si>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</si>
  <si>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</si>
  <si>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</si>
  <si>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</si>
  <si>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</si>
  <si>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</si>
  <si>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</si>
  <si>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</si>
  <si>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</si>
  <si>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</si>
  <si>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</si>
  <si>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</si>
  <si>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</si>
  <si>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</si>
  <si>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</si>
  <si>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</si>
  <si>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</si>
  <si>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</si>
  <si>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</si>
  <si>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</si>
  <si>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</si>
  <si>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</si>
  <si>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</si>
  <si>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</si>
  <si>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</si>
  <si>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</si>
  <si>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</si>
  <si>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</si>
  <si>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</si>
  <si>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</si>
  <si>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</si>
  <si>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</si>
  <si>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</si>
  <si>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</si>
  <si>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</si>
  <si>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</si>
  <si>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</si>
  <si>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</si>
  <si>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</si>
  <si>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</si>
  <si>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</si>
  <si>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</si>
  <si>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</si>
  <si>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</si>
  <si>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</si>
  <si>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</si>
  <si>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</si>
  <si>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</si>
  <si>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</si>
  <si>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</si>
  <si>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</si>
  <si>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</si>
  <si>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</si>
  <si>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</si>
  <si>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</si>
  <si>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</si>
  <si>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</si>
  <si>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</si>
  <si>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</si>
  <si>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</si>
  <si>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</si>
  <si>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</si>
  <si>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</si>
  <si>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</si>
  <si>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</si>
  <si>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</si>
  <si>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</si>
  <si>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</si>
  <si>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</si>
  <si>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</si>
  <si>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</si>
  <si>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</si>
  <si>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</si>
  <si>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</si>
  <si>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</si>
  <si>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</si>
  <si>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</si>
  <si>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</si>
  <si>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</si>
  <si>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</si>
  <si>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</si>
  <si>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</si>
  <si>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</si>
  <si>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</si>
  <si>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</si>
  <si>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</si>
  <si>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</si>
  <si>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</si>
  <si>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</si>
  <si>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</si>
  <si>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</si>
  <si>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</si>
  <si>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</si>
  <si>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</si>
  <si>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</si>
  <si>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</si>
  <si>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</si>
  <si>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</si>
  <si>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</si>
  <si>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</si>
  <si>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</si>
  <si>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</si>
  <si>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</si>
  <si>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</si>
  <si>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</si>
  <si>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</si>
  <si>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</si>
  <si>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</si>
  <si>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</si>
  <si>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</si>
  <si>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</si>
  <si>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</si>
  <si>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</si>
  <si>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</si>
  <si>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</si>
  <si>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</si>
  <si>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</si>
  <si>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</si>
  <si>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</si>
  <si>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</si>
  <si>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</si>
  <si>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</si>
  <si>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</si>
  <si>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</si>
  <si>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</si>
  <si>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</si>
  <si>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</si>
  <si>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</si>
  <si>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</si>
  <si>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</si>
  <si>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</si>
  <si>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</si>
  <si>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</si>
  <si>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</si>
  <si>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</si>
  <si>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</si>
  <si>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</si>
  <si>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</si>
  <si>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</si>
  <si>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</si>
  <si>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</si>
  <si>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</si>
  <si>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</si>
  <si>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</si>
  <si>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</si>
  <si>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</si>
  <si>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</si>
  <si>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</si>
  <si>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</si>
  <si>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</si>
  <si>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</si>
  <si>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</si>
  <si>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</si>
  <si>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</si>
  <si>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</si>
  <si>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</si>
  <si>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</si>
  <si>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</si>
  <si>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</si>
  <si>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</si>
  <si>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</si>
  <si>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</si>
  <si>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</si>
  <si>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</si>
  <si>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</si>
  <si>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</si>
  <si>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</si>
  <si>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</si>
  <si>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</si>
  <si>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</si>
  <si>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</si>
  <si>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</si>
  <si>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</si>
  <si>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</si>
  <si>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</si>
  <si>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</si>
  <si>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</si>
  <si>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</si>
  <si>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</si>
  <si>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</si>
  <si>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</si>
  <si>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</si>
  <si>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</si>
  <si>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</si>
  <si>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</si>
  <si>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</si>
  <si>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</si>
  <si>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</si>
  <si>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</si>
  <si>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</si>
  <si>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</si>
  <si>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</si>
  <si>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</si>
  <si>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</si>
  <si>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</si>
  <si>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</si>
  <si>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</si>
  <si>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</si>
  <si>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</si>
  <si>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</si>
  <si>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</si>
  <si>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</si>
  <si>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</si>
  <si>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</si>
  <si>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</si>
  <si>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</si>
  <si>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</si>
  <si>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</si>
  <si>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</si>
  <si>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</si>
  <si>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</si>
  <si>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</si>
  <si>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</si>
  <si>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</si>
  <si>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</si>
  <si>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</si>
  <si>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</si>
  <si>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</si>
  <si>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</si>
  <si>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</si>
  <si>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</si>
  <si>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</si>
  <si>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</si>
  <si>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</si>
  <si>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</si>
  <si>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</si>
  <si>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</si>
  <si>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</si>
  <si>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</si>
  <si>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</si>
  <si>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</si>
  <si>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</si>
  <si>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</si>
  <si>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</si>
  <si>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</si>
  <si>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</si>
  <si>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</si>
  <si>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</si>
  <si>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</si>
  <si>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</si>
  <si>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</si>
  <si>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</si>
  <si>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</si>
  <si>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</si>
  <si>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</si>
  <si>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</si>
  <si>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</si>
  <si>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</si>
  <si>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</si>
  <si>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</si>
  <si>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</si>
  <si>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</si>
  <si>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</si>
  <si>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</si>
  <si>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</si>
  <si>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</si>
  <si>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</si>
  <si>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</si>
  <si>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</si>
  <si>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</si>
  <si>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</si>
  <si>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</si>
  <si>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</si>
  <si>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</si>
  <si>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</si>
  <si>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</si>
  <si>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</si>
  <si>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</si>
  <si>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</si>
  <si>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</si>
  <si>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</si>
  <si>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</si>
  <si>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</si>
  <si>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</si>
  <si>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</si>
  <si>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</si>
  <si>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</si>
  <si>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</si>
  <si>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</si>
  <si>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</si>
  <si>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</si>
  <si>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</si>
  <si>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</si>
  <si>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</si>
  <si>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</si>
  <si>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</si>
  <si>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</si>
  <si>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</si>
  <si>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</si>
  <si>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</si>
  <si>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</si>
  <si>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</si>
  <si>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</si>
  <si>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</si>
  <si>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</si>
  <si>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</si>
  <si>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</si>
  <si>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</si>
  <si>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</si>
  <si>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</si>
  <si>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</si>
  <si>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</si>
  <si>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</si>
  <si>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</si>
  <si>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</si>
  <si>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</si>
  <si>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</si>
  <si>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</si>
  <si>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</si>
  <si>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</si>
  <si>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</si>
  <si>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</si>
  <si>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</si>
  <si>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</si>
  <si>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</si>
  <si>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</si>
  <si>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</si>
  <si>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</si>
  <si>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</si>
  <si>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</si>
  <si>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</si>
  <si>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</si>
  <si>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</si>
  <si>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</si>
  <si>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</si>
  <si>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</si>
  <si>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</si>
  <si>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</si>
  <si>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</si>
  <si>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</si>
  <si>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</si>
  <si>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</si>
  <si>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</si>
  <si>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</si>
  <si>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</si>
  <si>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</si>
  <si>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</si>
  <si>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</si>
  <si>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</si>
  <si>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</si>
  <si>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</si>
  <si>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</si>
  <si>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</si>
  <si>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</si>
  <si>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</si>
  <si>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</si>
  <si>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</si>
  <si>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</si>
  <si>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</si>
  <si>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</si>
  <si>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</si>
  <si>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</si>
  <si>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</si>
  <si>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</si>
  <si>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</si>
  <si>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</si>
  <si>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</si>
  <si>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</si>
  <si>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</si>
  <si>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</si>
  <si>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</si>
  <si>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</si>
  <si>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</si>
  <si>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</si>
  <si>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</si>
  <si>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</si>
  <si>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</si>
  <si>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</si>
  <si>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</si>
  <si>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</si>
  <si>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</si>
  <si>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</si>
  <si>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</si>
  <si>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</si>
  <si>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</si>
  <si>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</si>
  <si>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</si>
  <si>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</si>
  <si>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</si>
  <si>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</si>
  <si>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</si>
  <si>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</si>
  <si>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</si>
  <si>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</si>
  <si>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</si>
  <si>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</si>
  <si>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</si>
  <si>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</si>
  <si>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</si>
  <si>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</si>
  <si>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</si>
  <si>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</si>
  <si>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</si>
  <si>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</si>
  <si>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</si>
  <si>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</si>
  <si>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</si>
  <si>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</si>
  <si>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</si>
  <si>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</si>
  <si>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</si>
  <si>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</si>
  <si>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</si>
  <si>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</si>
  <si>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</si>
  <si>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</si>
  <si>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</si>
  <si>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</si>
  <si>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</si>
  <si>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</si>
  <si>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</si>
  <si>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</si>
  <si>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</si>
  <si>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</si>
  <si>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</si>
  <si>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</si>
  <si>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</si>
  <si>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</si>
  <si>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</si>
  <si>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</si>
  <si>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</si>
  <si>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</si>
  <si>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</si>
  <si>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</si>
  <si>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</si>
  <si>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</si>
  <si>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</si>
  <si>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</si>
  <si>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</si>
  <si>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</si>
  <si>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</si>
  <si>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</si>
  <si>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</si>
  <si>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</si>
  <si>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</si>
  <si>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</si>
  <si>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</si>
  <si>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</si>
  <si>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</si>
  <si>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</si>
  <si>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</si>
  <si>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</si>
  <si>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</si>
  <si>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</si>
  <si>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</si>
  <si>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</si>
  <si>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</si>
  <si>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</si>
  <si>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</si>
  <si>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</si>
  <si>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</si>
  <si>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</si>
  <si>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</si>
  <si>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</si>
  <si>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</si>
  <si>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</si>
  <si>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</si>
  <si>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</si>
  <si>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</si>
  <si>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</si>
  <si>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</si>
  <si>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</si>
  <si>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</si>
  <si>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</si>
  <si>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</si>
  <si>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</si>
  <si>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</si>
  <si>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</si>
  <si>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</si>
  <si>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</si>
  <si>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</si>
  <si>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</si>
  <si>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</si>
  <si>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</si>
  <si>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</si>
  <si>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</si>
  <si>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</si>
  <si>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</si>
  <si>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</si>
  <si>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</si>
  <si>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</si>
  <si>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</si>
  <si>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</si>
  <si>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</si>
  <si>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</si>
  <si>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</si>
  <si>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</si>
  <si>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</si>
  <si>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</si>
  <si>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</si>
  <si>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</si>
  <si>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</si>
  <si>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</si>
  <si>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</si>
  <si>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</si>
  <si>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</si>
  <si>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</si>
  <si>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</si>
  <si>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</si>
  <si>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</si>
  <si>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</si>
  <si>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</si>
  <si>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</si>
  <si>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</si>
  <si>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</si>
  <si>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</si>
  <si>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</si>
  <si>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</si>
  <si>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</si>
  <si>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</si>
  <si>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</si>
  <si>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</si>
  <si>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</si>
  <si>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</si>
  <si>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</si>
  <si>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</si>
  <si>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</si>
  <si>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</si>
  <si>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</si>
  <si>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</si>
  <si>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</si>
  <si>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</si>
  <si>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</si>
  <si>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</si>
  <si>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</si>
  <si>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</si>
  <si>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</si>
  <si>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</si>
  <si>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</si>
  <si>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</si>
  <si>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</si>
  <si>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</si>
  <si>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</si>
  <si>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</si>
  <si>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</si>
  <si>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</si>
  <si>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</si>
  <si>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</si>
  <si>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</si>
  <si>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</si>
  <si>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</si>
  <si>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</si>
  <si>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</si>
  <si>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</si>
  <si>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</si>
  <si>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</si>
  <si>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</si>
  <si>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</si>
  <si>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</si>
  <si>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</si>
  <si>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</si>
  <si>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</si>
  <si>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</si>
  <si>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</si>
  <si>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</si>
  <si>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</si>
  <si>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</si>
  <si>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</si>
  <si>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</si>
  <si>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</si>
  <si>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</si>
  <si>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</si>
  <si>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</si>
  <si>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</si>
  <si>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</si>
  <si>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</si>
  <si>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</si>
  <si>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</si>
  <si>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</si>
  <si>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</si>
  <si>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</si>
  <si>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</si>
  <si>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</si>
  <si>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</si>
  <si>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</si>
  <si>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</si>
  <si>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</si>
  <si>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</si>
  <si>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</si>
  <si>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</si>
  <si>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</si>
  <si>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</si>
  <si>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</si>
  <si>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</si>
  <si>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</si>
  <si>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</si>
  <si>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</si>
  <si>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</si>
  <si>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</si>
  <si>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</si>
  <si>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</si>
  <si>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</si>
  <si>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</si>
  <si>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</si>
  <si>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</si>
  <si>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</si>
  <si>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</si>
  <si>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</si>
  <si>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</si>
  <si>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</si>
  <si>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</si>
  <si>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</si>
  <si>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</si>
  <si>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</si>
  <si>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</si>
  <si>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</si>
  <si>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</si>
  <si>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</si>
  <si>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</si>
  <si>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</si>
  <si>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</si>
  <si>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</si>
  <si>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</si>
  <si>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</si>
  <si>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</si>
  <si>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</si>
  <si>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</si>
  <si>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</si>
  <si>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</si>
  <si>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</si>
  <si>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</si>
  <si>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</si>
  <si>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</si>
  <si>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</si>
  <si>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</si>
  <si>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</si>
  <si>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</si>
  <si>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</si>
  <si>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</si>
  <si>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</si>
  <si>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</si>
  <si>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</si>
  <si>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</si>
  <si>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</si>
  <si>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</si>
  <si>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</si>
  <si>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</si>
  <si>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</si>
  <si>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</si>
  <si>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</si>
  <si>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</si>
  <si>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</si>
  <si>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</si>
  <si>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</si>
  <si>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</si>
  <si>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</si>
  <si>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</si>
  <si>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</si>
  <si>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</si>
  <si>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</si>
  <si>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</si>
  <si>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</si>
  <si>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</si>
  <si>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</si>
  <si>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</si>
  <si>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</si>
  <si>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</si>
  <si>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</si>
  <si>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</si>
  <si>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</si>
  <si>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</si>
  <si>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</si>
  <si>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</si>
  <si>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</si>
  <si>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</si>
  <si>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</si>
  <si>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</si>
  <si>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</si>
  <si>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</si>
  <si>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</si>
  <si>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</si>
  <si>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</si>
  <si>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</si>
  <si>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</si>
  <si>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</si>
  <si>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</si>
  <si>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</si>
  <si>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</si>
  <si>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</si>
  <si>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</si>
  <si>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</si>
  <si>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</si>
  <si>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</si>
  <si>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</si>
  <si>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</si>
  <si>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</si>
  <si>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</si>
  <si>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</si>
  <si>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</si>
  <si>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</si>
  <si>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</si>
  <si>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</si>
  <si>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</si>
  <si>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</si>
  <si>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</si>
  <si>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</si>
  <si>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</si>
  <si>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</si>
  <si>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</si>
  <si>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</si>
  <si>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</si>
  <si>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</si>
  <si>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</si>
  <si>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</si>
  <si>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</si>
  <si>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</si>
  <si>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</si>
  <si>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</si>
  <si>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</si>
  <si>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</si>
  <si>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</si>
  <si>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</si>
  <si>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</si>
  <si>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</si>
  <si>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</si>
  <si>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</si>
  <si>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</si>
  <si>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</si>
  <si>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</si>
  <si>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</si>
  <si>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</si>
  <si>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</si>
  <si>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</si>
  <si>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</si>
  <si>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</si>
  <si>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</si>
  <si>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</si>
  <si>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</si>
  <si>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</si>
  <si>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</si>
  <si>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</si>
  <si>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</si>
  <si>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</si>
  <si>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</si>
  <si>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</si>
  <si>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</si>
  <si>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</si>
  <si>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</si>
  <si>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</si>
  <si>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</si>
  <si>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</si>
  <si>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</si>
  <si>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</si>
  <si>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</si>
  <si>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</si>
  <si>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</si>
  <si>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</si>
  <si>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</si>
  <si>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</si>
  <si>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</si>
  <si>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</si>
  <si>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</si>
  <si>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</si>
  <si>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</si>
  <si>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</si>
  <si>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</si>
  <si>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</si>
  <si>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</si>
  <si>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</si>
  <si>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</si>
  <si>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</si>
  <si>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</si>
  <si>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</si>
  <si>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</si>
  <si>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</si>
  <si>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</si>
  <si>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</si>
  <si>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</si>
  <si>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</si>
  <si>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</si>
  <si>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</si>
  <si>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</si>
  <si>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</si>
  <si>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</si>
  <si>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</si>
  <si>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</si>
  <si>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</si>
  <si>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</si>
  <si>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</si>
  <si>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</si>
  <si>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</si>
  <si>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</si>
  <si>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</si>
  <si>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</si>
  <si>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</si>
  <si>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</si>
  <si>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</si>
  <si>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</si>
  <si>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</si>
  <si>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</si>
  <si>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</si>
  <si>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</si>
  <si>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</si>
  <si>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</si>
  <si>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</si>
  <si>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</si>
  <si>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</si>
  <si>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</si>
  <si>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</si>
  <si>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</si>
  <si>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</si>
  <si>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</si>
  <si>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</si>
  <si>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</si>
  <si>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</si>
  <si>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</si>
  <si>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</si>
  <si>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</si>
  <si>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</si>
  <si>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</si>
  <si>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</si>
  <si>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</si>
  <si>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</si>
  <si>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</si>
  <si>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</si>
  <si>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</si>
  <si>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</si>
  <si>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</si>
  <si>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</si>
  <si>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</si>
  <si>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</si>
  <si>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</si>
  <si>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</si>
  <si>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</si>
  <si>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</si>
  <si>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</si>
  <si>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</si>
  <si>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</si>
  <si>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</si>
  <si>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</si>
  <si>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</si>
  <si>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</si>
  <si>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</si>
  <si>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</si>
  <si>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</si>
  <si>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</si>
  <si>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</si>
  <si>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</si>
  <si>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</si>
  <si>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</si>
  <si>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</si>
  <si>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</si>
  <si>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</si>
  <si>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</si>
  <si>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</si>
  <si>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</si>
  <si>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</si>
  <si>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</si>
  <si>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</si>
  <si>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</si>
  <si>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</si>
  <si>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</si>
  <si>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</si>
  <si>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</si>
  <si>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</si>
  <si>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</si>
  <si>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</si>
  <si>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</si>
  <si>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</si>
  <si>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</si>
  <si>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</si>
  <si>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</si>
  <si>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</si>
  <si>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</si>
  <si>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</si>
  <si>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</si>
  <si>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</si>
  <si>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</si>
  <si>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</si>
  <si>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</si>
  <si>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</si>
  <si>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</si>
  <si>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</si>
  <si>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</si>
  <si>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</si>
  <si>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</si>
  <si>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</si>
  <si>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</si>
  <si>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</si>
  <si>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</si>
  <si>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</si>
  <si>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</si>
  <si>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</si>
  <si>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</si>
  <si>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</si>
  <si>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</si>
  <si>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</si>
  <si>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</si>
  <si>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</si>
  <si>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</si>
  <si>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</si>
  <si>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</si>
  <si>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</si>
  <si>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</si>
  <si>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</si>
  <si>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</si>
  <si>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</si>
  <si>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</si>
  <si>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</si>
  <si>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</si>
  <si>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</si>
  <si>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</si>
  <si>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</si>
  <si>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</si>
  <si>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</si>
  <si>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</si>
  <si>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</si>
  <si>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</si>
  <si>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</si>
  <si>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</si>
  <si>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</si>
  <si>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</si>
  <si>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</si>
  <si>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</si>
  <si>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</si>
  <si>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</si>
  <si>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</si>
  <si>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</si>
  <si>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</si>
  <si>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</si>
  <si>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</si>
  <si>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</si>
  <si>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</si>
  <si>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</si>
  <si>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</si>
  <si>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</si>
  <si>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</si>
  <si>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</si>
  <si>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</si>
  <si>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</si>
  <si>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</si>
  <si>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</si>
  <si>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</si>
  <si>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</si>
  <si>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</si>
  <si>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</si>
  <si>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</si>
  <si>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</si>
  <si>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</si>
  <si>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</si>
  <si>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</si>
  <si>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</si>
  <si>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</si>
  <si>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</si>
  <si>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</si>
  <si>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</si>
  <si>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</si>
  <si>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</si>
  <si>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</si>
  <si>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</si>
  <si>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</si>
  <si>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</si>
  <si>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</si>
  <si>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</si>
  <si>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</si>
  <si>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</si>
  <si>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</si>
  <si>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</si>
  <si>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</si>
  <si>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</si>
  <si>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</si>
  <si>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</si>
  <si>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</si>
  <si>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</si>
  <si>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</si>
  <si>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</si>
  <si>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</si>
  <si>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</si>
  <si>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</si>
  <si>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</si>
  <si>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</si>
  <si>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</si>
  <si>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</si>
  <si>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</si>
  <si>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</si>
  <si>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</si>
  <si>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</si>
  <si>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</si>
  <si>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</si>
  <si>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</si>
  <si>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</si>
  <si>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</si>
  <si>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</si>
  <si>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</si>
  <si>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</si>
  <si>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</si>
  <si>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</si>
  <si>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</si>
  <si>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</si>
  <si>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</si>
  <si>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</si>
  <si>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</si>
  <si>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</si>
  <si>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</si>
  <si>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</si>
  <si>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</si>
  <si>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</si>
  <si>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</si>
  <si>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</si>
  <si>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</si>
  <si>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</si>
  <si>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</si>
  <si>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</si>
  <si>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</si>
  <si>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</si>
  <si>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</si>
  <si>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</si>
  <si>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</si>
  <si>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</si>
  <si>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</si>
  <si>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</si>
  <si>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</si>
  <si>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</si>
  <si>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</si>
  <si>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</si>
  <si>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</si>
  <si>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</si>
  <si>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</si>
  <si>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</si>
  <si>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</si>
  <si>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</si>
  <si>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</si>
  <si>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</si>
  <si>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</si>
  <si>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</si>
  <si>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</si>
  <si>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</si>
  <si>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</si>
  <si>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</si>
  <si>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</si>
  <si>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</si>
  <si>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</si>
  <si>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</si>
  <si>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</si>
  <si>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</si>
  <si>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</si>
  <si>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</si>
  <si>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</si>
  <si>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</si>
  <si>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</si>
  <si>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</si>
  <si>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</si>
  <si>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</si>
  <si>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</si>
  <si>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</si>
  <si>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</si>
  <si>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</si>
  <si>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</si>
  <si>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</si>
  <si>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</si>
  <si>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</si>
  <si>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</si>
  <si>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</si>
  <si>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</si>
  <si>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</si>
  <si>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</si>
  <si>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</si>
  <si>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</si>
  <si>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</si>
  <si>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</si>
  <si>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</si>
  <si>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</si>
  <si>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</si>
  <si>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</si>
  <si>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</si>
  <si>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</si>
  <si>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</si>
  <si>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</si>
  <si>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</si>
  <si>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</si>
  <si>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</si>
  <si>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</si>
  <si>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</si>
  <si>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</si>
  <si>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</si>
  <si>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</si>
  <si>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</si>
  <si>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</si>
  <si>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</si>
  <si>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</si>
  <si>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</si>
  <si>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</si>
  <si>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</si>
  <si>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</si>
  <si>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</si>
  <si>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</si>
  <si>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</si>
  <si>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</si>
  <si>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</si>
  <si>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</si>
  <si>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</si>
  <si>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</si>
  <si>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</si>
  <si>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</si>
  <si>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</si>
  <si>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</si>
  <si>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</si>
  <si>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</si>
  <si>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</si>
  <si>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</si>
  <si>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</si>
  <si>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</si>
  <si>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</si>
  <si>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</si>
  <si>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</si>
  <si>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</si>
  <si>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</si>
  <si>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</si>
  <si>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</si>
  <si>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</si>
  <si>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</si>
  <si>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</si>
  <si>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</si>
  <si>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</si>
  <si>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</si>
  <si>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</si>
  <si>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</si>
  <si>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</si>
  <si>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</si>
  <si>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</si>
  <si>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</si>
  <si>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</si>
  <si>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</si>
  <si>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</si>
  <si>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</si>
  <si>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</si>
  <si>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</si>
  <si>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</si>
  <si>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</si>
  <si>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</si>
  <si>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</si>
  <si>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</si>
  <si>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</si>
  <si>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</si>
  <si>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</si>
  <si>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</si>
  <si>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</si>
  <si>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</si>
  <si>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</si>
  <si>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</si>
  <si>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</si>
  <si>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</si>
  <si>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</si>
  <si>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</si>
  <si>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</si>
  <si>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</si>
  <si>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</si>
  <si>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</si>
  <si>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</si>
  <si>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</si>
  <si>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</si>
  <si>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</si>
  <si>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</si>
  <si>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</si>
  <si>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</si>
  <si>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</si>
  <si>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</si>
  <si>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</si>
  <si>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</si>
  <si>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</si>
  <si>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</si>
  <si>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</si>
  <si>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</si>
  <si>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</si>
  <si>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</si>
  <si>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</si>
  <si>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</si>
  <si>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</si>
  <si>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</si>
  <si>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</si>
  <si>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</si>
  <si>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</si>
  <si>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</si>
  <si>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</si>
  <si>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</si>
  <si>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</si>
  <si>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</si>
  <si>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</si>
  <si>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</si>
  <si>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</si>
  <si>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</si>
  <si>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</si>
  <si>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</si>
  <si>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</si>
  <si>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</si>
  <si>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</si>
  <si>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</si>
  <si>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</si>
  <si>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</si>
  <si>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</si>
  <si>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</si>
  <si>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</si>
  <si>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</si>
  <si>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</si>
  <si>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</si>
  <si>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</si>
  <si>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</si>
  <si>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</si>
  <si>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</si>
  <si>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</si>
  <si>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</si>
  <si>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</si>
  <si>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</si>
  <si>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</si>
  <si>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</si>
  <si>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</si>
  <si>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</si>
  <si>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</si>
  <si>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</si>
  <si>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</si>
  <si>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</si>
  <si>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</si>
  <si>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</si>
  <si>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</si>
  <si>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</si>
  <si>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</si>
  <si>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</si>
  <si>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</si>
  <si>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</si>
  <si>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</si>
  <si>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</si>
  <si>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</si>
  <si>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</si>
  <si>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</si>
  <si>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</si>
  <si>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</si>
  <si>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</si>
  <si>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</si>
  <si>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</si>
  <si>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</si>
  <si>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</si>
  <si>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</si>
  <si>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</si>
  <si>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</si>
  <si>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</si>
  <si>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</si>
  <si>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</si>
  <si>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</si>
  <si>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</si>
  <si>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</si>
  <si>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</si>
  <si>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</si>
  <si>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</si>
  <si>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</si>
  <si>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</si>
  <si>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</si>
  <si>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</si>
  <si>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</si>
  <si>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</si>
  <si>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</si>
  <si>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</si>
  <si>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</si>
  <si>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</si>
  <si>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</si>
  <si>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</si>
  <si>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</si>
  <si>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</si>
  <si>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</si>
  <si>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</si>
  <si>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</si>
  <si>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</si>
  <si>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</si>
  <si>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</si>
  <si>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</si>
  <si>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</si>
  <si>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</si>
  <si>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</si>
  <si>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</si>
  <si>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</si>
  <si>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</si>
  <si>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</si>
  <si>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</si>
  <si>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</si>
  <si>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</si>
  <si>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</si>
  <si>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</si>
  <si>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</si>
  <si>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</si>
  <si>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</si>
  <si>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</si>
  <si>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</si>
  <si>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</si>
  <si>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</si>
  <si>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</si>
  <si>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</si>
  <si>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</si>
  <si>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</si>
  <si>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</si>
  <si>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</si>
  <si>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</si>
  <si>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</si>
  <si>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</si>
  <si>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</si>
  <si>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</si>
  <si>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</si>
  <si>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</si>
  <si>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</si>
  <si>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</si>
  <si>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</si>
  <si>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</si>
  <si>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</si>
  <si>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</si>
  <si>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</si>
  <si>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</si>
  <si>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</si>
  <si>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</si>
  <si>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</si>
  <si>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</si>
  <si>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</si>
  <si>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</si>
  <si>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</si>
  <si>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</si>
  <si>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</si>
  <si>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</si>
  <si>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</si>
  <si>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</si>
  <si>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</si>
  <si>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</si>
  <si>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</si>
  <si>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</si>
  <si>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</si>
  <si>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</si>
  <si>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</si>
  <si>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</si>
  <si>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</si>
  <si>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</si>
  <si>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</si>
  <si>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</si>
  <si>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</si>
  <si>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</si>
  <si>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</si>
  <si>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</si>
  <si>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</si>
  <si>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</si>
  <si>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</si>
  <si>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</si>
  <si>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</si>
  <si>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</si>
  <si>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</si>
  <si>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</si>
  <si>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</si>
  <si>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</si>
  <si>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</si>
  <si>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</si>
  <si>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</si>
  <si>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</si>
  <si>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</si>
  <si>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</si>
  <si>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</si>
  <si>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</si>
  <si>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</si>
  <si>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</si>
  <si>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</si>
  <si>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</si>
  <si>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</si>
  <si>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</si>
  <si>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</si>
  <si>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</si>
  <si>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</si>
  <si>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</si>
  <si>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</si>
  <si>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</si>
  <si>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</si>
  <si>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</si>
  <si>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</si>
  <si>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</si>
  <si>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</si>
  <si>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</si>
  <si>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</si>
  <si>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</si>
  <si>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</si>
  <si>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</si>
  <si>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</si>
  <si>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</si>
  <si>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</si>
  <si>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</si>
  <si>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</si>
  <si>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</si>
  <si>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</si>
  <si>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</si>
  <si>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</si>
  <si>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</si>
  <si>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</si>
  <si>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</si>
  <si>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</si>
  <si>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</si>
  <si>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</si>
  <si>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</si>
  <si>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</si>
  <si>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</si>
  <si>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</si>
  <si>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</si>
  <si>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</si>
  <si>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</si>
  <si>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</si>
  <si>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</si>
  <si>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</si>
  <si>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</si>
  <si>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</si>
  <si>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</si>
  <si>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</si>
  <si>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</si>
  <si>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</si>
  <si>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</si>
  <si>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</si>
  <si>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</si>
  <si>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</si>
  <si>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</si>
  <si>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</si>
  <si>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</si>
  <si>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</si>
  <si>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</si>
  <si>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</si>
  <si>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</si>
  <si>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</si>
  <si>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</si>
  <si>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</si>
  <si>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</si>
  <si>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</si>
  <si>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</si>
  <si>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</si>
  <si>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</si>
  <si>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</si>
  <si>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</si>
  <si>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</si>
  <si>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</si>
  <si>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</si>
  <si>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</si>
  <si>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</si>
  <si>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</si>
  <si>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</si>
  <si>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</si>
  <si>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</si>
  <si>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</si>
  <si>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HS-TEV C10(24M)+MOD DATE  02 OCT. 2026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</si>
  <si>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</si>
  <si>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</si>
  <si>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</si>
  <si>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</si>
  <si>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</si>
  <si>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</si>
  <si>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</si>
  <si>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</si>
  <si>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</si>
  <si>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</si>
  <si>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</si>
  <si>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</si>
  <si>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</si>
  <si>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</si>
  <si>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</si>
  <si>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</si>
  <si>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</si>
  <si>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</si>
  <si>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</si>
  <si>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</si>
  <si>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</si>
  <si>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</si>
  <si>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</si>
  <si>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</si>
  <si>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</si>
  <si>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</si>
  <si>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</si>
  <si>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</si>
  <si>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</si>
  <si>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</si>
  <si>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</si>
  <si>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</si>
  <si>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</si>
  <si>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</si>
  <si>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</si>
  <si>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</si>
  <si>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</si>
  <si>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</si>
  <si>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</si>
  <si>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</si>
  <si>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</si>
  <si>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</si>
  <si>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</si>
  <si>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</si>
  <si>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</si>
  <si>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</si>
  <si>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</si>
  <si>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</si>
  <si>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</si>
  <si>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</si>
  <si>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</si>
  <si>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</si>
  <si>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</si>
  <si>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</si>
  <si>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</si>
  <si>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</si>
  <si>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</si>
  <si>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</si>
  <si>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</si>
  <si>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</si>
  <si>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</si>
  <si>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</si>
  <si>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</si>
  <si>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</si>
  <si>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</si>
  <si>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</si>
  <si>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</si>
  <si>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</si>
  <si>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</si>
  <si>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</si>
  <si>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</si>
  <si>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</si>
  <si>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</si>
  <si>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</si>
  <si>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</si>
  <si>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</si>
  <si>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</si>
  <si>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</si>
  <si>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</si>
  <si>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</si>
  <si>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</si>
  <si>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</si>
  <si>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</si>
  <si>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</si>
  <si>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</si>
  <si>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</si>
  <si>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</si>
  <si>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</si>
  <si>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</si>
  <si>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</si>
  <si>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</si>
  <si>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</si>
  <si>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</si>
  <si>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</si>
  <si>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</si>
  <si>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</si>
  <si>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</si>
  <si>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</si>
  <si>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</si>
  <si>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</si>
  <si>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</si>
  <si>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</si>
  <si>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</si>
  <si>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</si>
  <si>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</si>
  <si>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</si>
  <si>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</si>
  <si>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</si>
  <si>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</si>
  <si>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</si>
  <si>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</si>
  <si>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</si>
  <si>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</si>
  <si>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</si>
  <si>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</si>
  <si>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</si>
  <si>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</si>
  <si>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</si>
  <si>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</si>
  <si>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</si>
  <si>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</si>
  <si>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</si>
  <si>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</si>
  <si>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</si>
  <si>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</si>
  <si>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</si>
  <si>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</si>
  <si>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</si>
  <si>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</si>
  <si>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</si>
  <si>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</si>
  <si>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</si>
  <si>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</si>
  <si>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</si>
  <si>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</si>
  <si>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</si>
  <si>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</si>
  <si>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</si>
  <si>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</si>
  <si>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</si>
  <si>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</si>
  <si>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</si>
  <si>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</si>
  <si>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</si>
  <si>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</si>
  <si>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</si>
  <si>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</si>
  <si>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</si>
  <si>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</si>
  <si>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</si>
  <si>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</si>
  <si>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</si>
  <si>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</si>
  <si>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</si>
  <si>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</si>
  <si>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</si>
  <si>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</si>
  <si>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</si>
  <si>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</si>
  <si>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</si>
  <si>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</si>
  <si>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</si>
  <si>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</si>
  <si>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</si>
  <si>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</si>
  <si>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</si>
  <si>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</si>
  <si>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</si>
  <si>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</si>
  <si>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</si>
  <si>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</si>
  <si>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</si>
  <si>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</si>
  <si>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</si>
  <si>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</si>
  <si>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</si>
  <si>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</si>
  <si>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</si>
  <si>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</si>
  <si>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</si>
  <si>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</si>
  <si>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</si>
  <si>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</si>
  <si>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</si>
  <si>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</si>
  <si>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</si>
  <si>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</si>
  <si>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</si>
  <si>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</si>
  <si>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</si>
  <si>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</si>
  <si>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</si>
  <si>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</si>
  <si>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</si>
  <si>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</si>
  <si>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</si>
  <si>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</si>
  <si>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</si>
  <si>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</si>
  <si>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</si>
  <si>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</si>
  <si>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</si>
  <si>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</si>
  <si>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</si>
  <si>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</si>
  <si>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</si>
  <si>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</si>
  <si>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</si>
  <si>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</si>
  <si>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</si>
  <si>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</si>
  <si>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</si>
  <si>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</si>
  <si>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</si>
  <si>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</si>
  <si>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</si>
  <si>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</si>
  <si>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</si>
  <si>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</si>
  <si>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</si>
  <si>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</si>
  <si>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</si>
  <si>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</si>
  <si>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</si>
  <si>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</si>
  <si>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</si>
  <si>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</si>
  <si>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</si>
  <si>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</si>
  <si>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</si>
  <si>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</si>
  <si>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</si>
  <si>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</si>
  <si>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</si>
  <si>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</si>
  <si>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</si>
  <si>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</si>
  <si>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</si>
  <si>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</si>
  <si>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</si>
  <si>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</si>
  <si>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</si>
  <si>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</si>
  <si>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</si>
  <si>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</si>
  <si>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</si>
  <si>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</si>
  <si>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</si>
  <si>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</si>
  <si>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</si>
  <si>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</si>
  <si>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</si>
  <si>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</si>
  <si>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</si>
  <si>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</si>
  <si>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</si>
  <si>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</si>
  <si>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</si>
  <si>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</si>
  <si>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</si>
  <si>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</si>
  <si>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</si>
  <si>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</si>
  <si>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</si>
  <si>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</si>
  <si>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</si>
  <si>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</si>
  <si>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</si>
  <si>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</si>
  <si>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</si>
  <si>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</si>
  <si>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</si>
  <si>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</si>
  <si>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</si>
  <si>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</si>
  <si>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</si>
  <si>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</si>
  <si>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</si>
  <si>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</si>
  <si>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</si>
  <si>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</si>
  <si>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</si>
  <si>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</si>
  <si>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</si>
  <si>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</si>
  <si>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</si>
  <si>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</si>
  <si>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</si>
  <si>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</si>
  <si>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</si>
  <si>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</si>
  <si>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</si>
  <si>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</si>
  <si>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</si>
  <si>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</si>
  <si>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</si>
  <si>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</si>
  <si>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</si>
  <si>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</si>
  <si>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</si>
  <si>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</si>
  <si>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</si>
  <si>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</si>
  <si>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</si>
  <si>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</si>
  <si>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</si>
  <si>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</si>
  <si>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</si>
  <si>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</si>
  <si>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</si>
  <si>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</si>
  <si>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</si>
  <si>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</si>
  <si>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</si>
  <si>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</si>
  <si>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</si>
  <si>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</si>
  <si>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</si>
  <si>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</si>
  <si>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</si>
  <si>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</si>
  <si>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</si>
  <si>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</si>
  <si>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</si>
  <si>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</si>
  <si>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</si>
  <si>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</si>
  <si>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</si>
  <si>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</si>
  <si>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</si>
  <si>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</si>
  <si>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</si>
  <si>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</si>
  <si>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</si>
  <si>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</si>
  <si>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</si>
  <si>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</si>
  <si>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</si>
  <si>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</si>
  <si>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</si>
  <si>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</si>
  <si>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</si>
  <si>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</si>
  <si>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</si>
  <si>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</si>
  <si>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</si>
  <si>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</si>
  <si>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</si>
  <si>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</si>
  <si>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</si>
  <si>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</si>
  <si>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</si>
  <si>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</si>
  <si>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</si>
  <si>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</si>
  <si>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</si>
  <si>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</si>
  <si>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</si>
  <si>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</si>
  <si>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</si>
  <si>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</si>
  <si>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</si>
  <si>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</si>
  <si>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</si>
  <si>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</si>
  <si>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</si>
  <si>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</si>
  <si>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</si>
  <si>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</si>
  <si>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</si>
  <si>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</si>
  <si>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</si>
  <si>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</si>
  <si>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</si>
  <si>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</si>
  <si>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</si>
  <si>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</si>
  <si>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</si>
  <si>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</si>
  <si>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</si>
  <si>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</si>
  <si>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</si>
  <si>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</si>
  <si>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</si>
  <si>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</si>
  <si>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</si>
  <si>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</si>
  <si>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</si>
  <si>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</si>
  <si>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</si>
  <si>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</si>
  <si>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</si>
  <si>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</si>
  <si>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</si>
  <si>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</si>
  <si>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</si>
  <si>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</si>
  <si>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</si>
  <si>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</si>
  <si>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</si>
  <si>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</si>
  <si>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</si>
  <si>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</si>
  <si>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</si>
  <si>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</si>
  <si>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</si>
  <si>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</si>
  <si>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</si>
  <si>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</si>
  <si>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</si>
  <si>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</si>
  <si>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</si>
  <si>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</si>
  <si>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</si>
  <si>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</si>
  <si>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</si>
  <si>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</si>
  <si>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</si>
  <si>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</si>
  <si>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</si>
  <si>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</si>
  <si>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</si>
  <si>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</si>
  <si>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</si>
  <si>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</si>
  <si>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</si>
  <si>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</si>
  <si>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</si>
  <si>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</si>
  <si>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</si>
  <si>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</si>
  <si>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</si>
  <si>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</si>
  <si>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</si>
  <si>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</si>
  <si>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</si>
  <si>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</si>
  <si>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</si>
  <si>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</si>
  <si>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</si>
  <si>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</si>
  <si>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</si>
  <si>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</si>
  <si>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</si>
  <si>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</si>
  <si>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</si>
  <si>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</si>
  <si>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</si>
  <si>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</si>
  <si>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</si>
  <si>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</si>
  <si>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</si>
  <si>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</si>
  <si>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</si>
  <si>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</si>
  <si>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</si>
  <si>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</si>
  <si>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</si>
  <si>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</si>
  <si>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</si>
  <si>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</si>
  <si>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</si>
  <si>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</si>
  <si>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</si>
  <si>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</si>
  <si>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</si>
  <si>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</si>
  <si>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</si>
  <si>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</si>
  <si>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</si>
  <si>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</si>
  <si>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</si>
  <si>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</si>
  <si>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</si>
  <si>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</si>
  <si>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</si>
  <si>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</si>
  <si>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</si>
  <si>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</si>
  <si>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</si>
  <si>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</si>
  <si>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</si>
  <si>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</si>
  <si>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</si>
  <si>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</si>
  <si>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</si>
  <si>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</si>
  <si>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</si>
  <si>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</si>
  <si>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</si>
  <si>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</si>
  <si>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</si>
  <si>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</si>
  <si>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</si>
  <si>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</si>
  <si>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</si>
  <si>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</si>
  <si>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</si>
  <si>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</si>
  <si>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</si>
  <si>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</si>
  <si>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</si>
  <si>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</si>
  <si>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</si>
  <si>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</si>
  <si>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</si>
  <si>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</si>
  <si>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</si>
  <si>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</si>
  <si>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</si>
  <si>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</si>
  <si>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</si>
  <si>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</si>
  <si>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</si>
  <si>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</si>
  <si>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</si>
  <si>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</si>
  <si>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</si>
  <si>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</si>
  <si>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</si>
  <si>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</si>
  <si>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</si>
  <si>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</si>
  <si>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</si>
  <si>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</si>
  <si>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</si>
  <si>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</si>
  <si>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</si>
  <si>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</si>
  <si>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</si>
  <si>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</si>
  <si>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</si>
  <si>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</si>
  <si>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</si>
  <si>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</si>
  <si>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</si>
  <si>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</si>
  <si>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</si>
  <si>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</si>
  <si>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</si>
  <si>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</si>
  <si>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</si>
  <si>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</si>
  <si>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</si>
  <si>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</si>
  <si>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</si>
  <si>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</si>
  <si>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</si>
  <si>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</si>
  <si>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</si>
  <si>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</si>
  <si>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</si>
  <si>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</si>
  <si>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</si>
  <si>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</si>
  <si>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</si>
  <si>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</si>
  <si>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</si>
  <si>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</si>
  <si>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</si>
  <si>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</si>
  <si>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</si>
  <si>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</si>
  <si>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</si>
  <si>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</si>
  <si>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</si>
  <si>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</si>
  <si>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</si>
  <si>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</si>
  <si>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</si>
  <si>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</si>
  <si>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</si>
  <si>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</si>
  <si>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</si>
  <si>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</si>
  <si>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</si>
  <si>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</si>
  <si>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</si>
  <si>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</si>
  <si>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</si>
  <si>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</si>
  <si>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</si>
  <si>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</si>
  <si>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</si>
  <si>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</si>
  <si>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</si>
  <si>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</si>
  <si>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</si>
  <si>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</si>
  <si>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</si>
  <si>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</si>
  <si>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</si>
  <si>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</si>
  <si>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</si>
  <si>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</si>
  <si>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</si>
  <si>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</si>
  <si>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</si>
  <si>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</si>
  <si>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</si>
  <si>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</si>
  <si>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</si>
  <si>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</si>
  <si>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</si>
  <si>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</si>
  <si>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</si>
  <si>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</si>
  <si>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</si>
  <si>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</si>
  <si>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</si>
  <si>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</si>
  <si>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</si>
  <si>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</si>
  <si>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</si>
  <si>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</si>
  <si>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</si>
  <si>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</si>
  <si>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</si>
  <si>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</si>
  <si>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</si>
  <si>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</si>
  <si>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</si>
  <si>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</si>
  <si>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</si>
  <si>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</si>
  <si>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</si>
  <si>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</si>
  <si>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</si>
  <si>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</si>
  <si>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</si>
  <si>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</si>
  <si>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</si>
  <si>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</si>
  <si>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</si>
  <si>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</si>
  <si>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</si>
  <si>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</si>
  <si>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</si>
  <si>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</si>
  <si>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</si>
  <si>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</si>
  <si>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</si>
  <si>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</si>
  <si>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</si>
  <si>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</si>
  <si>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</si>
  <si>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</si>
  <si>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</si>
  <si>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</si>
  <si>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</si>
  <si>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</si>
  <si>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</si>
  <si>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</si>
  <si>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</si>
  <si>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</si>
  <si>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</si>
  <si>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</si>
  <si>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</si>
  <si>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</si>
  <si>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</si>
  <si>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</si>
  <si>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</si>
  <si>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</si>
  <si>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</si>
  <si>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</si>
  <si>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</si>
  <si>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</si>
  <si>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</si>
  <si>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</si>
  <si>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</si>
  <si>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</si>
  <si>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</si>
  <si>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</si>
  <si>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</si>
  <si>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</si>
  <si>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</si>
  <si>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</si>
  <si>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</si>
  <si>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</si>
  <si>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</si>
  <si>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</si>
  <si>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</si>
  <si>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</si>
  <si>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</si>
  <si>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</si>
  <si>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</si>
  <si>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</si>
  <si>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</si>
  <si>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</si>
  <si>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</si>
  <si>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</si>
  <si>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</si>
  <si>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</si>
  <si>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</si>
  <si>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</si>
  <si>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</si>
  <si>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</si>
  <si>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</si>
  <si>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</si>
  <si>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</si>
  <si>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</si>
  <si>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</si>
  <si>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</si>
  <si>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</si>
  <si>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</si>
  <si>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</si>
  <si>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</si>
  <si>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</si>
  <si>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</si>
  <si>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</si>
  <si>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</si>
  <si>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</si>
  <si>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</si>
  <si>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</si>
  <si>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</si>
  <si>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</si>
  <si>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</si>
  <si>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</si>
  <si>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</si>
  <si>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</si>
  <si>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</si>
  <si>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</si>
  <si>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</si>
  <si>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</si>
  <si>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</si>
  <si>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</si>
  <si>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</si>
  <si>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</si>
  <si>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</si>
  <si>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</si>
  <si>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</si>
  <si>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</si>
  <si>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</si>
  <si>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</si>
  <si>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</si>
  <si>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</si>
  <si>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</si>
  <si>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</si>
  <si>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</si>
  <si>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</si>
  <si>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</si>
  <si>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</si>
  <si>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</si>
  <si>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</si>
  <si>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</si>
  <si>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</si>
  <si>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</si>
  <si>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</si>
  <si>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</si>
  <si>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</si>
  <si>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</si>
  <si>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</si>
  <si>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</si>
  <si>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</si>
  <si>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</si>
  <si>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</si>
  <si>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</si>
  <si>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</si>
  <si>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</si>
  <si>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</si>
  <si>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</si>
  <si>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</si>
  <si>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</si>
  <si>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</si>
  <si>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</si>
  <si>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</si>
  <si>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</si>
  <si>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</si>
  <si>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</si>
  <si>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</si>
  <si>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</si>
  <si>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</si>
  <si>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</si>
  <si>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</si>
  <si>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</si>
  <si>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</si>
  <si>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</si>
  <si>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</si>
  <si>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</si>
  <si>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</si>
  <si>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</si>
  <si>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</si>
  <si>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</si>
  <si>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</si>
  <si>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</si>
  <si>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</si>
  <si>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</si>
  <si>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</si>
  <si>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</si>
  <si>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</si>
  <si>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</si>
  <si>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</si>
  <si>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</si>
  <si>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</si>
  <si>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</si>
  <si>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</si>
  <si>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</si>
  <si>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</si>
  <si>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</si>
  <si>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</si>
  <si>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</si>
  <si>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</si>
  <si>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</si>
  <si>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</si>
  <si>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</si>
  <si>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</si>
  <si>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</si>
  <si>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</si>
  <si>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</si>
  <si>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</si>
  <si>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</si>
  <si>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</si>
  <si>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</si>
  <si>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</si>
  <si>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</si>
  <si>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</si>
  <si>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</si>
  <si>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</si>
  <si>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</si>
  <si>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</si>
  <si>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</si>
  <si>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</si>
  <si>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</si>
  <si>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</si>
  <si>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HS-TQM_PDM+CABIN REFURBISH+PAINT DATE  02 OCT. 2026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</si>
  <si>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</si>
  <si>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</si>
  <si>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</si>
  <si>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</si>
  <si>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</si>
  <si>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</si>
  <si>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</si>
  <si>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</si>
  <si>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</si>
  <si>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</si>
  <si>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</si>
  <si>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</si>
  <si>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</si>
  <si>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</si>
  <si>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</si>
  <si>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</si>
  <si>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</si>
  <si>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</si>
  <si>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</si>
  <si>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</si>
  <si>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</si>
  <si>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</si>
  <si>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</si>
  <si>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</si>
  <si>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</si>
  <si>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</si>
  <si>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</si>
  <si>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</si>
  <si>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</si>
  <si>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</si>
  <si>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</si>
  <si>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</si>
  <si>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</si>
  <si>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</si>
  <si>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</si>
  <si>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</si>
  <si>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</si>
  <si>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</si>
  <si>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</si>
  <si>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</si>
  <si>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</si>
  <si>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</si>
  <si>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</si>
  <si>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</si>
  <si>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</si>
  <si>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</si>
  <si>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</si>
  <si>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</si>
  <si>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</si>
  <si>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</si>
  <si>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</si>
  <si>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</si>
  <si>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</si>
  <si>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</si>
  <si>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</si>
  <si>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</si>
  <si>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</si>
  <si>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</si>
  <si>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</si>
  <si>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</si>
  <si>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</si>
  <si>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</si>
  <si>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</si>
  <si>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</si>
  <si>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</si>
  <si>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</si>
  <si>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</si>
  <si>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</si>
  <si>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</si>
  <si>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</si>
  <si>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</si>
  <si>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</si>
  <si>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</si>
  <si>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</si>
  <si>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</si>
  <si>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</si>
  <si>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</si>
  <si>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</si>
  <si>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</si>
  <si>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</si>
  <si>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</si>
  <si>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</si>
  <si>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</si>
  <si>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</si>
  <si>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</si>
  <si>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</si>
  <si>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</si>
  <si>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</si>
  <si>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</si>
  <si>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</si>
  <si>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</si>
  <si>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</si>
  <si>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</si>
  <si>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</si>
  <si>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</si>
  <si>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</si>
  <si>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</si>
  <si>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</si>
  <si>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</si>
  <si>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</si>
  <si>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</si>
  <si>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</si>
  <si>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</si>
  <si>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</si>
  <si>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</si>
  <si>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</si>
  <si>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</si>
  <si>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</si>
  <si>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</si>
  <si>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</si>
  <si>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</si>
  <si>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</si>
  <si>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</si>
  <si>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</si>
  <si>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</si>
  <si>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</si>
  <si>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</si>
  <si>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</si>
  <si>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</si>
  <si>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</si>
  <si>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</si>
  <si>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</si>
  <si>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</si>
  <si>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</si>
  <si>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</si>
  <si>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</si>
  <si>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</si>
  <si>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</si>
  <si>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</si>
  <si>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</si>
  <si>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</si>
  <si>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</si>
  <si>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</si>
  <si>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</si>
  <si>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</si>
  <si>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</si>
  <si>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</si>
  <si>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</si>
  <si>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</si>
  <si>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</si>
  <si>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</si>
  <si>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</si>
  <si>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</si>
  <si>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</si>
  <si>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</si>
  <si>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</si>
  <si>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</si>
  <si>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</si>
  <si>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</si>
  <si>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</si>
  <si>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</si>
  <si>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</si>
  <si>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</si>
  <si>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</si>
  <si>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</si>
  <si>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</si>
  <si>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</si>
  <si>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</si>
  <si>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</si>
  <si>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</si>
  <si>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</si>
  <si>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</si>
  <si>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</si>
  <si>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</si>
  <si>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</si>
  <si>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</si>
  <si>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</si>
  <si>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</si>
  <si>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</si>
  <si>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</si>
  <si>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</si>
  <si>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</si>
  <si>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</si>
  <si>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</si>
  <si>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</si>
  <si>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</si>
  <si>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</si>
  <si>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</si>
  <si>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</si>
  <si>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</si>
  <si>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</si>
  <si>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</si>
  <si>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</si>
  <si>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</si>
  <si>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</si>
  <si>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</si>
  <si>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</si>
  <si>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</si>
  <si>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</si>
  <si>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</si>
  <si>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</si>
  <si>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</si>
  <si>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</si>
  <si>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</si>
  <si>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</si>
  <si>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</si>
  <si>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</si>
  <si>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</si>
  <si>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</si>
  <si>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</si>
  <si>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</si>
  <si>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</si>
  <si>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</si>
  <si>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</si>
  <si>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</si>
  <si>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</si>
  <si>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</si>
  <si>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</si>
  <si>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</si>
  <si>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</si>
  <si>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</si>
  <si>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</si>
  <si>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</si>
  <si>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</si>
  <si>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</si>
  <si>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</si>
  <si>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</si>
  <si>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</si>
  <si>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</si>
  <si>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</si>
  <si>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</si>
  <si>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</si>
  <si>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</si>
  <si>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</si>
  <si>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</si>
  <si>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</si>
  <si>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</si>
  <si>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</si>
  <si>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</si>
  <si>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</si>
  <si>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</si>
  <si>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</si>
  <si>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</si>
  <si>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</si>
  <si>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</si>
  <si>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</si>
  <si>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</si>
  <si>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</si>
  <si>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</si>
  <si>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</si>
  <si>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</si>
  <si>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</si>
  <si>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</si>
  <si>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</si>
  <si>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</si>
  <si>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</si>
  <si>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</si>
  <si>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</si>
  <si>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</si>
  <si>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</si>
  <si>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</si>
  <si>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</si>
  <si>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</si>
  <si>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</si>
  <si>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</si>
  <si>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</si>
  <si>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</si>
  <si>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</si>
  <si>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</si>
  <si>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</si>
  <si>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</si>
  <si>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</si>
  <si>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</si>
  <si>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</si>
  <si>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</si>
  <si>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</si>
  <si>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</si>
  <si>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</si>
  <si>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</si>
  <si>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</si>
  <si>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</si>
  <si>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</si>
  <si>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</si>
  <si>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</si>
  <si>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</si>
  <si>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</si>
  <si>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</si>
  <si>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</si>
  <si>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</si>
  <si>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</si>
  <si>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</si>
  <si>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</si>
  <si>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</si>
  <si>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</si>
  <si>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</si>
  <si>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</si>
  <si>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</si>
  <si>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</si>
  <si>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</si>
  <si>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</si>
  <si>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</si>
  <si>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</si>
  <si>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</si>
  <si>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</si>
  <si>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</si>
  <si>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</si>
  <si>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</si>
  <si>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</si>
  <si>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</si>
  <si>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</si>
  <si>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</si>
  <si>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</si>
  <si>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</si>
  <si>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</si>
  <si>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</si>
  <si>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</si>
  <si>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</si>
  <si>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</si>
  <si>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</si>
  <si>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</si>
  <si>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</si>
  <si>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</si>
  <si>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</si>
  <si>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</si>
  <si>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</si>
  <si>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</si>
  <si>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</si>
  <si>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</si>
  <si>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</si>
  <si>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</si>
  <si>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</si>
  <si>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</si>
  <si>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</si>
  <si>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</si>
  <si>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</si>
  <si>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</si>
  <si>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</si>
  <si>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</si>
  <si>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</si>
  <si>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</si>
  <si>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</si>
  <si>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</si>
  <si>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</si>
  <si>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</si>
  <si>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</si>
  <si>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</si>
  <si>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</si>
  <si>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</si>
  <si>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</si>
  <si>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</si>
  <si>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</si>
  <si>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</si>
  <si>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</si>
  <si>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</si>
  <si>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</si>
  <si>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</si>
  <si>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</si>
  <si>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</si>
  <si>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</si>
  <si>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</si>
  <si>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</si>
  <si>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</si>
  <si>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</si>
  <si>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</si>
  <si>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</si>
  <si>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</si>
  <si>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</si>
  <si>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</si>
  <si>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</si>
  <si>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</si>
  <si>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</si>
  <si>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</si>
  <si>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</si>
  <si>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</si>
  <si>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</si>
  <si>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</si>
  <si>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</si>
  <si>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</si>
  <si>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</si>
  <si>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</si>
  <si>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</si>
  <si>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</si>
  <si>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</si>
  <si>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</si>
  <si>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</si>
  <si>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</si>
  <si>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</si>
  <si>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</si>
  <si>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</si>
  <si>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</si>
  <si>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</si>
  <si>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</si>
  <si>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</si>
  <si>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</si>
  <si>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</si>
  <si>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</si>
  <si>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</si>
  <si>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</si>
  <si>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</si>
  <si>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</si>
  <si>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</si>
  <si>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</si>
  <si>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</si>
  <si>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</si>
  <si>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</si>
  <si>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</si>
  <si>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</si>
  <si>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</si>
  <si>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</si>
  <si>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</si>
  <si>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</si>
  <si>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</si>
  <si>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</si>
  <si>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</si>
  <si>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</si>
  <si>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</si>
  <si>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</si>
  <si>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</si>
  <si>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</si>
  <si>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</si>
  <si>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</si>
  <si>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</si>
  <si>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</si>
  <si>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</si>
  <si>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</si>
  <si>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</si>
  <si>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</si>
  <si>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</si>
  <si>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</si>
  <si>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</si>
  <si>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</si>
  <si>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</si>
  <si>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</si>
  <si>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</si>
  <si>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</si>
  <si>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</si>
  <si>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</si>
  <si>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</si>
  <si>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</si>
  <si>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</si>
  <si>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</si>
  <si>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</si>
  <si>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</si>
  <si>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</si>
  <si>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</si>
  <si>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</si>
  <si>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</si>
  <si>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</si>
  <si>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</si>
  <si>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</si>
  <si>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</si>
  <si>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</si>
  <si>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</si>
  <si>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</si>
  <si>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</si>
  <si>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</si>
  <si>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</si>
  <si>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</si>
  <si>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</si>
  <si>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</si>
  <si>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</si>
  <si>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</si>
  <si>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</si>
  <si>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</si>
  <si>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</si>
  <si>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</si>
  <si>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</si>
  <si>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</si>
  <si>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</si>
  <si>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</si>
  <si>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</si>
  <si>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</si>
  <si>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</si>
  <si>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</si>
  <si>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</si>
  <si>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</si>
  <si>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</si>
  <si>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</si>
  <si>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</si>
  <si>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</si>
  <si>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</si>
  <si>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</si>
  <si>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</si>
  <si>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</si>
  <si>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</si>
  <si>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</si>
  <si>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</si>
  <si>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</si>
  <si>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</si>
  <si>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</si>
  <si>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</si>
  <si>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</si>
  <si>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</si>
  <si>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</si>
  <si>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</si>
  <si>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</si>
  <si>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</si>
  <si>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</si>
  <si>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</si>
  <si>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</si>
  <si>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</si>
  <si>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</si>
  <si>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</si>
  <si>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</si>
  <si>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</si>
  <si>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</si>
  <si>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</si>
  <si>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</si>
  <si>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</si>
  <si>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</si>
  <si>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</si>
  <si>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</si>
  <si>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</si>
  <si>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</si>
  <si>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</si>
  <si>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</si>
  <si>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</si>
  <si>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</si>
  <si>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</si>
  <si>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</si>
  <si>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</si>
  <si>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</si>
  <si>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</si>
  <si>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</si>
  <si>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TG_W</t>
  </si>
  <si>
    <t>730590:GEnx EEC MOISTURE REMOVAL</t>
  </si>
  <si>
    <t>REL CSER MACM MEBS PRC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</si>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</sst>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2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EV%20C10-CHK/DATA/Pivot%20Pin%20HS-TEV%20All%20Data%2002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EV"/>
      <sheetName val="Pivot WK Center"/>
      <sheetName val="DATA  ALL HS-TEV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210"/>
  <sheetViews>
    <sheetView tabSelected="1" workbookViewId="0">
      <selection activeCell="D19" sqref="D1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3827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3828</v>
      </c>
      <c r="C8" s="15" t="s">
        <v>3829</v>
      </c>
      <c r="D8" s="15" t="s">
        <v>3830</v>
      </c>
      <c r="E8" s="15" t="s">
        <v>3831</v>
      </c>
      <c r="F8" s="15" t="s">
        <v>3832</v>
      </c>
      <c r="G8" s="15" t="s">
        <v>273</v>
      </c>
      <c r="H8" s="15" t="s">
        <v>26</v>
      </c>
      <c r="I8" s="16">
        <v>46295</v>
      </c>
      <c r="J8" s="15" t="s">
        <v>52</v>
      </c>
      <c r="K8" s="15" t="s">
        <v>28</v>
      </c>
      <c r="L8" s="15" t="s">
        <v>3833</v>
      </c>
      <c r="M8" s="15" t="s">
        <v>931</v>
      </c>
      <c r="N8" s="15" t="s">
        <v>29</v>
      </c>
      <c r="O8" s="15" t="s">
        <v>3834</v>
      </c>
      <c r="P8" s="15" t="s">
        <v>148</v>
      </c>
      <c r="Q8" s="15" t="s">
        <v>149</v>
      </c>
      <c r="R8" s="15" t="s">
        <v>54</v>
      </c>
      <c r="S8" s="15" t="s">
        <v>32</v>
      </c>
      <c r="T8" s="15" t="s">
        <v>685</v>
      </c>
      <c r="U8" s="15" t="s">
        <v>3835</v>
      </c>
      <c r="V8" s="16">
        <v>46295</v>
      </c>
      <c r="W8" s="16">
        <v>46295</v>
      </c>
      <c r="X8" s="15" t="s">
        <v>3836</v>
      </c>
      <c r="Y8" s="16">
        <v>46295</v>
      </c>
      <c r="Z8" s="15" t="s">
        <v>226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3828</v>
      </c>
      <c r="C9" s="15" t="s">
        <v>3829</v>
      </c>
      <c r="D9" s="15" t="s">
        <v>3837</v>
      </c>
      <c r="E9" s="15" t="s">
        <v>3838</v>
      </c>
      <c r="F9" s="15" t="s">
        <v>3839</v>
      </c>
      <c r="G9" s="15" t="s">
        <v>273</v>
      </c>
      <c r="H9" s="15" t="s">
        <v>26</v>
      </c>
      <c r="I9" s="16">
        <v>46295</v>
      </c>
      <c r="J9" s="15" t="s">
        <v>82</v>
      </c>
      <c r="K9" s="15" t="s">
        <v>28</v>
      </c>
      <c r="L9" s="15" t="s">
        <v>3840</v>
      </c>
      <c r="M9" s="15" t="s">
        <v>931</v>
      </c>
      <c r="N9" s="15" t="s">
        <v>29</v>
      </c>
      <c r="O9" s="15" t="s">
        <v>3834</v>
      </c>
      <c r="P9" s="15" t="s">
        <v>41</v>
      </c>
      <c r="Q9" s="15" t="s">
        <v>42</v>
      </c>
      <c r="R9" s="15" t="s">
        <v>26</v>
      </c>
      <c r="S9" s="15" t="s">
        <v>32</v>
      </c>
      <c r="T9" s="15" t="s">
        <v>685</v>
      </c>
      <c r="U9" s="15" t="s">
        <v>3841</v>
      </c>
      <c r="V9" s="16">
        <v>46295</v>
      </c>
      <c r="W9" s="16">
        <v>46295</v>
      </c>
      <c r="X9" s="15" t="s">
        <v>3836</v>
      </c>
      <c r="Y9" s="16">
        <v>46295</v>
      </c>
      <c r="Z9" s="15" t="s">
        <v>226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3842</v>
      </c>
      <c r="C10" s="15" t="s">
        <v>3829</v>
      </c>
      <c r="D10" s="15" t="s">
        <v>3843</v>
      </c>
      <c r="E10" s="15" t="s">
        <v>3844</v>
      </c>
      <c r="F10" s="15" t="s">
        <v>3845</v>
      </c>
      <c r="G10" s="15" t="s">
        <v>25</v>
      </c>
      <c r="H10" s="15" t="s">
        <v>26</v>
      </c>
      <c r="I10" s="16">
        <v>46272</v>
      </c>
      <c r="J10" s="15" t="s">
        <v>82</v>
      </c>
      <c r="K10" s="15" t="s">
        <v>28</v>
      </c>
      <c r="L10" s="15" t="s">
        <v>3846</v>
      </c>
      <c r="M10" s="15" t="s">
        <v>76</v>
      </c>
      <c r="N10" s="15" t="s">
        <v>29</v>
      </c>
      <c r="O10" s="15" t="s">
        <v>3847</v>
      </c>
      <c r="P10" s="15" t="s">
        <v>148</v>
      </c>
      <c r="Q10" s="15" t="s">
        <v>149</v>
      </c>
      <c r="R10" s="15" t="s">
        <v>337</v>
      </c>
      <c r="S10" s="15" t="s">
        <v>32</v>
      </c>
      <c r="T10" s="15" t="s">
        <v>107</v>
      </c>
      <c r="U10" s="15" t="s">
        <v>3848</v>
      </c>
      <c r="V10" s="16"/>
      <c r="W10" s="16">
        <v>46268</v>
      </c>
      <c r="X10" s="15" t="s">
        <v>3836</v>
      </c>
      <c r="Y10" s="16">
        <v>46268</v>
      </c>
      <c r="Z10" s="15" t="s">
        <v>226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3842</v>
      </c>
      <c r="C11" s="15" t="s">
        <v>3829</v>
      </c>
      <c r="D11" s="15" t="s">
        <v>3849</v>
      </c>
      <c r="E11" s="15" t="s">
        <v>3850</v>
      </c>
      <c r="F11" s="15" t="s">
        <v>3851</v>
      </c>
      <c r="G11" s="15" t="s">
        <v>25</v>
      </c>
      <c r="H11" s="15" t="s">
        <v>26</v>
      </c>
      <c r="I11" s="16">
        <v>46272</v>
      </c>
      <c r="J11" s="15" t="s">
        <v>82</v>
      </c>
      <c r="K11" s="15" t="s">
        <v>28</v>
      </c>
      <c r="L11" s="15" t="s">
        <v>3852</v>
      </c>
      <c r="M11" s="15" t="s">
        <v>76</v>
      </c>
      <c r="N11" s="15" t="s">
        <v>29</v>
      </c>
      <c r="O11" s="15" t="s">
        <v>3847</v>
      </c>
      <c r="P11" s="15" t="s">
        <v>148</v>
      </c>
      <c r="Q11" s="15" t="s">
        <v>149</v>
      </c>
      <c r="R11" s="15" t="s">
        <v>49</v>
      </c>
      <c r="S11" s="15" t="s">
        <v>32</v>
      </c>
      <c r="T11" s="15" t="s">
        <v>543</v>
      </c>
      <c r="U11" s="15" t="s">
        <v>3853</v>
      </c>
      <c r="V11" s="16"/>
      <c r="W11" s="16">
        <v>46268</v>
      </c>
      <c r="X11" s="15" t="s">
        <v>3836</v>
      </c>
      <c r="Y11" s="16">
        <v>46268</v>
      </c>
      <c r="Z11" s="15" t="s">
        <v>226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3842</v>
      </c>
      <c r="C12" s="15" t="s">
        <v>3829</v>
      </c>
      <c r="D12" s="15" t="s">
        <v>3854</v>
      </c>
      <c r="E12" s="15" t="s">
        <v>3850</v>
      </c>
      <c r="F12" s="15" t="s">
        <v>3851</v>
      </c>
      <c r="G12" s="15" t="s">
        <v>25</v>
      </c>
      <c r="H12" s="15" t="s">
        <v>26</v>
      </c>
      <c r="I12" s="16">
        <v>46272</v>
      </c>
      <c r="J12" s="15" t="s">
        <v>82</v>
      </c>
      <c r="K12" s="15" t="s">
        <v>58</v>
      </c>
      <c r="L12" s="15" t="s">
        <v>3852</v>
      </c>
      <c r="M12" s="15" t="s">
        <v>76</v>
      </c>
      <c r="N12" s="15" t="s">
        <v>29</v>
      </c>
      <c r="O12" s="15" t="s">
        <v>3847</v>
      </c>
      <c r="P12" s="15" t="s">
        <v>148</v>
      </c>
      <c r="Q12" s="15" t="s">
        <v>149</v>
      </c>
      <c r="R12" s="15" t="s">
        <v>49</v>
      </c>
      <c r="S12" s="15" t="s">
        <v>32</v>
      </c>
      <c r="T12" s="15" t="s">
        <v>543</v>
      </c>
      <c r="U12" s="15" t="s">
        <v>3853</v>
      </c>
      <c r="V12" s="16"/>
      <c r="W12" s="16">
        <v>46268</v>
      </c>
      <c r="X12" s="15" t="s">
        <v>3836</v>
      </c>
      <c r="Y12" s="16">
        <v>46268</v>
      </c>
      <c r="Z12" s="15" t="s">
        <v>226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3842</v>
      </c>
      <c r="C13" s="15" t="s">
        <v>3829</v>
      </c>
      <c r="D13" s="15" t="s">
        <v>3855</v>
      </c>
      <c r="E13" s="15" t="s">
        <v>3850</v>
      </c>
      <c r="F13" s="15" t="s">
        <v>3851</v>
      </c>
      <c r="G13" s="15" t="s">
        <v>25</v>
      </c>
      <c r="H13" s="15" t="s">
        <v>26</v>
      </c>
      <c r="I13" s="16">
        <v>46272</v>
      </c>
      <c r="J13" s="15" t="s">
        <v>82</v>
      </c>
      <c r="K13" s="15" t="s">
        <v>59</v>
      </c>
      <c r="L13" s="15" t="s">
        <v>3852</v>
      </c>
      <c r="M13" s="15" t="s">
        <v>76</v>
      </c>
      <c r="N13" s="15" t="s">
        <v>29</v>
      </c>
      <c r="O13" s="15" t="s">
        <v>3847</v>
      </c>
      <c r="P13" s="15" t="s">
        <v>148</v>
      </c>
      <c r="Q13" s="15" t="s">
        <v>149</v>
      </c>
      <c r="R13" s="15" t="s">
        <v>49</v>
      </c>
      <c r="S13" s="15" t="s">
        <v>32</v>
      </c>
      <c r="T13" s="15" t="s">
        <v>543</v>
      </c>
      <c r="U13" s="15" t="s">
        <v>3853</v>
      </c>
      <c r="V13" s="16"/>
      <c r="W13" s="16">
        <v>46268</v>
      </c>
      <c r="X13" s="15" t="s">
        <v>3836</v>
      </c>
      <c r="Y13" s="16">
        <v>46268</v>
      </c>
      <c r="Z13" s="15" t="s">
        <v>226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3828</v>
      </c>
      <c r="C14" s="15" t="s">
        <v>3829</v>
      </c>
      <c r="D14" s="15" t="s">
        <v>3928</v>
      </c>
      <c r="E14" s="15" t="s">
        <v>3929</v>
      </c>
      <c r="F14" s="15" t="s">
        <v>3930</v>
      </c>
      <c r="G14" s="15" t="s">
        <v>273</v>
      </c>
      <c r="H14" s="15" t="s">
        <v>26</v>
      </c>
      <c r="I14" s="16">
        <v>46296</v>
      </c>
      <c r="J14" s="15" t="s">
        <v>82</v>
      </c>
      <c r="K14" s="15" t="s">
        <v>28</v>
      </c>
      <c r="L14" s="15" t="s">
        <v>3931</v>
      </c>
      <c r="M14" s="15" t="s">
        <v>2904</v>
      </c>
      <c r="N14" s="15" t="s">
        <v>29</v>
      </c>
      <c r="O14" s="15" t="s">
        <v>3834</v>
      </c>
      <c r="P14" s="15" t="s">
        <v>41</v>
      </c>
      <c r="Q14" s="15" t="s">
        <v>42</v>
      </c>
      <c r="R14" s="15" t="s">
        <v>26</v>
      </c>
      <c r="S14" s="15" t="s">
        <v>32</v>
      </c>
      <c r="T14" s="15" t="s">
        <v>685</v>
      </c>
      <c r="U14" s="15" t="s">
        <v>3932</v>
      </c>
      <c r="V14" s="16"/>
      <c r="W14" s="16">
        <v>46295</v>
      </c>
      <c r="X14" s="15" t="s">
        <v>3836</v>
      </c>
      <c r="Y14" s="16">
        <v>46295</v>
      </c>
      <c r="Z14" s="15" t="s">
        <v>226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3828</v>
      </c>
      <c r="C15" s="15" t="s">
        <v>3829</v>
      </c>
      <c r="D15" s="15" t="s">
        <v>3856</v>
      </c>
      <c r="E15" s="15" t="s">
        <v>3857</v>
      </c>
      <c r="F15" s="15" t="s">
        <v>3858</v>
      </c>
      <c r="G15" s="15" t="s">
        <v>273</v>
      </c>
      <c r="H15" s="15" t="s">
        <v>26</v>
      </c>
      <c r="I15" s="16">
        <v>46295</v>
      </c>
      <c r="J15" s="15" t="s">
        <v>82</v>
      </c>
      <c r="K15" s="15" t="s">
        <v>28</v>
      </c>
      <c r="L15" s="15" t="s">
        <v>3859</v>
      </c>
      <c r="M15" s="15" t="s">
        <v>189</v>
      </c>
      <c r="N15" s="15" t="s">
        <v>29</v>
      </c>
      <c r="O15" s="15" t="s">
        <v>3834</v>
      </c>
      <c r="P15" s="15" t="s">
        <v>41</v>
      </c>
      <c r="Q15" s="15" t="s">
        <v>42</v>
      </c>
      <c r="R15" s="15" t="s">
        <v>26</v>
      </c>
      <c r="S15" s="15" t="s">
        <v>32</v>
      </c>
      <c r="T15" s="15" t="s">
        <v>685</v>
      </c>
      <c r="U15" s="15" t="s">
        <v>3860</v>
      </c>
      <c r="V15" s="16"/>
      <c r="W15" s="16">
        <v>46295</v>
      </c>
      <c r="X15" s="15" t="s">
        <v>3836</v>
      </c>
      <c r="Y15" s="16">
        <v>46295</v>
      </c>
      <c r="Z15" s="15" t="s">
        <v>226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3842</v>
      </c>
      <c r="C16" s="15" t="s">
        <v>3829</v>
      </c>
      <c r="D16" s="15" t="s">
        <v>3861</v>
      </c>
      <c r="E16" s="15" t="s">
        <v>3862</v>
      </c>
      <c r="F16" s="15" t="s">
        <v>3863</v>
      </c>
      <c r="G16" s="15" t="s">
        <v>25</v>
      </c>
      <c r="H16" s="15" t="s">
        <v>26</v>
      </c>
      <c r="I16" s="16">
        <v>46272</v>
      </c>
      <c r="J16" s="15" t="s">
        <v>36</v>
      </c>
      <c r="K16" s="15" t="s">
        <v>28</v>
      </c>
      <c r="L16" s="15" t="s">
        <v>3864</v>
      </c>
      <c r="M16" s="15" t="s">
        <v>1375</v>
      </c>
      <c r="N16" s="15" t="s">
        <v>29</v>
      </c>
      <c r="O16" s="15" t="s">
        <v>3847</v>
      </c>
      <c r="P16" s="15" t="s">
        <v>148</v>
      </c>
      <c r="Q16" s="15" t="s">
        <v>149</v>
      </c>
      <c r="R16" s="15" t="s">
        <v>72</v>
      </c>
      <c r="S16" s="15" t="s">
        <v>32</v>
      </c>
      <c r="T16" s="15" t="s">
        <v>78</v>
      </c>
      <c r="U16" s="15" t="s">
        <v>3865</v>
      </c>
      <c r="V16" s="16"/>
      <c r="W16" s="16">
        <v>46268</v>
      </c>
      <c r="X16" s="15" t="s">
        <v>3836</v>
      </c>
      <c r="Y16" s="16">
        <v>46268</v>
      </c>
      <c r="Z16" s="15" t="s">
        <v>226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3828</v>
      </c>
      <c r="C17" s="15" t="s">
        <v>3829</v>
      </c>
      <c r="D17" s="15" t="s">
        <v>3866</v>
      </c>
      <c r="E17" s="15" t="s">
        <v>3867</v>
      </c>
      <c r="F17" s="15" t="s">
        <v>3868</v>
      </c>
      <c r="G17" s="15" t="s">
        <v>25</v>
      </c>
      <c r="H17" s="15" t="s">
        <v>26</v>
      </c>
      <c r="I17" s="16">
        <v>46296</v>
      </c>
      <c r="J17" s="15" t="s">
        <v>82</v>
      </c>
      <c r="K17" s="15" t="s">
        <v>28</v>
      </c>
      <c r="L17" s="15" t="s">
        <v>3869</v>
      </c>
      <c r="M17" s="15" t="s">
        <v>1398</v>
      </c>
      <c r="N17" s="15" t="s">
        <v>29</v>
      </c>
      <c r="O17" s="15" t="s">
        <v>3847</v>
      </c>
      <c r="P17" s="15" t="s">
        <v>148</v>
      </c>
      <c r="Q17" s="15" t="s">
        <v>149</v>
      </c>
      <c r="R17" s="15" t="s">
        <v>126</v>
      </c>
      <c r="S17" s="15" t="s">
        <v>32</v>
      </c>
      <c r="T17" s="15" t="s">
        <v>685</v>
      </c>
      <c r="U17" s="15" t="s">
        <v>3870</v>
      </c>
      <c r="V17" s="16"/>
      <c r="W17" s="16">
        <v>46295</v>
      </c>
      <c r="X17" s="15" t="s">
        <v>3836</v>
      </c>
      <c r="Y17" s="16">
        <v>46295</v>
      </c>
      <c r="Z17" s="15" t="s">
        <v>226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3842</v>
      </c>
      <c r="C18" s="15" t="s">
        <v>3829</v>
      </c>
      <c r="D18" s="15" t="s">
        <v>3871</v>
      </c>
      <c r="E18" s="15" t="s">
        <v>3872</v>
      </c>
      <c r="F18" s="15" t="s">
        <v>3872</v>
      </c>
      <c r="G18" s="15" t="s">
        <v>194</v>
      </c>
      <c r="H18" s="15" t="s">
        <v>26</v>
      </c>
      <c r="I18" s="16">
        <v>46287</v>
      </c>
      <c r="J18" s="15" t="s">
        <v>52</v>
      </c>
      <c r="K18" s="15" t="s">
        <v>28</v>
      </c>
      <c r="L18" s="15" t="s">
        <v>3873</v>
      </c>
      <c r="M18" s="15" t="s">
        <v>1401</v>
      </c>
      <c r="N18" s="15" t="s">
        <v>29</v>
      </c>
      <c r="O18" s="15" t="s">
        <v>3847</v>
      </c>
      <c r="P18" s="15" t="s">
        <v>26</v>
      </c>
      <c r="Q18" s="15" t="s">
        <v>26</v>
      </c>
      <c r="R18" s="15" t="s">
        <v>26</v>
      </c>
      <c r="S18" s="15" t="s">
        <v>52</v>
      </c>
      <c r="T18" s="15" t="s">
        <v>195</v>
      </c>
      <c r="U18" s="15" t="s">
        <v>26</v>
      </c>
      <c r="V18" s="16"/>
      <c r="W18" s="16">
        <v>46023</v>
      </c>
      <c r="X18" s="15" t="s">
        <v>3874</v>
      </c>
      <c r="Y18" s="16">
        <v>46387</v>
      </c>
      <c r="Z18" s="15" t="s">
        <v>3875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4249</v>
      </c>
      <c r="C19" s="15" t="s">
        <v>3829</v>
      </c>
      <c r="D19" s="15" t="s">
        <v>4334</v>
      </c>
      <c r="E19" s="15" t="s">
        <v>4335</v>
      </c>
      <c r="F19" s="15" t="s">
        <v>4336</v>
      </c>
      <c r="G19" s="15" t="s">
        <v>25</v>
      </c>
      <c r="H19" s="15" t="s">
        <v>26</v>
      </c>
      <c r="I19" s="16">
        <v>46297</v>
      </c>
      <c r="J19" s="15" t="s">
        <v>82</v>
      </c>
      <c r="K19" s="15" t="s">
        <v>28</v>
      </c>
      <c r="L19" s="15" t="s">
        <v>4337</v>
      </c>
      <c r="M19" s="15" t="s">
        <v>1401</v>
      </c>
      <c r="N19" s="15" t="s">
        <v>29</v>
      </c>
      <c r="O19" s="15" t="s">
        <v>3847</v>
      </c>
      <c r="P19" s="15" t="s">
        <v>148</v>
      </c>
      <c r="Q19" s="15" t="s">
        <v>149</v>
      </c>
      <c r="R19" s="15" t="s">
        <v>49</v>
      </c>
      <c r="S19" s="15" t="s">
        <v>32</v>
      </c>
      <c r="T19" s="15" t="s">
        <v>195</v>
      </c>
      <c r="U19" s="15" t="s">
        <v>4338</v>
      </c>
      <c r="V19" s="16"/>
      <c r="W19" s="16">
        <v>46297</v>
      </c>
      <c r="X19" s="15" t="s">
        <v>3836</v>
      </c>
      <c r="Y19" s="16">
        <v>46297</v>
      </c>
      <c r="Z19" s="15" t="s">
        <v>226</v>
      </c>
      <c r="AA19" s="17" t="e">
        <f>VLOOKUP(F19,[1]Wait!$H$225:$I$260,2,0)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4001</v>
      </c>
      <c r="C20" s="15" t="s">
        <v>4002</v>
      </c>
      <c r="D20" s="15" t="s">
        <v>4003</v>
      </c>
      <c r="E20" s="15" t="s">
        <v>4004</v>
      </c>
      <c r="F20" s="15" t="s">
        <v>4005</v>
      </c>
      <c r="G20" s="15" t="s">
        <v>25</v>
      </c>
      <c r="H20" s="15" t="s">
        <v>26</v>
      </c>
      <c r="I20" s="16">
        <v>46295</v>
      </c>
      <c r="J20" s="15" t="s">
        <v>4006</v>
      </c>
      <c r="K20" s="15" t="s">
        <v>28</v>
      </c>
      <c r="L20" s="15" t="s">
        <v>4007</v>
      </c>
      <c r="M20" s="15" t="s">
        <v>1425</v>
      </c>
      <c r="N20" s="15" t="s">
        <v>29</v>
      </c>
      <c r="O20" s="15" t="s">
        <v>4008</v>
      </c>
      <c r="P20" s="15" t="s">
        <v>148</v>
      </c>
      <c r="Q20" s="15" t="s">
        <v>149</v>
      </c>
      <c r="R20" s="15" t="s">
        <v>26</v>
      </c>
      <c r="S20" s="15" t="s">
        <v>255</v>
      </c>
      <c r="T20" s="15" t="s">
        <v>195</v>
      </c>
      <c r="U20" s="15" t="s">
        <v>4009</v>
      </c>
      <c r="V20" s="16">
        <v>46295</v>
      </c>
      <c r="W20" s="16">
        <v>46295</v>
      </c>
      <c r="X20" s="15" t="s">
        <v>3836</v>
      </c>
      <c r="Y20" s="16">
        <v>46295</v>
      </c>
      <c r="Z20" s="15" t="s">
        <v>226</v>
      </c>
      <c r="AA20" s="17" t="e">
        <f>VLOOKUP(F20,[1]Wait!$H$225:$I$260,2,0)</f>
        <v>#N/A</v>
      </c>
      <c r="AB20" s="5"/>
      <c r="AC20" s="6"/>
    </row>
    <row r="21" spans="1:29" s="2" customFormat="1" x14ac:dyDescent="0.25">
      <c r="A21" s="23">
        <f t="shared" si="0"/>
        <v>14</v>
      </c>
      <c r="B21" s="15" t="s">
        <v>4001</v>
      </c>
      <c r="C21" s="15" t="s">
        <v>4002</v>
      </c>
      <c r="D21" s="15" t="s">
        <v>4010</v>
      </c>
      <c r="E21" s="15" t="s">
        <v>4011</v>
      </c>
      <c r="F21" s="15" t="s">
        <v>4012</v>
      </c>
      <c r="G21" s="15" t="s">
        <v>25</v>
      </c>
      <c r="H21" s="15" t="s">
        <v>26</v>
      </c>
      <c r="I21" s="16">
        <v>46295</v>
      </c>
      <c r="J21" s="15" t="s">
        <v>4013</v>
      </c>
      <c r="K21" s="15" t="s">
        <v>28</v>
      </c>
      <c r="L21" s="15" t="s">
        <v>4014</v>
      </c>
      <c r="M21" s="15" t="s">
        <v>1425</v>
      </c>
      <c r="N21" s="15" t="s">
        <v>29</v>
      </c>
      <c r="O21" s="15" t="s">
        <v>4008</v>
      </c>
      <c r="P21" s="15" t="s">
        <v>26</v>
      </c>
      <c r="Q21" s="15" t="s">
        <v>26</v>
      </c>
      <c r="R21" s="15" t="s">
        <v>121</v>
      </c>
      <c r="S21" s="15" t="s">
        <v>255</v>
      </c>
      <c r="T21" s="15" t="s">
        <v>376</v>
      </c>
      <c r="U21" s="15" t="s">
        <v>4015</v>
      </c>
      <c r="V21" s="16">
        <v>46295</v>
      </c>
      <c r="W21" s="16">
        <v>46295</v>
      </c>
      <c r="X21" s="15" t="s">
        <v>3836</v>
      </c>
      <c r="Y21" s="16">
        <v>46295</v>
      </c>
      <c r="Z21" s="15" t="s">
        <v>226</v>
      </c>
      <c r="AA21" s="17" t="e">
        <f>VLOOKUP(F21,[1]Wait!$H$225:$I$260,2,0)</f>
        <v>#N/A</v>
      </c>
      <c r="AB21" s="5"/>
      <c r="AC21" s="6"/>
    </row>
    <row r="22" spans="1:29" s="2" customFormat="1" x14ac:dyDescent="0.25">
      <c r="A22" s="23">
        <f t="shared" si="0"/>
        <v>15</v>
      </c>
      <c r="B22" s="15" t="s">
        <v>4001</v>
      </c>
      <c r="C22" s="15" t="s">
        <v>4002</v>
      </c>
      <c r="D22" s="15" t="s">
        <v>4016</v>
      </c>
      <c r="E22" s="15" t="s">
        <v>4017</v>
      </c>
      <c r="F22" s="15" t="s">
        <v>4018</v>
      </c>
      <c r="G22" s="15" t="s">
        <v>25</v>
      </c>
      <c r="H22" s="15" t="s">
        <v>26</v>
      </c>
      <c r="I22" s="16">
        <v>46295</v>
      </c>
      <c r="J22" s="15" t="s">
        <v>4019</v>
      </c>
      <c r="K22" s="15" t="s">
        <v>28</v>
      </c>
      <c r="L22" s="15" t="s">
        <v>4020</v>
      </c>
      <c r="M22" s="15" t="s">
        <v>1425</v>
      </c>
      <c r="N22" s="15" t="s">
        <v>29</v>
      </c>
      <c r="O22" s="15" t="s">
        <v>4008</v>
      </c>
      <c r="P22" s="15" t="s">
        <v>148</v>
      </c>
      <c r="Q22" s="15" t="s">
        <v>149</v>
      </c>
      <c r="R22" s="15" t="s">
        <v>88</v>
      </c>
      <c r="S22" s="15" t="s">
        <v>255</v>
      </c>
      <c r="T22" s="15" t="s">
        <v>195</v>
      </c>
      <c r="U22" s="15" t="s">
        <v>4021</v>
      </c>
      <c r="V22" s="16">
        <v>46295</v>
      </c>
      <c r="W22" s="16">
        <v>46295</v>
      </c>
      <c r="X22" s="15" t="s">
        <v>3836</v>
      </c>
      <c r="Y22" s="16">
        <v>46295</v>
      </c>
      <c r="Z22" s="15" t="s">
        <v>226</v>
      </c>
      <c r="AA22" s="17" t="e">
        <f>VLOOKUP(F22,[1]Wait!$H$225:$I$260,2,0)</f>
        <v>#N/A</v>
      </c>
      <c r="AB22" s="5"/>
      <c r="AC22" s="6"/>
    </row>
    <row r="23" spans="1:29" s="2" customFormat="1" x14ac:dyDescent="0.25">
      <c r="A23" s="23">
        <f t="shared" si="0"/>
        <v>16</v>
      </c>
      <c r="B23" s="15" t="s">
        <v>4001</v>
      </c>
      <c r="C23" s="15" t="s">
        <v>4002</v>
      </c>
      <c r="D23" s="15" t="s">
        <v>4022</v>
      </c>
      <c r="E23" s="15" t="s">
        <v>4023</v>
      </c>
      <c r="F23" s="15" t="s">
        <v>4024</v>
      </c>
      <c r="G23" s="15" t="s">
        <v>25</v>
      </c>
      <c r="H23" s="15" t="s">
        <v>26</v>
      </c>
      <c r="I23" s="16">
        <v>46295</v>
      </c>
      <c r="J23" s="15" t="s">
        <v>4019</v>
      </c>
      <c r="K23" s="15" t="s">
        <v>28</v>
      </c>
      <c r="L23" s="15" t="s">
        <v>4025</v>
      </c>
      <c r="M23" s="15" t="s">
        <v>1425</v>
      </c>
      <c r="N23" s="15" t="s">
        <v>29</v>
      </c>
      <c r="O23" s="15" t="s">
        <v>4008</v>
      </c>
      <c r="P23" s="15" t="s">
        <v>148</v>
      </c>
      <c r="Q23" s="15" t="s">
        <v>149</v>
      </c>
      <c r="R23" s="15" t="s">
        <v>26</v>
      </c>
      <c r="S23" s="15" t="s">
        <v>255</v>
      </c>
      <c r="T23" s="15" t="s">
        <v>195</v>
      </c>
      <c r="U23" s="15" t="s">
        <v>4026</v>
      </c>
      <c r="V23" s="16">
        <v>46295</v>
      </c>
      <c r="W23" s="16">
        <v>46295</v>
      </c>
      <c r="X23" s="15" t="s">
        <v>3836</v>
      </c>
      <c r="Y23" s="16">
        <v>46295</v>
      </c>
      <c r="Z23" s="15" t="s">
        <v>226</v>
      </c>
      <c r="AA23" s="17" t="e">
        <f>VLOOKUP(F23,[1]Wait!$H$225:$I$260,2,0)</f>
        <v>#N/A</v>
      </c>
      <c r="AB23" s="5"/>
      <c r="AC23" s="6"/>
    </row>
    <row r="24" spans="1:29" s="2" customFormat="1" x14ac:dyDescent="0.25">
      <c r="A24" s="23">
        <f t="shared" si="0"/>
        <v>17</v>
      </c>
      <c r="B24" s="15" t="s">
        <v>3828</v>
      </c>
      <c r="C24" s="15" t="s">
        <v>3829</v>
      </c>
      <c r="D24" s="15" t="s">
        <v>3876</v>
      </c>
      <c r="E24" s="15" t="s">
        <v>3877</v>
      </c>
      <c r="F24" s="15" t="s">
        <v>3878</v>
      </c>
      <c r="G24" s="15" t="s">
        <v>25</v>
      </c>
      <c r="H24" s="15" t="s">
        <v>26</v>
      </c>
      <c r="I24" s="16">
        <v>46228</v>
      </c>
      <c r="J24" s="15" t="s">
        <v>52</v>
      </c>
      <c r="K24" s="15" t="s">
        <v>28</v>
      </c>
      <c r="L24" s="15" t="s">
        <v>3879</v>
      </c>
      <c r="M24" s="15" t="s">
        <v>1516</v>
      </c>
      <c r="N24" s="15" t="s">
        <v>29</v>
      </c>
      <c r="O24" s="15" t="s">
        <v>3847</v>
      </c>
      <c r="P24" s="15" t="s">
        <v>148</v>
      </c>
      <c r="Q24" s="15" t="s">
        <v>149</v>
      </c>
      <c r="R24" s="15" t="s">
        <v>3880</v>
      </c>
      <c r="S24" s="15" t="s">
        <v>32</v>
      </c>
      <c r="T24" s="15" t="s">
        <v>195</v>
      </c>
      <c r="U24" s="15" t="s">
        <v>3881</v>
      </c>
      <c r="V24" s="16">
        <v>46220</v>
      </c>
      <c r="W24" s="16">
        <v>46295</v>
      </c>
      <c r="X24" s="15" t="s">
        <v>3836</v>
      </c>
      <c r="Y24" s="16">
        <v>46295</v>
      </c>
      <c r="Z24" s="15" t="s">
        <v>226</v>
      </c>
      <c r="AA24" s="17" t="e">
        <f>VLOOKUP(F24,[1]Wait!$H$225:$I$260,2,0)</f>
        <v>#N/A</v>
      </c>
      <c r="AB24" s="5"/>
      <c r="AC24" s="6"/>
    </row>
    <row r="25" spans="1:29" x14ac:dyDescent="0.25">
      <c r="A25" s="23">
        <f t="shared" si="0"/>
        <v>18</v>
      </c>
      <c r="B25" s="15" t="s">
        <v>3828</v>
      </c>
      <c r="C25" s="15" t="s">
        <v>3829</v>
      </c>
      <c r="D25" s="15" t="s">
        <v>3882</v>
      </c>
      <c r="E25" s="15" t="s">
        <v>3883</v>
      </c>
      <c r="F25" s="15" t="s">
        <v>3884</v>
      </c>
      <c r="G25" s="15" t="s">
        <v>273</v>
      </c>
      <c r="H25" s="15" t="s">
        <v>26</v>
      </c>
      <c r="I25" s="16">
        <v>46296</v>
      </c>
      <c r="J25" s="15" t="s">
        <v>82</v>
      </c>
      <c r="K25" s="15" t="s">
        <v>28</v>
      </c>
      <c r="L25" s="15" t="s">
        <v>3885</v>
      </c>
      <c r="M25" s="15" t="s">
        <v>1545</v>
      </c>
      <c r="N25" s="15" t="s">
        <v>29</v>
      </c>
      <c r="O25" s="15" t="s">
        <v>3834</v>
      </c>
      <c r="P25" s="15" t="s">
        <v>41</v>
      </c>
      <c r="Q25" s="15" t="s">
        <v>42</v>
      </c>
      <c r="R25" s="15" t="s">
        <v>26</v>
      </c>
      <c r="S25" s="15" t="s">
        <v>32</v>
      </c>
      <c r="T25" s="15" t="s">
        <v>685</v>
      </c>
      <c r="U25" s="15" t="s">
        <v>3886</v>
      </c>
      <c r="V25" s="16">
        <v>46296</v>
      </c>
      <c r="W25" s="16">
        <v>46295</v>
      </c>
      <c r="X25" s="15" t="s">
        <v>3836</v>
      </c>
      <c r="Y25" s="16">
        <v>46295</v>
      </c>
      <c r="Z25" s="15" t="s">
        <v>226</v>
      </c>
      <c r="AA25" s="17" t="e">
        <f>VLOOKUP(F25,[1]Wait!$H$225:$I$260,2,0)</f>
        <v>#N/A</v>
      </c>
    </row>
    <row r="26" spans="1:29" x14ac:dyDescent="0.25">
      <c r="A26" s="23">
        <f t="shared" si="0"/>
        <v>19</v>
      </c>
      <c r="B26" s="15" t="s">
        <v>3842</v>
      </c>
      <c r="C26" s="15" t="s">
        <v>3829</v>
      </c>
      <c r="D26" s="15" t="s">
        <v>3887</v>
      </c>
      <c r="E26" s="15" t="s">
        <v>3888</v>
      </c>
      <c r="F26" s="15" t="s">
        <v>3889</v>
      </c>
      <c r="G26" s="15" t="s">
        <v>25</v>
      </c>
      <c r="H26" s="15" t="s">
        <v>26</v>
      </c>
      <c r="I26" s="16">
        <v>46272</v>
      </c>
      <c r="J26" s="15" t="s">
        <v>47</v>
      </c>
      <c r="K26" s="15" t="s">
        <v>28</v>
      </c>
      <c r="L26" s="15" t="s">
        <v>3890</v>
      </c>
      <c r="M26" s="15" t="s">
        <v>2905</v>
      </c>
      <c r="N26" s="15" t="s">
        <v>29</v>
      </c>
      <c r="O26" s="15" t="s">
        <v>3847</v>
      </c>
      <c r="P26" s="15" t="s">
        <v>30</v>
      </c>
      <c r="Q26" s="15" t="s">
        <v>31</v>
      </c>
      <c r="R26" s="15" t="s">
        <v>3891</v>
      </c>
      <c r="S26" s="15" t="s">
        <v>32</v>
      </c>
      <c r="T26" s="15" t="s">
        <v>66</v>
      </c>
      <c r="U26" s="15" t="s">
        <v>3892</v>
      </c>
      <c r="V26" s="16">
        <v>46272</v>
      </c>
      <c r="W26" s="16">
        <v>46268</v>
      </c>
      <c r="X26" s="15" t="s">
        <v>3836</v>
      </c>
      <c r="Y26" s="16">
        <v>46268</v>
      </c>
      <c r="Z26" s="15" t="s">
        <v>226</v>
      </c>
      <c r="AA26" s="17" t="e">
        <f>VLOOKUP(F26,[1]Wait!$H$225:$I$260,2,0)</f>
        <v>#N/A</v>
      </c>
    </row>
    <row r="27" spans="1:29" x14ac:dyDescent="0.25">
      <c r="A27" s="9">
        <f t="shared" si="0"/>
        <v>20</v>
      </c>
      <c r="B27" s="19" t="s">
        <v>3893</v>
      </c>
      <c r="C27" s="20" t="s">
        <v>3829</v>
      </c>
      <c r="D27" s="20" t="s">
        <v>3894</v>
      </c>
      <c r="E27" s="20" t="s">
        <v>3895</v>
      </c>
      <c r="F27" s="20" t="s">
        <v>3895</v>
      </c>
      <c r="G27" s="20" t="s">
        <v>194</v>
      </c>
      <c r="H27" s="20" t="s">
        <v>26</v>
      </c>
      <c r="I27" s="21">
        <v>46290</v>
      </c>
      <c r="J27" s="20" t="s">
        <v>82</v>
      </c>
      <c r="K27" s="20" t="s">
        <v>28</v>
      </c>
      <c r="L27" s="20" t="s">
        <v>3896</v>
      </c>
      <c r="M27" s="20" t="s">
        <v>1673</v>
      </c>
      <c r="N27" s="22" t="s">
        <v>250</v>
      </c>
      <c r="O27" s="20" t="s">
        <v>3847</v>
      </c>
      <c r="P27" s="20" t="s">
        <v>26</v>
      </c>
      <c r="Q27" s="20" t="s">
        <v>26</v>
      </c>
      <c r="R27" s="20" t="s">
        <v>26</v>
      </c>
      <c r="S27" s="20" t="s">
        <v>32</v>
      </c>
      <c r="T27" s="20" t="s">
        <v>195</v>
      </c>
      <c r="U27" s="20" t="s">
        <v>26</v>
      </c>
      <c r="V27" s="21">
        <v>46177</v>
      </c>
      <c r="W27" s="21">
        <v>46290</v>
      </c>
      <c r="X27" s="20" t="s">
        <v>3836</v>
      </c>
      <c r="Y27" s="21">
        <v>46290</v>
      </c>
      <c r="Z27" s="20" t="s">
        <v>226</v>
      </c>
      <c r="AA27" s="17" t="e">
        <f>VLOOKUP(F27,[1]Wait!$H$225:$I$260,2,0)</f>
        <v>#N/A</v>
      </c>
    </row>
    <row r="28" spans="1:29" x14ac:dyDescent="0.25">
      <c r="A28" s="9">
        <f t="shared" si="0"/>
        <v>21</v>
      </c>
      <c r="B28" s="19" t="s">
        <v>3893</v>
      </c>
      <c r="C28" s="20" t="s">
        <v>3829</v>
      </c>
      <c r="D28" s="20" t="s">
        <v>3897</v>
      </c>
      <c r="E28" s="20" t="s">
        <v>3895</v>
      </c>
      <c r="F28" s="20" t="s">
        <v>3895</v>
      </c>
      <c r="G28" s="20" t="s">
        <v>194</v>
      </c>
      <c r="H28" s="20" t="s">
        <v>26</v>
      </c>
      <c r="I28" s="21">
        <v>46290</v>
      </c>
      <c r="J28" s="20" t="s">
        <v>82</v>
      </c>
      <c r="K28" s="20" t="s">
        <v>58</v>
      </c>
      <c r="L28" s="20" t="s">
        <v>3896</v>
      </c>
      <c r="M28" s="20" t="s">
        <v>1673</v>
      </c>
      <c r="N28" s="22" t="s">
        <v>250</v>
      </c>
      <c r="O28" s="20" t="s">
        <v>3847</v>
      </c>
      <c r="P28" s="20" t="s">
        <v>26</v>
      </c>
      <c r="Q28" s="20" t="s">
        <v>26</v>
      </c>
      <c r="R28" s="20" t="s">
        <v>26</v>
      </c>
      <c r="S28" s="20" t="s">
        <v>32</v>
      </c>
      <c r="T28" s="20" t="s">
        <v>195</v>
      </c>
      <c r="U28" s="20" t="s">
        <v>26</v>
      </c>
      <c r="V28" s="21"/>
      <c r="W28" s="21">
        <v>46290</v>
      </c>
      <c r="X28" s="20" t="s">
        <v>3836</v>
      </c>
      <c r="Y28" s="21">
        <v>46290</v>
      </c>
      <c r="Z28" s="20" t="s">
        <v>226</v>
      </c>
      <c r="AA28" s="17" t="e">
        <f>VLOOKUP(F28,[1]Wait!$H$225:$I$260,2,0)</f>
        <v>#N/A</v>
      </c>
    </row>
    <row r="29" spans="1:29" x14ac:dyDescent="0.25">
      <c r="A29" s="9">
        <f t="shared" si="0"/>
        <v>22</v>
      </c>
      <c r="B29" s="19" t="s">
        <v>3893</v>
      </c>
      <c r="C29" s="20" t="s">
        <v>3829</v>
      </c>
      <c r="D29" s="20" t="s">
        <v>3898</v>
      </c>
      <c r="E29" s="20" t="s">
        <v>3899</v>
      </c>
      <c r="F29" s="20" t="s">
        <v>3899</v>
      </c>
      <c r="G29" s="20" t="s">
        <v>194</v>
      </c>
      <c r="H29" s="20" t="s">
        <v>26</v>
      </c>
      <c r="I29" s="21">
        <v>46290</v>
      </c>
      <c r="J29" s="20" t="s">
        <v>82</v>
      </c>
      <c r="K29" s="20" t="s">
        <v>28</v>
      </c>
      <c r="L29" s="20" t="s">
        <v>3900</v>
      </c>
      <c r="M29" s="20" t="s">
        <v>259</v>
      </c>
      <c r="N29" s="22" t="s">
        <v>250</v>
      </c>
      <c r="O29" s="20" t="s">
        <v>3847</v>
      </c>
      <c r="P29" s="20" t="s">
        <v>26</v>
      </c>
      <c r="Q29" s="20" t="s">
        <v>26</v>
      </c>
      <c r="R29" s="20" t="s">
        <v>26</v>
      </c>
      <c r="S29" s="20" t="s">
        <v>32</v>
      </c>
      <c r="T29" s="20" t="s">
        <v>195</v>
      </c>
      <c r="U29" s="20" t="s">
        <v>26</v>
      </c>
      <c r="V29" s="21"/>
      <c r="W29" s="21">
        <v>46290</v>
      </c>
      <c r="X29" s="20" t="s">
        <v>3836</v>
      </c>
      <c r="Y29" s="21">
        <v>46290</v>
      </c>
      <c r="Z29" s="20" t="s">
        <v>226</v>
      </c>
      <c r="AA29" s="17" t="e">
        <f>VLOOKUP(F29,[1]Wait!$H$225:$I$260,2,0)</f>
        <v>#N/A</v>
      </c>
    </row>
    <row r="30" spans="1:29" x14ac:dyDescent="0.25">
      <c r="A30" s="9">
        <f t="shared" si="0"/>
        <v>23</v>
      </c>
      <c r="B30" s="19" t="s">
        <v>3893</v>
      </c>
      <c r="C30" s="20" t="s">
        <v>3829</v>
      </c>
      <c r="D30" s="20" t="s">
        <v>3901</v>
      </c>
      <c r="E30" s="20" t="s">
        <v>3902</v>
      </c>
      <c r="F30" s="20" t="s">
        <v>3902</v>
      </c>
      <c r="G30" s="20" t="s">
        <v>194</v>
      </c>
      <c r="H30" s="20" t="s">
        <v>26</v>
      </c>
      <c r="I30" s="21">
        <v>46290</v>
      </c>
      <c r="J30" s="20" t="s">
        <v>82</v>
      </c>
      <c r="K30" s="20" t="s">
        <v>28</v>
      </c>
      <c r="L30" s="20" t="s">
        <v>3903</v>
      </c>
      <c r="M30" s="20" t="s">
        <v>259</v>
      </c>
      <c r="N30" s="22" t="s">
        <v>250</v>
      </c>
      <c r="O30" s="20" t="s">
        <v>3847</v>
      </c>
      <c r="P30" s="20" t="s">
        <v>26</v>
      </c>
      <c r="Q30" s="20" t="s">
        <v>26</v>
      </c>
      <c r="R30" s="20" t="s">
        <v>26</v>
      </c>
      <c r="S30" s="20" t="s">
        <v>32</v>
      </c>
      <c r="T30" s="20" t="s">
        <v>195</v>
      </c>
      <c r="U30" s="20" t="s">
        <v>26</v>
      </c>
      <c r="V30" s="21"/>
      <c r="W30" s="21">
        <v>46290</v>
      </c>
      <c r="X30" s="20" t="s">
        <v>3836</v>
      </c>
      <c r="Y30" s="21">
        <v>46290</v>
      </c>
      <c r="Z30" s="20" t="s">
        <v>226</v>
      </c>
      <c r="AA30" s="17" t="e">
        <f>VLOOKUP(F30,[1]Wait!$H$225:$I$260,2,0)</f>
        <v>#N/A</v>
      </c>
    </row>
    <row r="31" spans="1:29" x14ac:dyDescent="0.25">
      <c r="A31" s="9">
        <f t="shared" si="0"/>
        <v>24</v>
      </c>
      <c r="B31" s="19" t="s">
        <v>3893</v>
      </c>
      <c r="C31" s="20" t="s">
        <v>3829</v>
      </c>
      <c r="D31" s="20" t="s">
        <v>3904</v>
      </c>
      <c r="E31" s="20" t="s">
        <v>3905</v>
      </c>
      <c r="F31" s="20" t="s">
        <v>3905</v>
      </c>
      <c r="G31" s="20" t="s">
        <v>194</v>
      </c>
      <c r="H31" s="20" t="s">
        <v>26</v>
      </c>
      <c r="I31" s="21">
        <v>46290</v>
      </c>
      <c r="J31" s="20" t="s">
        <v>82</v>
      </c>
      <c r="K31" s="20" t="s">
        <v>28</v>
      </c>
      <c r="L31" s="20" t="s">
        <v>3906</v>
      </c>
      <c r="M31" s="20" t="s">
        <v>259</v>
      </c>
      <c r="N31" s="22" t="s">
        <v>250</v>
      </c>
      <c r="O31" s="20" t="s">
        <v>3847</v>
      </c>
      <c r="P31" s="20" t="s">
        <v>26</v>
      </c>
      <c r="Q31" s="20" t="s">
        <v>26</v>
      </c>
      <c r="R31" s="20" t="s">
        <v>26</v>
      </c>
      <c r="S31" s="20" t="s">
        <v>32</v>
      </c>
      <c r="T31" s="20" t="s">
        <v>195</v>
      </c>
      <c r="U31" s="20" t="s">
        <v>26</v>
      </c>
      <c r="V31" s="21"/>
      <c r="W31" s="21">
        <v>46290</v>
      </c>
      <c r="X31" s="20" t="s">
        <v>3836</v>
      </c>
      <c r="Y31" s="21">
        <v>46290</v>
      </c>
      <c r="Z31" s="20" t="s">
        <v>226</v>
      </c>
      <c r="AA31" s="17" t="e">
        <f>VLOOKUP(F31,[1]Wait!$H$225:$I$260,2,0)</f>
        <v>#N/A</v>
      </c>
    </row>
    <row r="32" spans="1:29" x14ac:dyDescent="0.25">
      <c r="A32" s="9">
        <f t="shared" si="0"/>
        <v>25</v>
      </c>
      <c r="B32" s="19" t="s">
        <v>3893</v>
      </c>
      <c r="C32" s="20" t="s">
        <v>3829</v>
      </c>
      <c r="D32" s="20" t="s">
        <v>3907</v>
      </c>
      <c r="E32" s="20" t="s">
        <v>3908</v>
      </c>
      <c r="F32" s="20" t="s">
        <v>3908</v>
      </c>
      <c r="G32" s="20" t="s">
        <v>194</v>
      </c>
      <c r="H32" s="20" t="s">
        <v>26</v>
      </c>
      <c r="I32" s="21">
        <v>46290</v>
      </c>
      <c r="J32" s="20" t="s">
        <v>82</v>
      </c>
      <c r="K32" s="20" t="s">
        <v>28</v>
      </c>
      <c r="L32" s="20" t="s">
        <v>3909</v>
      </c>
      <c r="M32" s="20" t="s">
        <v>259</v>
      </c>
      <c r="N32" s="22" t="s">
        <v>250</v>
      </c>
      <c r="O32" s="20" t="s">
        <v>3847</v>
      </c>
      <c r="P32" s="20" t="s">
        <v>26</v>
      </c>
      <c r="Q32" s="20" t="s">
        <v>26</v>
      </c>
      <c r="R32" s="20" t="s">
        <v>26</v>
      </c>
      <c r="S32" s="20" t="s">
        <v>32</v>
      </c>
      <c r="T32" s="20" t="s">
        <v>195</v>
      </c>
      <c r="U32" s="20" t="s">
        <v>26</v>
      </c>
      <c r="V32" s="21"/>
      <c r="W32" s="21">
        <v>46290</v>
      </c>
      <c r="X32" s="20" t="s">
        <v>3836</v>
      </c>
      <c r="Y32" s="21">
        <v>46290</v>
      </c>
      <c r="Z32" s="20" t="s">
        <v>226</v>
      </c>
      <c r="AA32" s="17" t="e">
        <f>VLOOKUP(F32,[1]Wait!$H$225:$I$260,2,0)</f>
        <v>#N/A</v>
      </c>
    </row>
    <row r="33" spans="1:27" x14ac:dyDescent="0.25">
      <c r="A33" s="9">
        <f t="shared" si="0"/>
        <v>26</v>
      </c>
      <c r="B33" s="19" t="s">
        <v>3893</v>
      </c>
      <c r="C33" s="20" t="s">
        <v>3829</v>
      </c>
      <c r="D33" s="20" t="s">
        <v>3910</v>
      </c>
      <c r="E33" s="20" t="s">
        <v>3911</v>
      </c>
      <c r="F33" s="20" t="s">
        <v>3911</v>
      </c>
      <c r="G33" s="20" t="s">
        <v>194</v>
      </c>
      <c r="H33" s="20" t="s">
        <v>26</v>
      </c>
      <c r="I33" s="21">
        <v>46290</v>
      </c>
      <c r="J33" s="20" t="s">
        <v>82</v>
      </c>
      <c r="K33" s="20" t="s">
        <v>28</v>
      </c>
      <c r="L33" s="20" t="s">
        <v>3912</v>
      </c>
      <c r="M33" s="20" t="s">
        <v>259</v>
      </c>
      <c r="N33" s="22" t="s">
        <v>250</v>
      </c>
      <c r="O33" s="20" t="s">
        <v>3847</v>
      </c>
      <c r="P33" s="20" t="s">
        <v>26</v>
      </c>
      <c r="Q33" s="20" t="s">
        <v>26</v>
      </c>
      <c r="R33" s="20" t="s">
        <v>26</v>
      </c>
      <c r="S33" s="20" t="s">
        <v>32</v>
      </c>
      <c r="T33" s="20" t="s">
        <v>195</v>
      </c>
      <c r="U33" s="20" t="s">
        <v>26</v>
      </c>
      <c r="V33" s="21"/>
      <c r="W33" s="21">
        <v>46290</v>
      </c>
      <c r="X33" s="20" t="s">
        <v>3836</v>
      </c>
      <c r="Y33" s="21">
        <v>46290</v>
      </c>
      <c r="Z33" s="20" t="s">
        <v>226</v>
      </c>
      <c r="AA33" s="17" t="e">
        <f>VLOOKUP(F33,[1]Wait!$H$225:$I$260,2,0)</f>
        <v>#N/A</v>
      </c>
    </row>
    <row r="34" spans="1:27" x14ac:dyDescent="0.25">
      <c r="A34" s="9">
        <f t="shared" si="0"/>
        <v>27</v>
      </c>
      <c r="B34" s="19" t="s">
        <v>4027</v>
      </c>
      <c r="C34" s="20" t="s">
        <v>3829</v>
      </c>
      <c r="D34" s="20" t="s">
        <v>4028</v>
      </c>
      <c r="E34" s="20" t="s">
        <v>26</v>
      </c>
      <c r="F34" s="20" t="s">
        <v>4029</v>
      </c>
      <c r="G34" s="20" t="s">
        <v>25</v>
      </c>
      <c r="H34" s="20" t="s">
        <v>26</v>
      </c>
      <c r="I34" s="21">
        <v>46299</v>
      </c>
      <c r="J34" s="20" t="s">
        <v>52</v>
      </c>
      <c r="K34" s="20" t="s">
        <v>28</v>
      </c>
      <c r="L34" s="20" t="s">
        <v>4030</v>
      </c>
      <c r="M34" s="20" t="s">
        <v>259</v>
      </c>
      <c r="N34" s="22" t="s">
        <v>250</v>
      </c>
      <c r="O34" s="20" t="s">
        <v>3847</v>
      </c>
      <c r="P34" s="20" t="s">
        <v>26</v>
      </c>
      <c r="Q34" s="20" t="s">
        <v>26</v>
      </c>
      <c r="R34" s="20" t="s">
        <v>26</v>
      </c>
      <c r="S34" s="20" t="s">
        <v>32</v>
      </c>
      <c r="T34" s="20" t="s">
        <v>195</v>
      </c>
      <c r="U34" s="20" t="s">
        <v>4031</v>
      </c>
      <c r="V34" s="21"/>
      <c r="W34" s="21">
        <v>46299</v>
      </c>
      <c r="X34" s="20" t="s">
        <v>3836</v>
      </c>
      <c r="Y34" s="21">
        <v>46300</v>
      </c>
      <c r="Z34" s="20" t="s">
        <v>4032</v>
      </c>
      <c r="AA34" s="17" t="e">
        <f>VLOOKUP(F34,[1]Wait!$H$225:$I$260,2,0)</f>
        <v>#N/A</v>
      </c>
    </row>
    <row r="35" spans="1:27" x14ac:dyDescent="0.25">
      <c r="A35" s="9">
        <f t="shared" si="0"/>
        <v>28</v>
      </c>
      <c r="B35" s="19" t="s">
        <v>4027</v>
      </c>
      <c r="C35" s="20" t="s">
        <v>3829</v>
      </c>
      <c r="D35" s="20" t="s">
        <v>4033</v>
      </c>
      <c r="E35" s="20" t="s">
        <v>26</v>
      </c>
      <c r="F35" s="20" t="s">
        <v>4029</v>
      </c>
      <c r="G35" s="20" t="s">
        <v>25</v>
      </c>
      <c r="H35" s="20" t="s">
        <v>26</v>
      </c>
      <c r="I35" s="21">
        <v>46299</v>
      </c>
      <c r="J35" s="20" t="s">
        <v>52</v>
      </c>
      <c r="K35" s="20" t="s">
        <v>58</v>
      </c>
      <c r="L35" s="20" t="s">
        <v>4030</v>
      </c>
      <c r="M35" s="20" t="s">
        <v>259</v>
      </c>
      <c r="N35" s="22" t="s">
        <v>250</v>
      </c>
      <c r="O35" s="20" t="s">
        <v>3847</v>
      </c>
      <c r="P35" s="20" t="s">
        <v>26</v>
      </c>
      <c r="Q35" s="20" t="s">
        <v>26</v>
      </c>
      <c r="R35" s="20" t="s">
        <v>26</v>
      </c>
      <c r="S35" s="20" t="s">
        <v>32</v>
      </c>
      <c r="T35" s="20" t="s">
        <v>195</v>
      </c>
      <c r="U35" s="20" t="s">
        <v>4031</v>
      </c>
      <c r="V35" s="21"/>
      <c r="W35" s="21">
        <v>46299</v>
      </c>
      <c r="X35" s="20" t="s">
        <v>3836</v>
      </c>
      <c r="Y35" s="21">
        <v>46300</v>
      </c>
      <c r="Z35" s="20" t="s">
        <v>4032</v>
      </c>
      <c r="AA35" s="17" t="e">
        <f>VLOOKUP(F35,[1]Wait!$H$225:$I$260,2,0)</f>
        <v>#N/A</v>
      </c>
    </row>
    <row r="36" spans="1:27" x14ac:dyDescent="0.25">
      <c r="A36" s="9">
        <f t="shared" si="0"/>
        <v>29</v>
      </c>
      <c r="B36" s="19" t="s">
        <v>4027</v>
      </c>
      <c r="C36" s="20" t="s">
        <v>3829</v>
      </c>
      <c r="D36" s="20" t="s">
        <v>4034</v>
      </c>
      <c r="E36" s="20" t="s">
        <v>26</v>
      </c>
      <c r="F36" s="20" t="s">
        <v>4035</v>
      </c>
      <c r="G36" s="20" t="s">
        <v>25</v>
      </c>
      <c r="H36" s="20" t="s">
        <v>26</v>
      </c>
      <c r="I36" s="21">
        <v>46299</v>
      </c>
      <c r="J36" s="20" t="s">
        <v>36</v>
      </c>
      <c r="K36" s="20" t="s">
        <v>28</v>
      </c>
      <c r="L36" s="20" t="s">
        <v>4036</v>
      </c>
      <c r="M36" s="20" t="s">
        <v>259</v>
      </c>
      <c r="N36" s="22" t="s">
        <v>250</v>
      </c>
      <c r="O36" s="20" t="s">
        <v>3847</v>
      </c>
      <c r="P36" s="20" t="s">
        <v>613</v>
      </c>
      <c r="Q36" s="20" t="s">
        <v>614</v>
      </c>
      <c r="R36" s="20" t="s">
        <v>118</v>
      </c>
      <c r="S36" s="20" t="s">
        <v>32</v>
      </c>
      <c r="T36" s="20" t="s">
        <v>195</v>
      </c>
      <c r="U36" s="20" t="s">
        <v>4037</v>
      </c>
      <c r="V36" s="21"/>
      <c r="W36" s="21">
        <v>46299</v>
      </c>
      <c r="X36" s="20" t="s">
        <v>3836</v>
      </c>
      <c r="Y36" s="21">
        <v>46300</v>
      </c>
      <c r="Z36" s="20" t="s">
        <v>4032</v>
      </c>
      <c r="AA36" s="17" t="e">
        <f>VLOOKUP(F36,[1]Wait!$H$225:$I$260,2,0)</f>
        <v>#N/A</v>
      </c>
    </row>
    <row r="37" spans="1:27" x14ac:dyDescent="0.25">
      <c r="A37" s="9">
        <f t="shared" si="0"/>
        <v>30</v>
      </c>
      <c r="B37" s="19" t="s">
        <v>4027</v>
      </c>
      <c r="C37" s="20" t="s">
        <v>3829</v>
      </c>
      <c r="D37" s="20" t="s">
        <v>4038</v>
      </c>
      <c r="E37" s="20" t="s">
        <v>26</v>
      </c>
      <c r="F37" s="20" t="s">
        <v>4035</v>
      </c>
      <c r="G37" s="20" t="s">
        <v>25</v>
      </c>
      <c r="H37" s="20" t="s">
        <v>26</v>
      </c>
      <c r="I37" s="21">
        <v>46299</v>
      </c>
      <c r="J37" s="20" t="s">
        <v>36</v>
      </c>
      <c r="K37" s="20" t="s">
        <v>58</v>
      </c>
      <c r="L37" s="20" t="s">
        <v>4036</v>
      </c>
      <c r="M37" s="20" t="s">
        <v>259</v>
      </c>
      <c r="N37" s="22" t="s">
        <v>250</v>
      </c>
      <c r="O37" s="20" t="s">
        <v>3847</v>
      </c>
      <c r="P37" s="20" t="s">
        <v>613</v>
      </c>
      <c r="Q37" s="20" t="s">
        <v>614</v>
      </c>
      <c r="R37" s="20" t="s">
        <v>118</v>
      </c>
      <c r="S37" s="20" t="s">
        <v>32</v>
      </c>
      <c r="T37" s="20" t="s">
        <v>195</v>
      </c>
      <c r="U37" s="20" t="s">
        <v>4037</v>
      </c>
      <c r="V37" s="21"/>
      <c r="W37" s="21">
        <v>46299</v>
      </c>
      <c r="X37" s="20" t="s">
        <v>3836</v>
      </c>
      <c r="Y37" s="21">
        <v>46300</v>
      </c>
      <c r="Z37" s="20" t="s">
        <v>4032</v>
      </c>
      <c r="AA37" s="17" t="e">
        <f>VLOOKUP(F37,[1]Wait!$H$225:$I$260,2,0)</f>
        <v>#N/A</v>
      </c>
    </row>
    <row r="38" spans="1:27" x14ac:dyDescent="0.25">
      <c r="A38" s="9">
        <f t="shared" si="0"/>
        <v>31</v>
      </c>
      <c r="B38" s="19" t="s">
        <v>4027</v>
      </c>
      <c r="C38" s="20" t="s">
        <v>3829</v>
      </c>
      <c r="D38" s="20" t="s">
        <v>4039</v>
      </c>
      <c r="E38" s="20" t="s">
        <v>26</v>
      </c>
      <c r="F38" s="20" t="s">
        <v>4035</v>
      </c>
      <c r="G38" s="20" t="s">
        <v>25</v>
      </c>
      <c r="H38" s="20" t="s">
        <v>26</v>
      </c>
      <c r="I38" s="21">
        <v>46299</v>
      </c>
      <c r="J38" s="20" t="s">
        <v>36</v>
      </c>
      <c r="K38" s="20" t="s">
        <v>59</v>
      </c>
      <c r="L38" s="20" t="s">
        <v>4036</v>
      </c>
      <c r="M38" s="20" t="s">
        <v>259</v>
      </c>
      <c r="N38" s="22" t="s">
        <v>250</v>
      </c>
      <c r="O38" s="20" t="s">
        <v>3847</v>
      </c>
      <c r="P38" s="20" t="s">
        <v>613</v>
      </c>
      <c r="Q38" s="20" t="s">
        <v>614</v>
      </c>
      <c r="R38" s="20" t="s">
        <v>118</v>
      </c>
      <c r="S38" s="20" t="s">
        <v>32</v>
      </c>
      <c r="T38" s="20" t="s">
        <v>195</v>
      </c>
      <c r="U38" s="20" t="s">
        <v>4037</v>
      </c>
      <c r="V38" s="21"/>
      <c r="W38" s="21">
        <v>46299</v>
      </c>
      <c r="X38" s="20" t="s">
        <v>3836</v>
      </c>
      <c r="Y38" s="21">
        <v>46300</v>
      </c>
      <c r="Z38" s="20" t="s">
        <v>4032</v>
      </c>
      <c r="AA38" s="17" t="e">
        <f>VLOOKUP(F38,[1]Wait!$H$225:$I$260,2,0)</f>
        <v>#N/A</v>
      </c>
    </row>
    <row r="39" spans="1:27" x14ac:dyDescent="0.25">
      <c r="A39" s="9">
        <f t="shared" si="0"/>
        <v>32</v>
      </c>
      <c r="B39" s="19" t="s">
        <v>4027</v>
      </c>
      <c r="C39" s="20" t="s">
        <v>3829</v>
      </c>
      <c r="D39" s="20" t="s">
        <v>4040</v>
      </c>
      <c r="E39" s="20" t="s">
        <v>26</v>
      </c>
      <c r="F39" s="20" t="s">
        <v>4035</v>
      </c>
      <c r="G39" s="20" t="s">
        <v>25</v>
      </c>
      <c r="H39" s="20" t="s">
        <v>26</v>
      </c>
      <c r="I39" s="21">
        <v>46299</v>
      </c>
      <c r="J39" s="20" t="s">
        <v>36</v>
      </c>
      <c r="K39" s="20" t="s">
        <v>684</v>
      </c>
      <c r="L39" s="20" t="s">
        <v>4036</v>
      </c>
      <c r="M39" s="20" t="s">
        <v>259</v>
      </c>
      <c r="N39" s="22" t="s">
        <v>250</v>
      </c>
      <c r="O39" s="20" t="s">
        <v>3847</v>
      </c>
      <c r="P39" s="20" t="s">
        <v>613</v>
      </c>
      <c r="Q39" s="20" t="s">
        <v>614</v>
      </c>
      <c r="R39" s="20" t="s">
        <v>118</v>
      </c>
      <c r="S39" s="20" t="s">
        <v>32</v>
      </c>
      <c r="T39" s="20" t="s">
        <v>195</v>
      </c>
      <c r="U39" s="20" t="s">
        <v>4037</v>
      </c>
      <c r="V39" s="21"/>
      <c r="W39" s="21">
        <v>46299</v>
      </c>
      <c r="X39" s="20" t="s">
        <v>3836</v>
      </c>
      <c r="Y39" s="21">
        <v>46300</v>
      </c>
      <c r="Z39" s="20" t="s">
        <v>4032</v>
      </c>
      <c r="AA39" s="17" t="e">
        <f>VLOOKUP(F39,[1]Wait!$H$225:$I$260,2,0)</f>
        <v>#N/A</v>
      </c>
    </row>
    <row r="40" spans="1:27" x14ac:dyDescent="0.25">
      <c r="A40" s="9">
        <f t="shared" si="0"/>
        <v>33</v>
      </c>
      <c r="B40" s="19" t="s">
        <v>4027</v>
      </c>
      <c r="C40" s="20" t="s">
        <v>3829</v>
      </c>
      <c r="D40" s="20" t="s">
        <v>4041</v>
      </c>
      <c r="E40" s="20" t="s">
        <v>26</v>
      </c>
      <c r="F40" s="20" t="s">
        <v>4042</v>
      </c>
      <c r="G40" s="20" t="s">
        <v>25</v>
      </c>
      <c r="H40" s="20" t="s">
        <v>26</v>
      </c>
      <c r="I40" s="21">
        <v>46299</v>
      </c>
      <c r="J40" s="20" t="s">
        <v>82</v>
      </c>
      <c r="K40" s="20" t="s">
        <v>28</v>
      </c>
      <c r="L40" s="20" t="s">
        <v>4043</v>
      </c>
      <c r="M40" s="20" t="s">
        <v>259</v>
      </c>
      <c r="N40" s="22" t="s">
        <v>250</v>
      </c>
      <c r="O40" s="20" t="s">
        <v>3847</v>
      </c>
      <c r="P40" s="20" t="s">
        <v>613</v>
      </c>
      <c r="Q40" s="20" t="s">
        <v>614</v>
      </c>
      <c r="R40" s="20" t="s">
        <v>118</v>
      </c>
      <c r="S40" s="20" t="s">
        <v>32</v>
      </c>
      <c r="T40" s="20" t="s">
        <v>195</v>
      </c>
      <c r="U40" s="20" t="s">
        <v>4037</v>
      </c>
      <c r="V40" s="21"/>
      <c r="W40" s="21">
        <v>46299</v>
      </c>
      <c r="X40" s="20" t="s">
        <v>3836</v>
      </c>
      <c r="Y40" s="21">
        <v>46300</v>
      </c>
      <c r="Z40" s="20" t="s">
        <v>4032</v>
      </c>
      <c r="AA40" s="17" t="e">
        <f>VLOOKUP(F40,[1]Wait!$H$225:$I$260,2,0)</f>
        <v>#N/A</v>
      </c>
    </row>
    <row r="41" spans="1:27" x14ac:dyDescent="0.25">
      <c r="A41" s="9">
        <f t="shared" si="0"/>
        <v>34</v>
      </c>
      <c r="B41" s="19" t="s">
        <v>4027</v>
      </c>
      <c r="C41" s="20" t="s">
        <v>3829</v>
      </c>
      <c r="D41" s="20" t="s">
        <v>4044</v>
      </c>
      <c r="E41" s="20" t="s">
        <v>26</v>
      </c>
      <c r="F41" s="20" t="s">
        <v>4042</v>
      </c>
      <c r="G41" s="20" t="s">
        <v>25</v>
      </c>
      <c r="H41" s="20" t="s">
        <v>26</v>
      </c>
      <c r="I41" s="21">
        <v>46299</v>
      </c>
      <c r="J41" s="20" t="s">
        <v>82</v>
      </c>
      <c r="K41" s="20" t="s">
        <v>58</v>
      </c>
      <c r="L41" s="20" t="s">
        <v>4043</v>
      </c>
      <c r="M41" s="20" t="s">
        <v>259</v>
      </c>
      <c r="N41" s="22" t="s">
        <v>250</v>
      </c>
      <c r="O41" s="20" t="s">
        <v>3847</v>
      </c>
      <c r="P41" s="20" t="s">
        <v>613</v>
      </c>
      <c r="Q41" s="20" t="s">
        <v>614</v>
      </c>
      <c r="R41" s="20" t="s">
        <v>118</v>
      </c>
      <c r="S41" s="20" t="s">
        <v>32</v>
      </c>
      <c r="T41" s="20" t="s">
        <v>195</v>
      </c>
      <c r="U41" s="20" t="s">
        <v>4037</v>
      </c>
      <c r="V41" s="21"/>
      <c r="W41" s="21">
        <v>46299</v>
      </c>
      <c r="X41" s="20" t="s">
        <v>3836</v>
      </c>
      <c r="Y41" s="21">
        <v>46300</v>
      </c>
      <c r="Z41" s="20" t="s">
        <v>4032</v>
      </c>
      <c r="AA41" s="17" t="e">
        <f>VLOOKUP(F41,[1]Wait!$H$225:$I$260,2,0)</f>
        <v>#N/A</v>
      </c>
    </row>
    <row r="42" spans="1:27" x14ac:dyDescent="0.25">
      <c r="A42" s="9">
        <f t="shared" si="0"/>
        <v>35</v>
      </c>
      <c r="B42" s="19" t="s">
        <v>4027</v>
      </c>
      <c r="C42" s="20" t="s">
        <v>3829</v>
      </c>
      <c r="D42" s="20" t="s">
        <v>4045</v>
      </c>
      <c r="E42" s="20" t="s">
        <v>26</v>
      </c>
      <c r="F42" s="20" t="s">
        <v>4042</v>
      </c>
      <c r="G42" s="20" t="s">
        <v>25</v>
      </c>
      <c r="H42" s="20" t="s">
        <v>26</v>
      </c>
      <c r="I42" s="21">
        <v>46299</v>
      </c>
      <c r="J42" s="20" t="s">
        <v>82</v>
      </c>
      <c r="K42" s="20" t="s">
        <v>59</v>
      </c>
      <c r="L42" s="20" t="s">
        <v>4043</v>
      </c>
      <c r="M42" s="20" t="s">
        <v>259</v>
      </c>
      <c r="N42" s="22" t="s">
        <v>250</v>
      </c>
      <c r="O42" s="20" t="s">
        <v>3847</v>
      </c>
      <c r="P42" s="20" t="s">
        <v>613</v>
      </c>
      <c r="Q42" s="20" t="s">
        <v>614</v>
      </c>
      <c r="R42" s="20" t="s">
        <v>118</v>
      </c>
      <c r="S42" s="20" t="s">
        <v>32</v>
      </c>
      <c r="T42" s="20" t="s">
        <v>195</v>
      </c>
      <c r="U42" s="20" t="s">
        <v>4037</v>
      </c>
      <c r="V42" s="21"/>
      <c r="W42" s="21">
        <v>46299</v>
      </c>
      <c r="X42" s="20" t="s">
        <v>3836</v>
      </c>
      <c r="Y42" s="21">
        <v>46300</v>
      </c>
      <c r="Z42" s="20" t="s">
        <v>4032</v>
      </c>
      <c r="AA42" s="17" t="e">
        <f>VLOOKUP(F42,[1]Wait!$H$225:$I$260,2,0)</f>
        <v>#N/A</v>
      </c>
    </row>
    <row r="43" spans="1:27" x14ac:dyDescent="0.25">
      <c r="A43" s="9">
        <f t="shared" si="0"/>
        <v>36</v>
      </c>
      <c r="B43" s="19" t="s">
        <v>4027</v>
      </c>
      <c r="C43" s="20" t="s">
        <v>3829</v>
      </c>
      <c r="D43" s="20" t="s">
        <v>4046</v>
      </c>
      <c r="E43" s="20" t="s">
        <v>26</v>
      </c>
      <c r="F43" s="20" t="s">
        <v>4042</v>
      </c>
      <c r="G43" s="20" t="s">
        <v>25</v>
      </c>
      <c r="H43" s="20" t="s">
        <v>26</v>
      </c>
      <c r="I43" s="21">
        <v>46299</v>
      </c>
      <c r="J43" s="20" t="s">
        <v>82</v>
      </c>
      <c r="K43" s="20" t="s">
        <v>684</v>
      </c>
      <c r="L43" s="20" t="s">
        <v>4043</v>
      </c>
      <c r="M43" s="20" t="s">
        <v>259</v>
      </c>
      <c r="N43" s="22" t="s">
        <v>250</v>
      </c>
      <c r="O43" s="20" t="s">
        <v>3847</v>
      </c>
      <c r="P43" s="20" t="s">
        <v>613</v>
      </c>
      <c r="Q43" s="20" t="s">
        <v>614</v>
      </c>
      <c r="R43" s="20" t="s">
        <v>118</v>
      </c>
      <c r="S43" s="20" t="s">
        <v>32</v>
      </c>
      <c r="T43" s="20" t="s">
        <v>195</v>
      </c>
      <c r="U43" s="20" t="s">
        <v>4037</v>
      </c>
      <c r="V43" s="21"/>
      <c r="W43" s="21">
        <v>46299</v>
      </c>
      <c r="X43" s="20" t="s">
        <v>3836</v>
      </c>
      <c r="Y43" s="21">
        <v>46300</v>
      </c>
      <c r="Z43" s="20" t="s">
        <v>4032</v>
      </c>
      <c r="AA43" s="17" t="e">
        <f>VLOOKUP(F43,[1]Wait!$H$225:$I$260,2,0)</f>
        <v>#N/A</v>
      </c>
    </row>
    <row r="44" spans="1:27" x14ac:dyDescent="0.25">
      <c r="A44" s="9">
        <f t="shared" si="0"/>
        <v>37</v>
      </c>
      <c r="B44" s="19" t="s">
        <v>4027</v>
      </c>
      <c r="C44" s="20" t="s">
        <v>3829</v>
      </c>
      <c r="D44" s="20" t="s">
        <v>4047</v>
      </c>
      <c r="E44" s="20" t="s">
        <v>26</v>
      </c>
      <c r="F44" s="20" t="s">
        <v>4042</v>
      </c>
      <c r="G44" s="20" t="s">
        <v>25</v>
      </c>
      <c r="H44" s="20" t="s">
        <v>26</v>
      </c>
      <c r="I44" s="21">
        <v>46299</v>
      </c>
      <c r="J44" s="20" t="s">
        <v>82</v>
      </c>
      <c r="K44" s="20" t="s">
        <v>557</v>
      </c>
      <c r="L44" s="20" t="s">
        <v>4043</v>
      </c>
      <c r="M44" s="20" t="s">
        <v>259</v>
      </c>
      <c r="N44" s="22" t="s">
        <v>250</v>
      </c>
      <c r="O44" s="20" t="s">
        <v>3847</v>
      </c>
      <c r="P44" s="20" t="s">
        <v>613</v>
      </c>
      <c r="Q44" s="20" t="s">
        <v>614</v>
      </c>
      <c r="R44" s="20" t="s">
        <v>118</v>
      </c>
      <c r="S44" s="20" t="s">
        <v>32</v>
      </c>
      <c r="T44" s="20" t="s">
        <v>195</v>
      </c>
      <c r="U44" s="20" t="s">
        <v>4037</v>
      </c>
      <c r="V44" s="21"/>
      <c r="W44" s="21">
        <v>46299</v>
      </c>
      <c r="X44" s="20" t="s">
        <v>3836</v>
      </c>
      <c r="Y44" s="21">
        <v>46300</v>
      </c>
      <c r="Z44" s="20" t="s">
        <v>4032</v>
      </c>
      <c r="AA44" s="17" t="e">
        <f>VLOOKUP(F44,[1]Wait!$H$225:$I$260,2,0)</f>
        <v>#N/A</v>
      </c>
    </row>
    <row r="45" spans="1:27" x14ac:dyDescent="0.25">
      <c r="A45" s="9">
        <f t="shared" si="0"/>
        <v>38</v>
      </c>
      <c r="B45" s="19" t="s">
        <v>4027</v>
      </c>
      <c r="C45" s="20" t="s">
        <v>3829</v>
      </c>
      <c r="D45" s="20" t="s">
        <v>4048</v>
      </c>
      <c r="E45" s="20" t="s">
        <v>26</v>
      </c>
      <c r="F45" s="20" t="s">
        <v>4042</v>
      </c>
      <c r="G45" s="20" t="s">
        <v>25</v>
      </c>
      <c r="H45" s="20" t="s">
        <v>26</v>
      </c>
      <c r="I45" s="21">
        <v>46299</v>
      </c>
      <c r="J45" s="20" t="s">
        <v>82</v>
      </c>
      <c r="K45" s="20" t="s">
        <v>1141</v>
      </c>
      <c r="L45" s="20" t="s">
        <v>4043</v>
      </c>
      <c r="M45" s="20" t="s">
        <v>259</v>
      </c>
      <c r="N45" s="22" t="s">
        <v>250</v>
      </c>
      <c r="O45" s="20" t="s">
        <v>3847</v>
      </c>
      <c r="P45" s="20" t="s">
        <v>613</v>
      </c>
      <c r="Q45" s="20" t="s">
        <v>614</v>
      </c>
      <c r="R45" s="20" t="s">
        <v>118</v>
      </c>
      <c r="S45" s="20" t="s">
        <v>32</v>
      </c>
      <c r="T45" s="20" t="s">
        <v>195</v>
      </c>
      <c r="U45" s="20" t="s">
        <v>4037</v>
      </c>
      <c r="V45" s="21"/>
      <c r="W45" s="21">
        <v>46299</v>
      </c>
      <c r="X45" s="20" t="s">
        <v>3836</v>
      </c>
      <c r="Y45" s="21">
        <v>46300</v>
      </c>
      <c r="Z45" s="20" t="s">
        <v>4032</v>
      </c>
      <c r="AA45" s="17" t="e">
        <f>VLOOKUP(F45,[1]Wait!$H$225:$I$260,2,0)</f>
        <v>#N/A</v>
      </c>
    </row>
    <row r="46" spans="1:27" x14ac:dyDescent="0.25">
      <c r="A46" s="9">
        <f t="shared" si="0"/>
        <v>39</v>
      </c>
      <c r="B46" s="19" t="s">
        <v>4027</v>
      </c>
      <c r="C46" s="20" t="s">
        <v>3829</v>
      </c>
      <c r="D46" s="20" t="s">
        <v>4049</v>
      </c>
      <c r="E46" s="20" t="s">
        <v>26</v>
      </c>
      <c r="F46" s="20" t="s">
        <v>4042</v>
      </c>
      <c r="G46" s="20" t="s">
        <v>25</v>
      </c>
      <c r="H46" s="20" t="s">
        <v>26</v>
      </c>
      <c r="I46" s="21">
        <v>46299</v>
      </c>
      <c r="J46" s="20" t="s">
        <v>82</v>
      </c>
      <c r="K46" s="20" t="s">
        <v>1143</v>
      </c>
      <c r="L46" s="20" t="s">
        <v>4043</v>
      </c>
      <c r="M46" s="20" t="s">
        <v>259</v>
      </c>
      <c r="N46" s="22" t="s">
        <v>250</v>
      </c>
      <c r="O46" s="20" t="s">
        <v>3847</v>
      </c>
      <c r="P46" s="20" t="s">
        <v>613</v>
      </c>
      <c r="Q46" s="20" t="s">
        <v>614</v>
      </c>
      <c r="R46" s="20" t="s">
        <v>118</v>
      </c>
      <c r="S46" s="20" t="s">
        <v>32</v>
      </c>
      <c r="T46" s="20" t="s">
        <v>195</v>
      </c>
      <c r="U46" s="20" t="s">
        <v>4037</v>
      </c>
      <c r="V46" s="21"/>
      <c r="W46" s="21">
        <v>46299</v>
      </c>
      <c r="X46" s="20" t="s">
        <v>3836</v>
      </c>
      <c r="Y46" s="21">
        <v>46300</v>
      </c>
      <c r="Z46" s="20" t="s">
        <v>4032</v>
      </c>
      <c r="AA46" s="17" t="e">
        <f>VLOOKUP(F46,[1]Wait!$H$225:$I$260,2,0)</f>
        <v>#N/A</v>
      </c>
    </row>
    <row r="47" spans="1:27" x14ac:dyDescent="0.25">
      <c r="A47" s="9">
        <f t="shared" si="0"/>
        <v>40</v>
      </c>
      <c r="B47" s="19" t="s">
        <v>4027</v>
      </c>
      <c r="C47" s="20" t="s">
        <v>3829</v>
      </c>
      <c r="D47" s="20" t="s">
        <v>4050</v>
      </c>
      <c r="E47" s="20" t="s">
        <v>26</v>
      </c>
      <c r="F47" s="20" t="s">
        <v>4042</v>
      </c>
      <c r="G47" s="20" t="s">
        <v>25</v>
      </c>
      <c r="H47" s="20" t="s">
        <v>26</v>
      </c>
      <c r="I47" s="21">
        <v>46299</v>
      </c>
      <c r="J47" s="20" t="s">
        <v>82</v>
      </c>
      <c r="K47" s="20" t="s">
        <v>1145</v>
      </c>
      <c r="L47" s="20" t="s">
        <v>4043</v>
      </c>
      <c r="M47" s="20" t="s">
        <v>259</v>
      </c>
      <c r="N47" s="22" t="s">
        <v>250</v>
      </c>
      <c r="O47" s="20" t="s">
        <v>3847</v>
      </c>
      <c r="P47" s="20" t="s">
        <v>613</v>
      </c>
      <c r="Q47" s="20" t="s">
        <v>614</v>
      </c>
      <c r="R47" s="20" t="s">
        <v>118</v>
      </c>
      <c r="S47" s="20" t="s">
        <v>32</v>
      </c>
      <c r="T47" s="20" t="s">
        <v>195</v>
      </c>
      <c r="U47" s="20" t="s">
        <v>4037</v>
      </c>
      <c r="V47" s="21"/>
      <c r="W47" s="21">
        <v>46299</v>
      </c>
      <c r="X47" s="20" t="s">
        <v>3836</v>
      </c>
      <c r="Y47" s="21">
        <v>46300</v>
      </c>
      <c r="Z47" s="20" t="s">
        <v>4032</v>
      </c>
      <c r="AA47" s="17" t="e">
        <f>VLOOKUP(F47,[1]Wait!$H$225:$I$260,2,0)</f>
        <v>#N/A</v>
      </c>
    </row>
    <row r="48" spans="1:27" x14ac:dyDescent="0.25">
      <c r="A48" s="9">
        <f t="shared" si="0"/>
        <v>41</v>
      </c>
      <c r="B48" s="19" t="s">
        <v>4027</v>
      </c>
      <c r="C48" s="20" t="s">
        <v>3829</v>
      </c>
      <c r="D48" s="20" t="s">
        <v>4051</v>
      </c>
      <c r="E48" s="20" t="s">
        <v>26</v>
      </c>
      <c r="F48" s="20" t="s">
        <v>4042</v>
      </c>
      <c r="G48" s="20" t="s">
        <v>25</v>
      </c>
      <c r="H48" s="20" t="s">
        <v>26</v>
      </c>
      <c r="I48" s="21">
        <v>46299</v>
      </c>
      <c r="J48" s="20" t="s">
        <v>82</v>
      </c>
      <c r="K48" s="20" t="s">
        <v>1147</v>
      </c>
      <c r="L48" s="20" t="s">
        <v>4043</v>
      </c>
      <c r="M48" s="20" t="s">
        <v>259</v>
      </c>
      <c r="N48" s="22" t="s">
        <v>250</v>
      </c>
      <c r="O48" s="20" t="s">
        <v>3847</v>
      </c>
      <c r="P48" s="20" t="s">
        <v>613</v>
      </c>
      <c r="Q48" s="20" t="s">
        <v>614</v>
      </c>
      <c r="R48" s="20" t="s">
        <v>118</v>
      </c>
      <c r="S48" s="20" t="s">
        <v>32</v>
      </c>
      <c r="T48" s="20" t="s">
        <v>195</v>
      </c>
      <c r="U48" s="20" t="s">
        <v>4037</v>
      </c>
      <c r="V48" s="21"/>
      <c r="W48" s="21">
        <v>46299</v>
      </c>
      <c r="X48" s="20" t="s">
        <v>3836</v>
      </c>
      <c r="Y48" s="21">
        <v>46300</v>
      </c>
      <c r="Z48" s="20" t="s">
        <v>4032</v>
      </c>
      <c r="AA48" s="17" t="e">
        <f>VLOOKUP(F48,[1]Wait!$H$225:$I$260,2,0)</f>
        <v>#N/A</v>
      </c>
    </row>
    <row r="49" spans="1:27" x14ac:dyDescent="0.25">
      <c r="A49" s="9">
        <f t="shared" si="0"/>
        <v>42</v>
      </c>
      <c r="B49" s="19" t="s">
        <v>4027</v>
      </c>
      <c r="C49" s="20" t="s">
        <v>3829</v>
      </c>
      <c r="D49" s="20" t="s">
        <v>4052</v>
      </c>
      <c r="E49" s="20" t="s">
        <v>26</v>
      </c>
      <c r="F49" s="20" t="s">
        <v>4042</v>
      </c>
      <c r="G49" s="20" t="s">
        <v>25</v>
      </c>
      <c r="H49" s="20" t="s">
        <v>26</v>
      </c>
      <c r="I49" s="21">
        <v>46299</v>
      </c>
      <c r="J49" s="20" t="s">
        <v>82</v>
      </c>
      <c r="K49" s="20" t="s">
        <v>1149</v>
      </c>
      <c r="L49" s="20" t="s">
        <v>4043</v>
      </c>
      <c r="M49" s="20" t="s">
        <v>259</v>
      </c>
      <c r="N49" s="22" t="s">
        <v>250</v>
      </c>
      <c r="O49" s="20" t="s">
        <v>3847</v>
      </c>
      <c r="P49" s="20" t="s">
        <v>613</v>
      </c>
      <c r="Q49" s="20" t="s">
        <v>614</v>
      </c>
      <c r="R49" s="20" t="s">
        <v>118</v>
      </c>
      <c r="S49" s="20" t="s">
        <v>32</v>
      </c>
      <c r="T49" s="20" t="s">
        <v>195</v>
      </c>
      <c r="U49" s="20" t="s">
        <v>4037</v>
      </c>
      <c r="V49" s="21"/>
      <c r="W49" s="21">
        <v>46299</v>
      </c>
      <c r="X49" s="20" t="s">
        <v>3836</v>
      </c>
      <c r="Y49" s="21">
        <v>46300</v>
      </c>
      <c r="Z49" s="20" t="s">
        <v>4032</v>
      </c>
      <c r="AA49" s="17" t="e">
        <f>VLOOKUP(F49,[1]Wait!$H$225:$I$260,2,0)</f>
        <v>#N/A</v>
      </c>
    </row>
    <row r="50" spans="1:27" x14ac:dyDescent="0.25">
      <c r="A50" s="9">
        <f t="shared" si="0"/>
        <v>43</v>
      </c>
      <c r="B50" s="19" t="s">
        <v>4027</v>
      </c>
      <c r="C50" s="20" t="s">
        <v>3829</v>
      </c>
      <c r="D50" s="20" t="s">
        <v>4053</v>
      </c>
      <c r="E50" s="20" t="s">
        <v>26</v>
      </c>
      <c r="F50" s="20" t="s">
        <v>4042</v>
      </c>
      <c r="G50" s="20" t="s">
        <v>25</v>
      </c>
      <c r="H50" s="20" t="s">
        <v>26</v>
      </c>
      <c r="I50" s="21">
        <v>46299</v>
      </c>
      <c r="J50" s="20" t="s">
        <v>82</v>
      </c>
      <c r="K50" s="20" t="s">
        <v>1151</v>
      </c>
      <c r="L50" s="20" t="s">
        <v>4043</v>
      </c>
      <c r="M50" s="20" t="s">
        <v>259</v>
      </c>
      <c r="N50" s="22" t="s">
        <v>250</v>
      </c>
      <c r="O50" s="20" t="s">
        <v>3847</v>
      </c>
      <c r="P50" s="20" t="s">
        <v>613</v>
      </c>
      <c r="Q50" s="20" t="s">
        <v>614</v>
      </c>
      <c r="R50" s="20" t="s">
        <v>118</v>
      </c>
      <c r="S50" s="20" t="s">
        <v>32</v>
      </c>
      <c r="T50" s="20" t="s">
        <v>195</v>
      </c>
      <c r="U50" s="20" t="s">
        <v>4037</v>
      </c>
      <c r="V50" s="21"/>
      <c r="W50" s="21">
        <v>46299</v>
      </c>
      <c r="X50" s="20" t="s">
        <v>3836</v>
      </c>
      <c r="Y50" s="21">
        <v>46300</v>
      </c>
      <c r="Z50" s="20" t="s">
        <v>4032</v>
      </c>
      <c r="AA50" s="17" t="e">
        <f>VLOOKUP(F50,[1]Wait!$H$225:$I$260,2,0)</f>
        <v>#N/A</v>
      </c>
    </row>
    <row r="51" spans="1:27" x14ac:dyDescent="0.25">
      <c r="A51" s="9">
        <f t="shared" si="0"/>
        <v>44</v>
      </c>
      <c r="B51" s="19" t="s">
        <v>4027</v>
      </c>
      <c r="C51" s="20" t="s">
        <v>3829</v>
      </c>
      <c r="D51" s="20" t="s">
        <v>4054</v>
      </c>
      <c r="E51" s="20" t="s">
        <v>26</v>
      </c>
      <c r="F51" s="20" t="s">
        <v>4042</v>
      </c>
      <c r="G51" s="20" t="s">
        <v>25</v>
      </c>
      <c r="H51" s="20" t="s">
        <v>26</v>
      </c>
      <c r="I51" s="21">
        <v>46299</v>
      </c>
      <c r="J51" s="20" t="s">
        <v>82</v>
      </c>
      <c r="K51" s="20" t="s">
        <v>4055</v>
      </c>
      <c r="L51" s="20" t="s">
        <v>4043</v>
      </c>
      <c r="M51" s="20" t="s">
        <v>259</v>
      </c>
      <c r="N51" s="22" t="s">
        <v>250</v>
      </c>
      <c r="O51" s="20" t="s">
        <v>3847</v>
      </c>
      <c r="P51" s="20" t="s">
        <v>613</v>
      </c>
      <c r="Q51" s="20" t="s">
        <v>614</v>
      </c>
      <c r="R51" s="20" t="s">
        <v>118</v>
      </c>
      <c r="S51" s="20" t="s">
        <v>32</v>
      </c>
      <c r="T51" s="20" t="s">
        <v>195</v>
      </c>
      <c r="U51" s="20" t="s">
        <v>4037</v>
      </c>
      <c r="V51" s="21"/>
      <c r="W51" s="21">
        <v>46299</v>
      </c>
      <c r="X51" s="20" t="s">
        <v>3836</v>
      </c>
      <c r="Y51" s="21">
        <v>46300</v>
      </c>
      <c r="Z51" s="20" t="s">
        <v>4032</v>
      </c>
      <c r="AA51" s="17" t="e">
        <f>VLOOKUP(F51,[1]Wait!$H$225:$I$260,2,0)</f>
        <v>#N/A</v>
      </c>
    </row>
    <row r="52" spans="1:27" x14ac:dyDescent="0.25">
      <c r="A52" s="9">
        <f t="shared" si="0"/>
        <v>45</v>
      </c>
      <c r="B52" s="19" t="s">
        <v>4027</v>
      </c>
      <c r="C52" s="20" t="s">
        <v>3829</v>
      </c>
      <c r="D52" s="20" t="s">
        <v>4056</v>
      </c>
      <c r="E52" s="20" t="s">
        <v>26</v>
      </c>
      <c r="F52" s="20" t="s">
        <v>4042</v>
      </c>
      <c r="G52" s="20" t="s">
        <v>25</v>
      </c>
      <c r="H52" s="20" t="s">
        <v>26</v>
      </c>
      <c r="I52" s="21">
        <v>46299</v>
      </c>
      <c r="J52" s="20" t="s">
        <v>82</v>
      </c>
      <c r="K52" s="20" t="s">
        <v>4057</v>
      </c>
      <c r="L52" s="20" t="s">
        <v>4043</v>
      </c>
      <c r="M52" s="20" t="s">
        <v>259</v>
      </c>
      <c r="N52" s="22" t="s">
        <v>250</v>
      </c>
      <c r="O52" s="20" t="s">
        <v>3847</v>
      </c>
      <c r="P52" s="20" t="s">
        <v>613</v>
      </c>
      <c r="Q52" s="20" t="s">
        <v>614</v>
      </c>
      <c r="R52" s="20" t="s">
        <v>118</v>
      </c>
      <c r="S52" s="20" t="s">
        <v>32</v>
      </c>
      <c r="T52" s="20" t="s">
        <v>195</v>
      </c>
      <c r="U52" s="20" t="s">
        <v>4037</v>
      </c>
      <c r="V52" s="21"/>
      <c r="W52" s="21">
        <v>46299</v>
      </c>
      <c r="X52" s="20" t="s">
        <v>3836</v>
      </c>
      <c r="Y52" s="21">
        <v>46300</v>
      </c>
      <c r="Z52" s="20" t="s">
        <v>4032</v>
      </c>
      <c r="AA52" s="17" t="e">
        <f>VLOOKUP(F52,[1]Wait!$H$225:$I$260,2,0)</f>
        <v>#N/A</v>
      </c>
    </row>
    <row r="53" spans="1:27" x14ac:dyDescent="0.25">
      <c r="A53" s="9">
        <f t="shared" si="0"/>
        <v>46</v>
      </c>
      <c r="B53" s="19" t="s">
        <v>4027</v>
      </c>
      <c r="C53" s="20" t="s">
        <v>3829</v>
      </c>
      <c r="D53" s="20" t="s">
        <v>4058</v>
      </c>
      <c r="E53" s="20" t="s">
        <v>26</v>
      </c>
      <c r="F53" s="20" t="s">
        <v>4059</v>
      </c>
      <c r="G53" s="20" t="s">
        <v>25</v>
      </c>
      <c r="H53" s="20" t="s">
        <v>26</v>
      </c>
      <c r="I53" s="21">
        <v>46299</v>
      </c>
      <c r="J53" s="20" t="s">
        <v>36</v>
      </c>
      <c r="K53" s="20" t="s">
        <v>28</v>
      </c>
      <c r="L53" s="20" t="s">
        <v>4060</v>
      </c>
      <c r="M53" s="20" t="s">
        <v>259</v>
      </c>
      <c r="N53" s="22" t="s">
        <v>250</v>
      </c>
      <c r="O53" s="20" t="s">
        <v>3847</v>
      </c>
      <c r="P53" s="20" t="s">
        <v>613</v>
      </c>
      <c r="Q53" s="20" t="s">
        <v>614</v>
      </c>
      <c r="R53" s="20" t="s">
        <v>118</v>
      </c>
      <c r="S53" s="20" t="s">
        <v>32</v>
      </c>
      <c r="T53" s="20" t="s">
        <v>195</v>
      </c>
      <c r="U53" s="20" t="s">
        <v>4037</v>
      </c>
      <c r="V53" s="21"/>
      <c r="W53" s="21">
        <v>46299</v>
      </c>
      <c r="X53" s="20" t="s">
        <v>3836</v>
      </c>
      <c r="Y53" s="21">
        <v>46300</v>
      </c>
      <c r="Z53" s="20" t="s">
        <v>4032</v>
      </c>
    </row>
    <row r="54" spans="1:27" x14ac:dyDescent="0.25">
      <c r="A54" s="9">
        <f t="shared" si="0"/>
        <v>47</v>
      </c>
      <c r="B54" s="19" t="s">
        <v>4027</v>
      </c>
      <c r="C54" s="20" t="s">
        <v>3829</v>
      </c>
      <c r="D54" s="20" t="s">
        <v>4061</v>
      </c>
      <c r="E54" s="20" t="s">
        <v>26</v>
      </c>
      <c r="F54" s="20" t="s">
        <v>4062</v>
      </c>
      <c r="G54" s="20" t="s">
        <v>25</v>
      </c>
      <c r="H54" s="20" t="s">
        <v>26</v>
      </c>
      <c r="I54" s="21">
        <v>46299</v>
      </c>
      <c r="J54" s="20" t="s">
        <v>82</v>
      </c>
      <c r="K54" s="20" t="s">
        <v>28</v>
      </c>
      <c r="L54" s="20" t="s">
        <v>4063</v>
      </c>
      <c r="M54" s="20" t="s">
        <v>259</v>
      </c>
      <c r="N54" s="22" t="s">
        <v>250</v>
      </c>
      <c r="O54" s="20" t="s">
        <v>3847</v>
      </c>
      <c r="P54" s="20" t="s">
        <v>613</v>
      </c>
      <c r="Q54" s="20" t="s">
        <v>614</v>
      </c>
      <c r="R54" s="20" t="s">
        <v>118</v>
      </c>
      <c r="S54" s="20" t="s">
        <v>32</v>
      </c>
      <c r="T54" s="20" t="s">
        <v>195</v>
      </c>
      <c r="U54" s="20" t="s">
        <v>4037</v>
      </c>
      <c r="V54" s="21"/>
      <c r="W54" s="21">
        <v>46299</v>
      </c>
      <c r="X54" s="20" t="s">
        <v>3836</v>
      </c>
      <c r="Y54" s="21">
        <v>46300</v>
      </c>
      <c r="Z54" s="20" t="s">
        <v>4032</v>
      </c>
    </row>
    <row r="55" spans="1:27" x14ac:dyDescent="0.25">
      <c r="A55" s="9">
        <f t="shared" si="0"/>
        <v>48</v>
      </c>
      <c r="B55" s="19" t="s">
        <v>4027</v>
      </c>
      <c r="C55" s="20" t="s">
        <v>3829</v>
      </c>
      <c r="D55" s="20" t="s">
        <v>4064</v>
      </c>
      <c r="E55" s="20" t="s">
        <v>26</v>
      </c>
      <c r="F55" s="20" t="s">
        <v>4065</v>
      </c>
      <c r="G55" s="20" t="s">
        <v>25</v>
      </c>
      <c r="H55" s="20" t="s">
        <v>26</v>
      </c>
      <c r="I55" s="21">
        <v>46299</v>
      </c>
      <c r="J55" s="20" t="s">
        <v>82</v>
      </c>
      <c r="K55" s="20" t="s">
        <v>28</v>
      </c>
      <c r="L55" s="20" t="s">
        <v>4066</v>
      </c>
      <c r="M55" s="20" t="s">
        <v>259</v>
      </c>
      <c r="N55" s="22" t="s">
        <v>250</v>
      </c>
      <c r="O55" s="20" t="s">
        <v>3847</v>
      </c>
      <c r="P55" s="20" t="s">
        <v>613</v>
      </c>
      <c r="Q55" s="20" t="s">
        <v>614</v>
      </c>
      <c r="R55" s="20" t="s">
        <v>337</v>
      </c>
      <c r="S55" s="20" t="s">
        <v>32</v>
      </c>
      <c r="T55" s="20" t="s">
        <v>195</v>
      </c>
      <c r="U55" s="20" t="s">
        <v>4037</v>
      </c>
      <c r="V55" s="21"/>
      <c r="W55" s="21">
        <v>46299</v>
      </c>
      <c r="X55" s="20" t="s">
        <v>3836</v>
      </c>
      <c r="Y55" s="21">
        <v>46300</v>
      </c>
      <c r="Z55" s="20" t="s">
        <v>4032</v>
      </c>
    </row>
    <row r="56" spans="1:27" x14ac:dyDescent="0.25">
      <c r="A56" s="9">
        <f t="shared" si="0"/>
        <v>49</v>
      </c>
      <c r="B56" s="19" t="s">
        <v>4027</v>
      </c>
      <c r="C56" s="20" t="s">
        <v>3829</v>
      </c>
      <c r="D56" s="20" t="s">
        <v>4067</v>
      </c>
      <c r="E56" s="20" t="s">
        <v>26</v>
      </c>
      <c r="F56" s="20" t="s">
        <v>4068</v>
      </c>
      <c r="G56" s="20" t="s">
        <v>25</v>
      </c>
      <c r="H56" s="20" t="s">
        <v>26</v>
      </c>
      <c r="I56" s="21">
        <v>46299</v>
      </c>
      <c r="J56" s="20" t="s">
        <v>82</v>
      </c>
      <c r="K56" s="20" t="s">
        <v>28</v>
      </c>
      <c r="L56" s="20" t="s">
        <v>4069</v>
      </c>
      <c r="M56" s="20" t="s">
        <v>259</v>
      </c>
      <c r="N56" s="22" t="s">
        <v>250</v>
      </c>
      <c r="O56" s="20" t="s">
        <v>3847</v>
      </c>
      <c r="P56" s="20" t="s">
        <v>613</v>
      </c>
      <c r="Q56" s="20" t="s">
        <v>614</v>
      </c>
      <c r="R56" s="20" t="s">
        <v>337</v>
      </c>
      <c r="S56" s="20" t="s">
        <v>32</v>
      </c>
      <c r="T56" s="20" t="s">
        <v>195</v>
      </c>
      <c r="U56" s="20" t="s">
        <v>4037</v>
      </c>
      <c r="V56" s="21"/>
      <c r="W56" s="21">
        <v>46299</v>
      </c>
      <c r="X56" s="20" t="s">
        <v>3836</v>
      </c>
      <c r="Y56" s="21">
        <v>46300</v>
      </c>
      <c r="Z56" s="20" t="s">
        <v>4032</v>
      </c>
    </row>
    <row r="57" spans="1:27" x14ac:dyDescent="0.25">
      <c r="A57" s="9">
        <f t="shared" si="0"/>
        <v>50</v>
      </c>
      <c r="B57" s="19" t="s">
        <v>4027</v>
      </c>
      <c r="C57" s="20" t="s">
        <v>3829</v>
      </c>
      <c r="D57" s="20" t="s">
        <v>4070</v>
      </c>
      <c r="E57" s="20" t="s">
        <v>26</v>
      </c>
      <c r="F57" s="20" t="s">
        <v>4071</v>
      </c>
      <c r="G57" s="20" t="s">
        <v>25</v>
      </c>
      <c r="H57" s="20" t="s">
        <v>26</v>
      </c>
      <c r="I57" s="21">
        <v>46299</v>
      </c>
      <c r="J57" s="20" t="s">
        <v>36</v>
      </c>
      <c r="K57" s="20" t="s">
        <v>28</v>
      </c>
      <c r="L57" s="20" t="s">
        <v>4072</v>
      </c>
      <c r="M57" s="20" t="s">
        <v>259</v>
      </c>
      <c r="N57" s="22" t="s">
        <v>250</v>
      </c>
      <c r="O57" s="20" t="s">
        <v>3847</v>
      </c>
      <c r="P57" s="20" t="s">
        <v>26</v>
      </c>
      <c r="Q57" s="20" t="s">
        <v>26</v>
      </c>
      <c r="R57" s="20" t="s">
        <v>26</v>
      </c>
      <c r="S57" s="20" t="s">
        <v>32</v>
      </c>
      <c r="T57" s="20" t="s">
        <v>195</v>
      </c>
      <c r="U57" s="20" t="s">
        <v>4037</v>
      </c>
      <c r="V57" s="21"/>
      <c r="W57" s="21">
        <v>46299</v>
      </c>
      <c r="X57" s="20" t="s">
        <v>3836</v>
      </c>
      <c r="Y57" s="21">
        <v>46300</v>
      </c>
      <c r="Z57" s="20" t="s">
        <v>4032</v>
      </c>
    </row>
    <row r="58" spans="1:27" x14ac:dyDescent="0.25">
      <c r="A58" s="9">
        <f t="shared" si="0"/>
        <v>51</v>
      </c>
      <c r="B58" s="19" t="s">
        <v>4027</v>
      </c>
      <c r="C58" s="20" t="s">
        <v>3829</v>
      </c>
      <c r="D58" s="20" t="s">
        <v>4073</v>
      </c>
      <c r="E58" s="20" t="s">
        <v>26</v>
      </c>
      <c r="F58" s="20" t="s">
        <v>4071</v>
      </c>
      <c r="G58" s="20" t="s">
        <v>25</v>
      </c>
      <c r="H58" s="20" t="s">
        <v>26</v>
      </c>
      <c r="I58" s="21">
        <v>46299</v>
      </c>
      <c r="J58" s="20" t="s">
        <v>36</v>
      </c>
      <c r="K58" s="20" t="s">
        <v>58</v>
      </c>
      <c r="L58" s="20" t="s">
        <v>4072</v>
      </c>
      <c r="M58" s="20" t="s">
        <v>259</v>
      </c>
      <c r="N58" s="22" t="s">
        <v>250</v>
      </c>
      <c r="O58" s="20" t="s">
        <v>3847</v>
      </c>
      <c r="P58" s="20" t="s">
        <v>26</v>
      </c>
      <c r="Q58" s="20" t="s">
        <v>26</v>
      </c>
      <c r="R58" s="20" t="s">
        <v>26</v>
      </c>
      <c r="S58" s="20" t="s">
        <v>32</v>
      </c>
      <c r="T58" s="20" t="s">
        <v>195</v>
      </c>
      <c r="U58" s="20" t="s">
        <v>4037</v>
      </c>
      <c r="V58" s="21"/>
      <c r="W58" s="21">
        <v>46299</v>
      </c>
      <c r="X58" s="20" t="s">
        <v>3836</v>
      </c>
      <c r="Y58" s="21">
        <v>46300</v>
      </c>
      <c r="Z58" s="20" t="s">
        <v>4032</v>
      </c>
    </row>
    <row r="59" spans="1:27" x14ac:dyDescent="0.25">
      <c r="A59" s="9">
        <f t="shared" si="0"/>
        <v>52</v>
      </c>
      <c r="B59" s="19" t="s">
        <v>4027</v>
      </c>
      <c r="C59" s="20" t="s">
        <v>3829</v>
      </c>
      <c r="D59" s="20" t="s">
        <v>4074</v>
      </c>
      <c r="E59" s="20" t="s">
        <v>26</v>
      </c>
      <c r="F59" s="20" t="s">
        <v>4071</v>
      </c>
      <c r="G59" s="20" t="s">
        <v>25</v>
      </c>
      <c r="H59" s="20" t="s">
        <v>26</v>
      </c>
      <c r="I59" s="21">
        <v>46299</v>
      </c>
      <c r="J59" s="20" t="s">
        <v>36</v>
      </c>
      <c r="K59" s="20" t="s">
        <v>59</v>
      </c>
      <c r="L59" s="20" t="s">
        <v>4072</v>
      </c>
      <c r="M59" s="20" t="s">
        <v>259</v>
      </c>
      <c r="N59" s="22" t="s">
        <v>250</v>
      </c>
      <c r="O59" s="20" t="s">
        <v>3847</v>
      </c>
      <c r="P59" s="20" t="s">
        <v>26</v>
      </c>
      <c r="Q59" s="20" t="s">
        <v>26</v>
      </c>
      <c r="R59" s="20" t="s">
        <v>26</v>
      </c>
      <c r="S59" s="20" t="s">
        <v>32</v>
      </c>
      <c r="T59" s="20" t="s">
        <v>195</v>
      </c>
      <c r="U59" s="20" t="s">
        <v>4037</v>
      </c>
      <c r="V59" s="21"/>
      <c r="W59" s="21">
        <v>46299</v>
      </c>
      <c r="X59" s="20" t="s">
        <v>3836</v>
      </c>
      <c r="Y59" s="21">
        <v>46300</v>
      </c>
      <c r="Z59" s="20" t="s">
        <v>4032</v>
      </c>
    </row>
    <row r="60" spans="1:27" x14ac:dyDescent="0.25">
      <c r="A60" s="9">
        <f t="shared" si="0"/>
        <v>53</v>
      </c>
      <c r="B60" s="19" t="s">
        <v>4027</v>
      </c>
      <c r="C60" s="20" t="s">
        <v>3829</v>
      </c>
      <c r="D60" s="20" t="s">
        <v>4075</v>
      </c>
      <c r="E60" s="20" t="s">
        <v>26</v>
      </c>
      <c r="F60" s="20" t="s">
        <v>4071</v>
      </c>
      <c r="G60" s="20" t="s">
        <v>25</v>
      </c>
      <c r="H60" s="20" t="s">
        <v>26</v>
      </c>
      <c r="I60" s="21">
        <v>46299</v>
      </c>
      <c r="J60" s="20" t="s">
        <v>36</v>
      </c>
      <c r="K60" s="20" t="s">
        <v>684</v>
      </c>
      <c r="L60" s="20" t="s">
        <v>4072</v>
      </c>
      <c r="M60" s="20" t="s">
        <v>259</v>
      </c>
      <c r="N60" s="22" t="s">
        <v>250</v>
      </c>
      <c r="O60" s="20" t="s">
        <v>3847</v>
      </c>
      <c r="P60" s="20" t="s">
        <v>26</v>
      </c>
      <c r="Q60" s="20" t="s">
        <v>26</v>
      </c>
      <c r="R60" s="20" t="s">
        <v>26</v>
      </c>
      <c r="S60" s="20" t="s">
        <v>32</v>
      </c>
      <c r="T60" s="20" t="s">
        <v>195</v>
      </c>
      <c r="U60" s="20" t="s">
        <v>4037</v>
      </c>
      <c r="V60" s="21"/>
      <c r="W60" s="21">
        <v>46299</v>
      </c>
      <c r="X60" s="20" t="s">
        <v>3836</v>
      </c>
      <c r="Y60" s="21">
        <v>46300</v>
      </c>
      <c r="Z60" s="20" t="s">
        <v>4032</v>
      </c>
    </row>
    <row r="61" spans="1:27" x14ac:dyDescent="0.25">
      <c r="A61" s="9">
        <f t="shared" si="0"/>
        <v>54</v>
      </c>
      <c r="B61" s="19" t="s">
        <v>4027</v>
      </c>
      <c r="C61" s="20" t="s">
        <v>3829</v>
      </c>
      <c r="D61" s="20" t="s">
        <v>4076</v>
      </c>
      <c r="E61" s="20" t="s">
        <v>26</v>
      </c>
      <c r="F61" s="20" t="s">
        <v>4071</v>
      </c>
      <c r="G61" s="20" t="s">
        <v>25</v>
      </c>
      <c r="H61" s="20" t="s">
        <v>26</v>
      </c>
      <c r="I61" s="21">
        <v>46299</v>
      </c>
      <c r="J61" s="20" t="s">
        <v>36</v>
      </c>
      <c r="K61" s="20" t="s">
        <v>557</v>
      </c>
      <c r="L61" s="20" t="s">
        <v>4072</v>
      </c>
      <c r="M61" s="20" t="s">
        <v>259</v>
      </c>
      <c r="N61" s="22" t="s">
        <v>250</v>
      </c>
      <c r="O61" s="20" t="s">
        <v>3847</v>
      </c>
      <c r="P61" s="20" t="s">
        <v>26</v>
      </c>
      <c r="Q61" s="20" t="s">
        <v>26</v>
      </c>
      <c r="R61" s="20" t="s">
        <v>26</v>
      </c>
      <c r="S61" s="20" t="s">
        <v>32</v>
      </c>
      <c r="T61" s="20" t="s">
        <v>195</v>
      </c>
      <c r="U61" s="20" t="s">
        <v>4037</v>
      </c>
      <c r="V61" s="21"/>
      <c r="W61" s="21">
        <v>46299</v>
      </c>
      <c r="X61" s="20" t="s">
        <v>3836</v>
      </c>
      <c r="Y61" s="21">
        <v>46300</v>
      </c>
      <c r="Z61" s="20" t="s">
        <v>4032</v>
      </c>
    </row>
    <row r="62" spans="1:27" x14ac:dyDescent="0.25">
      <c r="A62" s="9">
        <f t="shared" si="0"/>
        <v>55</v>
      </c>
      <c r="B62" s="19" t="s">
        <v>4027</v>
      </c>
      <c r="C62" s="20" t="s">
        <v>3829</v>
      </c>
      <c r="D62" s="20" t="s">
        <v>4077</v>
      </c>
      <c r="E62" s="20" t="s">
        <v>26</v>
      </c>
      <c r="F62" s="20" t="s">
        <v>4071</v>
      </c>
      <c r="G62" s="20" t="s">
        <v>25</v>
      </c>
      <c r="H62" s="20" t="s">
        <v>26</v>
      </c>
      <c r="I62" s="21">
        <v>46299</v>
      </c>
      <c r="J62" s="20" t="s">
        <v>36</v>
      </c>
      <c r="K62" s="20" t="s">
        <v>1141</v>
      </c>
      <c r="L62" s="20" t="s">
        <v>4072</v>
      </c>
      <c r="M62" s="20" t="s">
        <v>259</v>
      </c>
      <c r="N62" s="22" t="s">
        <v>250</v>
      </c>
      <c r="O62" s="20" t="s">
        <v>3847</v>
      </c>
      <c r="P62" s="20" t="s">
        <v>26</v>
      </c>
      <c r="Q62" s="20" t="s">
        <v>26</v>
      </c>
      <c r="R62" s="20" t="s">
        <v>26</v>
      </c>
      <c r="S62" s="20" t="s">
        <v>32</v>
      </c>
      <c r="T62" s="20" t="s">
        <v>195</v>
      </c>
      <c r="U62" s="20" t="s">
        <v>4037</v>
      </c>
      <c r="V62" s="21"/>
      <c r="W62" s="21">
        <v>46299</v>
      </c>
      <c r="X62" s="20" t="s">
        <v>3836</v>
      </c>
      <c r="Y62" s="21">
        <v>46300</v>
      </c>
      <c r="Z62" s="20" t="s">
        <v>4032</v>
      </c>
    </row>
    <row r="63" spans="1:27" x14ac:dyDescent="0.25">
      <c r="A63" s="9">
        <f t="shared" si="0"/>
        <v>56</v>
      </c>
      <c r="B63" s="19" t="s">
        <v>4027</v>
      </c>
      <c r="C63" s="20" t="s">
        <v>3829</v>
      </c>
      <c r="D63" s="20" t="s">
        <v>4078</v>
      </c>
      <c r="E63" s="20" t="s">
        <v>26</v>
      </c>
      <c r="F63" s="20" t="s">
        <v>4071</v>
      </c>
      <c r="G63" s="20" t="s">
        <v>25</v>
      </c>
      <c r="H63" s="20" t="s">
        <v>26</v>
      </c>
      <c r="I63" s="21">
        <v>46299</v>
      </c>
      <c r="J63" s="20" t="s">
        <v>36</v>
      </c>
      <c r="K63" s="20" t="s">
        <v>1143</v>
      </c>
      <c r="L63" s="20" t="s">
        <v>4072</v>
      </c>
      <c r="M63" s="20" t="s">
        <v>259</v>
      </c>
      <c r="N63" s="22" t="s">
        <v>250</v>
      </c>
      <c r="O63" s="20" t="s">
        <v>3847</v>
      </c>
      <c r="P63" s="20" t="s">
        <v>26</v>
      </c>
      <c r="Q63" s="20" t="s">
        <v>26</v>
      </c>
      <c r="R63" s="20" t="s">
        <v>26</v>
      </c>
      <c r="S63" s="20" t="s">
        <v>32</v>
      </c>
      <c r="T63" s="20" t="s">
        <v>195</v>
      </c>
      <c r="U63" s="20" t="s">
        <v>4037</v>
      </c>
      <c r="V63" s="21"/>
      <c r="W63" s="21">
        <v>46299</v>
      </c>
      <c r="X63" s="20" t="s">
        <v>3836</v>
      </c>
      <c r="Y63" s="21">
        <v>46300</v>
      </c>
      <c r="Z63" s="20" t="s">
        <v>4032</v>
      </c>
    </row>
    <row r="64" spans="1:27" x14ac:dyDescent="0.25">
      <c r="A64" s="9">
        <f t="shared" si="0"/>
        <v>57</v>
      </c>
      <c r="B64" s="19" t="s">
        <v>4027</v>
      </c>
      <c r="C64" s="20" t="s">
        <v>3829</v>
      </c>
      <c r="D64" s="20" t="s">
        <v>4079</v>
      </c>
      <c r="E64" s="20" t="s">
        <v>26</v>
      </c>
      <c r="F64" s="20" t="s">
        <v>4071</v>
      </c>
      <c r="G64" s="20" t="s">
        <v>25</v>
      </c>
      <c r="H64" s="20" t="s">
        <v>26</v>
      </c>
      <c r="I64" s="21">
        <v>46299</v>
      </c>
      <c r="J64" s="20" t="s">
        <v>36</v>
      </c>
      <c r="K64" s="20" t="s">
        <v>1145</v>
      </c>
      <c r="L64" s="20" t="s">
        <v>4072</v>
      </c>
      <c r="M64" s="20" t="s">
        <v>259</v>
      </c>
      <c r="N64" s="22" t="s">
        <v>250</v>
      </c>
      <c r="O64" s="20" t="s">
        <v>3847</v>
      </c>
      <c r="P64" s="20" t="s">
        <v>26</v>
      </c>
      <c r="Q64" s="20" t="s">
        <v>26</v>
      </c>
      <c r="R64" s="20" t="s">
        <v>26</v>
      </c>
      <c r="S64" s="20" t="s">
        <v>32</v>
      </c>
      <c r="T64" s="20" t="s">
        <v>195</v>
      </c>
      <c r="U64" s="20" t="s">
        <v>4037</v>
      </c>
      <c r="V64" s="21"/>
      <c r="W64" s="21">
        <v>46299</v>
      </c>
      <c r="X64" s="20" t="s">
        <v>3836</v>
      </c>
      <c r="Y64" s="21">
        <v>46300</v>
      </c>
      <c r="Z64" s="20" t="s">
        <v>4032</v>
      </c>
    </row>
    <row r="65" spans="1:26" x14ac:dyDescent="0.25">
      <c r="A65" s="9">
        <f t="shared" si="0"/>
        <v>58</v>
      </c>
      <c r="B65" s="19" t="s">
        <v>4027</v>
      </c>
      <c r="C65" s="20" t="s">
        <v>3829</v>
      </c>
      <c r="D65" s="20" t="s">
        <v>4080</v>
      </c>
      <c r="E65" s="20" t="s">
        <v>26</v>
      </c>
      <c r="F65" s="20" t="s">
        <v>4081</v>
      </c>
      <c r="G65" s="20" t="s">
        <v>25</v>
      </c>
      <c r="H65" s="20" t="s">
        <v>26</v>
      </c>
      <c r="I65" s="21">
        <v>46299</v>
      </c>
      <c r="J65" s="20" t="s">
        <v>82</v>
      </c>
      <c r="K65" s="20" t="s">
        <v>28</v>
      </c>
      <c r="L65" s="20" t="s">
        <v>4082</v>
      </c>
      <c r="M65" s="20" t="s">
        <v>259</v>
      </c>
      <c r="N65" s="22" t="s">
        <v>250</v>
      </c>
      <c r="O65" s="20" t="s">
        <v>3847</v>
      </c>
      <c r="P65" s="20" t="s">
        <v>613</v>
      </c>
      <c r="Q65" s="20" t="s">
        <v>614</v>
      </c>
      <c r="R65" s="20" t="s">
        <v>121</v>
      </c>
      <c r="S65" s="20" t="s">
        <v>32</v>
      </c>
      <c r="T65" s="20" t="s">
        <v>195</v>
      </c>
      <c r="U65" s="20" t="s">
        <v>4037</v>
      </c>
      <c r="V65" s="21"/>
      <c r="W65" s="21">
        <v>46299</v>
      </c>
      <c r="X65" s="20" t="s">
        <v>3836</v>
      </c>
      <c r="Y65" s="21">
        <v>46300</v>
      </c>
      <c r="Z65" s="20" t="s">
        <v>4032</v>
      </c>
    </row>
    <row r="66" spans="1:26" x14ac:dyDescent="0.25">
      <c r="A66" s="9">
        <f t="shared" si="0"/>
        <v>59</v>
      </c>
      <c r="B66" s="19" t="s">
        <v>4027</v>
      </c>
      <c r="C66" s="20" t="s">
        <v>3829</v>
      </c>
      <c r="D66" s="20" t="s">
        <v>4083</v>
      </c>
      <c r="E66" s="20" t="s">
        <v>26</v>
      </c>
      <c r="F66" s="20" t="s">
        <v>4084</v>
      </c>
      <c r="G66" s="20" t="s">
        <v>25</v>
      </c>
      <c r="H66" s="20" t="s">
        <v>26</v>
      </c>
      <c r="I66" s="21">
        <v>46299</v>
      </c>
      <c r="J66" s="20" t="s">
        <v>82</v>
      </c>
      <c r="K66" s="20" t="s">
        <v>28</v>
      </c>
      <c r="L66" s="20" t="s">
        <v>4085</v>
      </c>
      <c r="M66" s="20" t="s">
        <v>259</v>
      </c>
      <c r="N66" s="22" t="s">
        <v>250</v>
      </c>
      <c r="O66" s="20" t="s">
        <v>3847</v>
      </c>
      <c r="P66" s="20" t="s">
        <v>613</v>
      </c>
      <c r="Q66" s="20" t="s">
        <v>614</v>
      </c>
      <c r="R66" s="20" t="s">
        <v>337</v>
      </c>
      <c r="S66" s="20" t="s">
        <v>32</v>
      </c>
      <c r="T66" s="20" t="s">
        <v>55</v>
      </c>
      <c r="U66" s="20" t="s">
        <v>4086</v>
      </c>
      <c r="V66" s="21"/>
      <c r="W66" s="21">
        <v>46299</v>
      </c>
      <c r="X66" s="20" t="s">
        <v>3836</v>
      </c>
      <c r="Y66" s="21">
        <v>46300</v>
      </c>
      <c r="Z66" s="20" t="s">
        <v>4032</v>
      </c>
    </row>
    <row r="67" spans="1:26" x14ac:dyDescent="0.25">
      <c r="A67" s="9">
        <f t="shared" si="0"/>
        <v>60</v>
      </c>
      <c r="B67" s="19" t="s">
        <v>4027</v>
      </c>
      <c r="C67" s="20" t="s">
        <v>3829</v>
      </c>
      <c r="D67" s="20" t="s">
        <v>4087</v>
      </c>
      <c r="E67" s="20" t="s">
        <v>26</v>
      </c>
      <c r="F67" s="20" t="s">
        <v>4088</v>
      </c>
      <c r="G67" s="20" t="s">
        <v>25</v>
      </c>
      <c r="H67" s="20" t="s">
        <v>26</v>
      </c>
      <c r="I67" s="21">
        <v>46299</v>
      </c>
      <c r="J67" s="20" t="s">
        <v>52</v>
      </c>
      <c r="K67" s="20" t="s">
        <v>28</v>
      </c>
      <c r="L67" s="20" t="s">
        <v>4089</v>
      </c>
      <c r="M67" s="20" t="s">
        <v>259</v>
      </c>
      <c r="N67" s="22" t="s">
        <v>250</v>
      </c>
      <c r="O67" s="20" t="s">
        <v>3847</v>
      </c>
      <c r="P67" s="20" t="s">
        <v>613</v>
      </c>
      <c r="Q67" s="20" t="s">
        <v>614</v>
      </c>
      <c r="R67" s="20" t="s">
        <v>118</v>
      </c>
      <c r="S67" s="20" t="s">
        <v>32</v>
      </c>
      <c r="T67" s="20" t="s">
        <v>195</v>
      </c>
      <c r="U67" s="20" t="s">
        <v>4037</v>
      </c>
      <c r="V67" s="21"/>
      <c r="W67" s="21">
        <v>46299</v>
      </c>
      <c r="X67" s="20" t="s">
        <v>3836</v>
      </c>
      <c r="Y67" s="21">
        <v>46300</v>
      </c>
      <c r="Z67" s="20" t="s">
        <v>4032</v>
      </c>
    </row>
    <row r="68" spans="1:26" x14ac:dyDescent="0.25">
      <c r="A68" s="9">
        <f t="shared" si="0"/>
        <v>61</v>
      </c>
      <c r="B68" s="19" t="s">
        <v>4027</v>
      </c>
      <c r="C68" s="20" t="s">
        <v>3829</v>
      </c>
      <c r="D68" s="20" t="s">
        <v>4090</v>
      </c>
      <c r="E68" s="20" t="s">
        <v>26</v>
      </c>
      <c r="F68" s="20" t="s">
        <v>4091</v>
      </c>
      <c r="G68" s="20" t="s">
        <v>25</v>
      </c>
      <c r="H68" s="20" t="s">
        <v>26</v>
      </c>
      <c r="I68" s="21">
        <v>46299</v>
      </c>
      <c r="J68" s="20" t="s">
        <v>52</v>
      </c>
      <c r="K68" s="20" t="s">
        <v>28</v>
      </c>
      <c r="L68" s="20" t="s">
        <v>4092</v>
      </c>
      <c r="M68" s="20" t="s">
        <v>259</v>
      </c>
      <c r="N68" s="22" t="s">
        <v>250</v>
      </c>
      <c r="O68" s="20" t="s">
        <v>3847</v>
      </c>
      <c r="P68" s="20" t="s">
        <v>613</v>
      </c>
      <c r="Q68" s="20" t="s">
        <v>614</v>
      </c>
      <c r="R68" s="20" t="s">
        <v>118</v>
      </c>
      <c r="S68" s="20" t="s">
        <v>32</v>
      </c>
      <c r="T68" s="20" t="s">
        <v>195</v>
      </c>
      <c r="U68" s="20" t="s">
        <v>4037</v>
      </c>
      <c r="V68" s="21"/>
      <c r="W68" s="21">
        <v>46299</v>
      </c>
      <c r="X68" s="20" t="s">
        <v>3836</v>
      </c>
      <c r="Y68" s="21">
        <v>46300</v>
      </c>
      <c r="Z68" s="20" t="s">
        <v>4032</v>
      </c>
    </row>
    <row r="69" spans="1:26" x14ac:dyDescent="0.25">
      <c r="A69" s="9">
        <f t="shared" si="0"/>
        <v>62</v>
      </c>
      <c r="B69" s="19" t="s">
        <v>4027</v>
      </c>
      <c r="C69" s="20" t="s">
        <v>3829</v>
      </c>
      <c r="D69" s="20" t="s">
        <v>4093</v>
      </c>
      <c r="E69" s="20" t="s">
        <v>26</v>
      </c>
      <c r="F69" s="20" t="s">
        <v>4094</v>
      </c>
      <c r="G69" s="20" t="s">
        <v>25</v>
      </c>
      <c r="H69" s="20" t="s">
        <v>26</v>
      </c>
      <c r="I69" s="21">
        <v>46299</v>
      </c>
      <c r="J69" s="20" t="s">
        <v>82</v>
      </c>
      <c r="K69" s="20" t="s">
        <v>28</v>
      </c>
      <c r="L69" s="20" t="s">
        <v>4095</v>
      </c>
      <c r="M69" s="20" t="s">
        <v>259</v>
      </c>
      <c r="N69" s="22" t="s">
        <v>250</v>
      </c>
      <c r="O69" s="20" t="s">
        <v>3847</v>
      </c>
      <c r="P69" s="20" t="s">
        <v>26</v>
      </c>
      <c r="Q69" s="20" t="s">
        <v>26</v>
      </c>
      <c r="R69" s="20" t="s">
        <v>26</v>
      </c>
      <c r="S69" s="20" t="s">
        <v>32</v>
      </c>
      <c r="T69" s="20" t="s">
        <v>195</v>
      </c>
      <c r="U69" s="20" t="s">
        <v>4096</v>
      </c>
      <c r="V69" s="21"/>
      <c r="W69" s="21">
        <v>46299</v>
      </c>
      <c r="X69" s="20" t="s">
        <v>3836</v>
      </c>
      <c r="Y69" s="21">
        <v>46300</v>
      </c>
      <c r="Z69" s="20" t="s">
        <v>4032</v>
      </c>
    </row>
    <row r="70" spans="1:26" x14ac:dyDescent="0.25">
      <c r="A70" s="9">
        <f t="shared" si="0"/>
        <v>63</v>
      </c>
      <c r="B70" s="19" t="s">
        <v>4027</v>
      </c>
      <c r="C70" s="20" t="s">
        <v>3829</v>
      </c>
      <c r="D70" s="20" t="s">
        <v>4097</v>
      </c>
      <c r="E70" s="20" t="s">
        <v>26</v>
      </c>
      <c r="F70" s="20" t="s">
        <v>4094</v>
      </c>
      <c r="G70" s="20" t="s">
        <v>25</v>
      </c>
      <c r="H70" s="20" t="s">
        <v>26</v>
      </c>
      <c r="I70" s="21">
        <v>46299</v>
      </c>
      <c r="J70" s="20" t="s">
        <v>82</v>
      </c>
      <c r="K70" s="20" t="s">
        <v>58</v>
      </c>
      <c r="L70" s="20" t="s">
        <v>4095</v>
      </c>
      <c r="M70" s="20" t="s">
        <v>259</v>
      </c>
      <c r="N70" s="22" t="s">
        <v>250</v>
      </c>
      <c r="O70" s="20" t="s">
        <v>3847</v>
      </c>
      <c r="P70" s="20" t="s">
        <v>26</v>
      </c>
      <c r="Q70" s="20" t="s">
        <v>26</v>
      </c>
      <c r="R70" s="20" t="s">
        <v>26</v>
      </c>
      <c r="S70" s="20" t="s">
        <v>32</v>
      </c>
      <c r="T70" s="20" t="s">
        <v>195</v>
      </c>
      <c r="U70" s="20" t="s">
        <v>4096</v>
      </c>
      <c r="V70" s="21"/>
      <c r="W70" s="21">
        <v>46299</v>
      </c>
      <c r="X70" s="20" t="s">
        <v>3836</v>
      </c>
      <c r="Y70" s="21">
        <v>46300</v>
      </c>
      <c r="Z70" s="20" t="s">
        <v>4032</v>
      </c>
    </row>
    <row r="71" spans="1:26" x14ac:dyDescent="0.25">
      <c r="A71" s="9">
        <f t="shared" si="0"/>
        <v>64</v>
      </c>
      <c r="B71" s="19" t="s">
        <v>4027</v>
      </c>
      <c r="C71" s="20" t="s">
        <v>3829</v>
      </c>
      <c r="D71" s="20" t="s">
        <v>4098</v>
      </c>
      <c r="E71" s="20" t="s">
        <v>26</v>
      </c>
      <c r="F71" s="20" t="s">
        <v>4094</v>
      </c>
      <c r="G71" s="20" t="s">
        <v>25</v>
      </c>
      <c r="H71" s="20" t="s">
        <v>26</v>
      </c>
      <c r="I71" s="21">
        <v>46299</v>
      </c>
      <c r="J71" s="20" t="s">
        <v>82</v>
      </c>
      <c r="K71" s="20" t="s">
        <v>59</v>
      </c>
      <c r="L71" s="20" t="s">
        <v>4095</v>
      </c>
      <c r="M71" s="20" t="s">
        <v>259</v>
      </c>
      <c r="N71" s="22" t="s">
        <v>250</v>
      </c>
      <c r="O71" s="20" t="s">
        <v>3847</v>
      </c>
      <c r="P71" s="20" t="s">
        <v>26</v>
      </c>
      <c r="Q71" s="20" t="s">
        <v>26</v>
      </c>
      <c r="R71" s="20" t="s">
        <v>26</v>
      </c>
      <c r="S71" s="20" t="s">
        <v>32</v>
      </c>
      <c r="T71" s="20" t="s">
        <v>195</v>
      </c>
      <c r="U71" s="20" t="s">
        <v>4096</v>
      </c>
      <c r="V71" s="21"/>
      <c r="W71" s="21">
        <v>46299</v>
      </c>
      <c r="X71" s="20" t="s">
        <v>3836</v>
      </c>
      <c r="Y71" s="21">
        <v>46300</v>
      </c>
      <c r="Z71" s="20" t="s">
        <v>4032</v>
      </c>
    </row>
    <row r="72" spans="1:26" x14ac:dyDescent="0.25">
      <c r="A72" s="9">
        <f t="shared" si="0"/>
        <v>65</v>
      </c>
      <c r="B72" s="19" t="s">
        <v>4027</v>
      </c>
      <c r="C72" s="20" t="s">
        <v>3829</v>
      </c>
      <c r="D72" s="20" t="s">
        <v>4099</v>
      </c>
      <c r="E72" s="20" t="s">
        <v>26</v>
      </c>
      <c r="F72" s="20" t="s">
        <v>4094</v>
      </c>
      <c r="G72" s="20" t="s">
        <v>25</v>
      </c>
      <c r="H72" s="20" t="s">
        <v>26</v>
      </c>
      <c r="I72" s="21">
        <v>46299</v>
      </c>
      <c r="J72" s="20" t="s">
        <v>82</v>
      </c>
      <c r="K72" s="20" t="s">
        <v>684</v>
      </c>
      <c r="L72" s="20" t="s">
        <v>4095</v>
      </c>
      <c r="M72" s="20" t="s">
        <v>259</v>
      </c>
      <c r="N72" s="22" t="s">
        <v>250</v>
      </c>
      <c r="O72" s="20" t="s">
        <v>3847</v>
      </c>
      <c r="P72" s="20" t="s">
        <v>26</v>
      </c>
      <c r="Q72" s="20" t="s">
        <v>26</v>
      </c>
      <c r="R72" s="20" t="s">
        <v>26</v>
      </c>
      <c r="S72" s="20" t="s">
        <v>32</v>
      </c>
      <c r="T72" s="20" t="s">
        <v>195</v>
      </c>
      <c r="U72" s="20" t="s">
        <v>4096</v>
      </c>
      <c r="V72" s="21"/>
      <c r="W72" s="21">
        <v>46299</v>
      </c>
      <c r="X72" s="20" t="s">
        <v>3836</v>
      </c>
      <c r="Y72" s="21">
        <v>46300</v>
      </c>
      <c r="Z72" s="20" t="s">
        <v>4032</v>
      </c>
    </row>
    <row r="73" spans="1:26" x14ac:dyDescent="0.25">
      <c r="A73" s="9">
        <f t="shared" si="0"/>
        <v>66</v>
      </c>
      <c r="B73" s="19" t="s">
        <v>4027</v>
      </c>
      <c r="C73" s="20" t="s">
        <v>3829</v>
      </c>
      <c r="D73" s="20" t="s">
        <v>4100</v>
      </c>
      <c r="E73" s="20" t="s">
        <v>26</v>
      </c>
      <c r="F73" s="20" t="s">
        <v>4094</v>
      </c>
      <c r="G73" s="20" t="s">
        <v>25</v>
      </c>
      <c r="H73" s="20" t="s">
        <v>26</v>
      </c>
      <c r="I73" s="21">
        <v>46299</v>
      </c>
      <c r="J73" s="20" t="s">
        <v>82</v>
      </c>
      <c r="K73" s="20" t="s">
        <v>557</v>
      </c>
      <c r="L73" s="20" t="s">
        <v>4095</v>
      </c>
      <c r="M73" s="20" t="s">
        <v>259</v>
      </c>
      <c r="N73" s="22" t="s">
        <v>250</v>
      </c>
      <c r="O73" s="20" t="s">
        <v>3847</v>
      </c>
      <c r="P73" s="20" t="s">
        <v>26</v>
      </c>
      <c r="Q73" s="20" t="s">
        <v>26</v>
      </c>
      <c r="R73" s="20" t="s">
        <v>26</v>
      </c>
      <c r="S73" s="20" t="s">
        <v>32</v>
      </c>
      <c r="T73" s="20" t="s">
        <v>195</v>
      </c>
      <c r="U73" s="20" t="s">
        <v>4096</v>
      </c>
      <c r="V73" s="21"/>
      <c r="W73" s="21">
        <v>46299</v>
      </c>
      <c r="X73" s="20" t="s">
        <v>3836</v>
      </c>
      <c r="Y73" s="21">
        <v>46300</v>
      </c>
      <c r="Z73" s="20" t="s">
        <v>4032</v>
      </c>
    </row>
    <row r="74" spans="1:26" x14ac:dyDescent="0.25">
      <c r="A74" s="9">
        <f t="shared" ref="A74:A137" si="1">A73+1</f>
        <v>67</v>
      </c>
      <c r="B74" s="19" t="s">
        <v>4027</v>
      </c>
      <c r="C74" s="20" t="s">
        <v>3829</v>
      </c>
      <c r="D74" s="20" t="s">
        <v>4101</v>
      </c>
      <c r="E74" s="20" t="s">
        <v>26</v>
      </c>
      <c r="F74" s="20" t="s">
        <v>4094</v>
      </c>
      <c r="G74" s="20" t="s">
        <v>25</v>
      </c>
      <c r="H74" s="20" t="s">
        <v>26</v>
      </c>
      <c r="I74" s="21">
        <v>46299</v>
      </c>
      <c r="J74" s="20" t="s">
        <v>82</v>
      </c>
      <c r="K74" s="20" t="s">
        <v>1141</v>
      </c>
      <c r="L74" s="20" t="s">
        <v>4095</v>
      </c>
      <c r="M74" s="20" t="s">
        <v>259</v>
      </c>
      <c r="N74" s="22" t="s">
        <v>250</v>
      </c>
      <c r="O74" s="20" t="s">
        <v>3847</v>
      </c>
      <c r="P74" s="20" t="s">
        <v>26</v>
      </c>
      <c r="Q74" s="20" t="s">
        <v>26</v>
      </c>
      <c r="R74" s="20" t="s">
        <v>26</v>
      </c>
      <c r="S74" s="20" t="s">
        <v>32</v>
      </c>
      <c r="T74" s="20" t="s">
        <v>195</v>
      </c>
      <c r="U74" s="20" t="s">
        <v>4096</v>
      </c>
      <c r="V74" s="21"/>
      <c r="W74" s="21">
        <v>46299</v>
      </c>
      <c r="X74" s="20" t="s">
        <v>3836</v>
      </c>
      <c r="Y74" s="21">
        <v>46300</v>
      </c>
      <c r="Z74" s="20" t="s">
        <v>4032</v>
      </c>
    </row>
    <row r="75" spans="1:26" x14ac:dyDescent="0.25">
      <c r="A75" s="9">
        <f t="shared" si="1"/>
        <v>68</v>
      </c>
      <c r="B75" s="19" t="s">
        <v>4027</v>
      </c>
      <c r="C75" s="20" t="s">
        <v>3829</v>
      </c>
      <c r="D75" s="20" t="s">
        <v>4102</v>
      </c>
      <c r="E75" s="20" t="s">
        <v>26</v>
      </c>
      <c r="F75" s="20" t="s">
        <v>4094</v>
      </c>
      <c r="G75" s="20" t="s">
        <v>25</v>
      </c>
      <c r="H75" s="20" t="s">
        <v>26</v>
      </c>
      <c r="I75" s="21">
        <v>46299</v>
      </c>
      <c r="J75" s="20" t="s">
        <v>82</v>
      </c>
      <c r="K75" s="20" t="s">
        <v>1143</v>
      </c>
      <c r="L75" s="20" t="s">
        <v>4095</v>
      </c>
      <c r="M75" s="20" t="s">
        <v>259</v>
      </c>
      <c r="N75" s="22" t="s">
        <v>250</v>
      </c>
      <c r="O75" s="20" t="s">
        <v>3847</v>
      </c>
      <c r="P75" s="20" t="s">
        <v>26</v>
      </c>
      <c r="Q75" s="20" t="s">
        <v>26</v>
      </c>
      <c r="R75" s="20" t="s">
        <v>26</v>
      </c>
      <c r="S75" s="20" t="s">
        <v>32</v>
      </c>
      <c r="T75" s="20" t="s">
        <v>195</v>
      </c>
      <c r="U75" s="20" t="s">
        <v>4096</v>
      </c>
      <c r="V75" s="21"/>
      <c r="W75" s="21">
        <v>46299</v>
      </c>
      <c r="X75" s="20" t="s">
        <v>3836</v>
      </c>
      <c r="Y75" s="21">
        <v>46300</v>
      </c>
      <c r="Z75" s="20" t="s">
        <v>4032</v>
      </c>
    </row>
    <row r="76" spans="1:26" x14ac:dyDescent="0.25">
      <c r="A76" s="9">
        <f t="shared" si="1"/>
        <v>69</v>
      </c>
      <c r="B76" s="19" t="s">
        <v>4027</v>
      </c>
      <c r="C76" s="20" t="s">
        <v>3829</v>
      </c>
      <c r="D76" s="20" t="s">
        <v>4103</v>
      </c>
      <c r="E76" s="20" t="s">
        <v>26</v>
      </c>
      <c r="F76" s="20" t="s">
        <v>4094</v>
      </c>
      <c r="G76" s="20" t="s">
        <v>25</v>
      </c>
      <c r="H76" s="20" t="s">
        <v>26</v>
      </c>
      <c r="I76" s="21">
        <v>46299</v>
      </c>
      <c r="J76" s="20" t="s">
        <v>82</v>
      </c>
      <c r="K76" s="20" t="s">
        <v>1145</v>
      </c>
      <c r="L76" s="20" t="s">
        <v>4095</v>
      </c>
      <c r="M76" s="20" t="s">
        <v>259</v>
      </c>
      <c r="N76" s="22" t="s">
        <v>250</v>
      </c>
      <c r="O76" s="20" t="s">
        <v>3847</v>
      </c>
      <c r="P76" s="20" t="s">
        <v>26</v>
      </c>
      <c r="Q76" s="20" t="s">
        <v>26</v>
      </c>
      <c r="R76" s="20" t="s">
        <v>26</v>
      </c>
      <c r="S76" s="20" t="s">
        <v>32</v>
      </c>
      <c r="T76" s="20" t="s">
        <v>195</v>
      </c>
      <c r="U76" s="20" t="s">
        <v>4096</v>
      </c>
      <c r="V76" s="21"/>
      <c r="W76" s="21">
        <v>46299</v>
      </c>
      <c r="X76" s="20" t="s">
        <v>3836</v>
      </c>
      <c r="Y76" s="21">
        <v>46300</v>
      </c>
      <c r="Z76" s="20" t="s">
        <v>4032</v>
      </c>
    </row>
    <row r="77" spans="1:26" x14ac:dyDescent="0.25">
      <c r="A77" s="9">
        <f t="shared" si="1"/>
        <v>70</v>
      </c>
      <c r="B77" s="19" t="s">
        <v>4027</v>
      </c>
      <c r="C77" s="20" t="s">
        <v>3829</v>
      </c>
      <c r="D77" s="20" t="s">
        <v>4104</v>
      </c>
      <c r="E77" s="20" t="s">
        <v>26</v>
      </c>
      <c r="F77" s="20" t="s">
        <v>4094</v>
      </c>
      <c r="G77" s="20" t="s">
        <v>25</v>
      </c>
      <c r="H77" s="20" t="s">
        <v>26</v>
      </c>
      <c r="I77" s="21">
        <v>46299</v>
      </c>
      <c r="J77" s="20" t="s">
        <v>82</v>
      </c>
      <c r="K77" s="20" t="s">
        <v>1147</v>
      </c>
      <c r="L77" s="20" t="s">
        <v>4095</v>
      </c>
      <c r="M77" s="20" t="s">
        <v>259</v>
      </c>
      <c r="N77" s="22" t="s">
        <v>250</v>
      </c>
      <c r="O77" s="20" t="s">
        <v>3847</v>
      </c>
      <c r="P77" s="20" t="s">
        <v>26</v>
      </c>
      <c r="Q77" s="20" t="s">
        <v>26</v>
      </c>
      <c r="R77" s="20" t="s">
        <v>26</v>
      </c>
      <c r="S77" s="20" t="s">
        <v>32</v>
      </c>
      <c r="T77" s="20" t="s">
        <v>195</v>
      </c>
      <c r="U77" s="20" t="s">
        <v>4096</v>
      </c>
      <c r="V77" s="21"/>
      <c r="W77" s="21">
        <v>46299</v>
      </c>
      <c r="X77" s="20" t="s">
        <v>3836</v>
      </c>
      <c r="Y77" s="21">
        <v>46300</v>
      </c>
      <c r="Z77" s="20" t="s">
        <v>4032</v>
      </c>
    </row>
    <row r="78" spans="1:26" x14ac:dyDescent="0.25">
      <c r="A78" s="9">
        <f t="shared" si="1"/>
        <v>71</v>
      </c>
      <c r="B78" s="19" t="s">
        <v>4027</v>
      </c>
      <c r="C78" s="20" t="s">
        <v>3829</v>
      </c>
      <c r="D78" s="20" t="s">
        <v>4105</v>
      </c>
      <c r="E78" s="20" t="s">
        <v>26</v>
      </c>
      <c r="F78" s="20" t="s">
        <v>4094</v>
      </c>
      <c r="G78" s="20" t="s">
        <v>25</v>
      </c>
      <c r="H78" s="20" t="s">
        <v>26</v>
      </c>
      <c r="I78" s="21">
        <v>46299</v>
      </c>
      <c r="J78" s="20" t="s">
        <v>82</v>
      </c>
      <c r="K78" s="20" t="s">
        <v>1149</v>
      </c>
      <c r="L78" s="20" t="s">
        <v>4095</v>
      </c>
      <c r="M78" s="20" t="s">
        <v>259</v>
      </c>
      <c r="N78" s="22" t="s">
        <v>250</v>
      </c>
      <c r="O78" s="20" t="s">
        <v>3847</v>
      </c>
      <c r="P78" s="20" t="s">
        <v>26</v>
      </c>
      <c r="Q78" s="20" t="s">
        <v>26</v>
      </c>
      <c r="R78" s="20" t="s">
        <v>26</v>
      </c>
      <c r="S78" s="20" t="s">
        <v>32</v>
      </c>
      <c r="T78" s="20" t="s">
        <v>195</v>
      </c>
      <c r="U78" s="20" t="s">
        <v>4096</v>
      </c>
      <c r="V78" s="21"/>
      <c r="W78" s="21">
        <v>46299</v>
      </c>
      <c r="X78" s="20" t="s">
        <v>3836</v>
      </c>
      <c r="Y78" s="21">
        <v>46300</v>
      </c>
      <c r="Z78" s="20" t="s">
        <v>4032</v>
      </c>
    </row>
    <row r="79" spans="1:26" x14ac:dyDescent="0.25">
      <c r="A79" s="9">
        <f t="shared" si="1"/>
        <v>72</v>
      </c>
      <c r="B79" s="19" t="s">
        <v>4027</v>
      </c>
      <c r="C79" s="20" t="s">
        <v>3829</v>
      </c>
      <c r="D79" s="20" t="s">
        <v>4106</v>
      </c>
      <c r="E79" s="20" t="s">
        <v>26</v>
      </c>
      <c r="F79" s="20" t="s">
        <v>4094</v>
      </c>
      <c r="G79" s="20" t="s">
        <v>25</v>
      </c>
      <c r="H79" s="20" t="s">
        <v>26</v>
      </c>
      <c r="I79" s="21">
        <v>46299</v>
      </c>
      <c r="J79" s="20" t="s">
        <v>82</v>
      </c>
      <c r="K79" s="20" t="s">
        <v>1151</v>
      </c>
      <c r="L79" s="20" t="s">
        <v>4095</v>
      </c>
      <c r="M79" s="20" t="s">
        <v>259</v>
      </c>
      <c r="N79" s="22" t="s">
        <v>250</v>
      </c>
      <c r="O79" s="20" t="s">
        <v>3847</v>
      </c>
      <c r="P79" s="20" t="s">
        <v>26</v>
      </c>
      <c r="Q79" s="20" t="s">
        <v>26</v>
      </c>
      <c r="R79" s="20" t="s">
        <v>26</v>
      </c>
      <c r="S79" s="20" t="s">
        <v>32</v>
      </c>
      <c r="T79" s="20" t="s">
        <v>195</v>
      </c>
      <c r="U79" s="20" t="s">
        <v>4096</v>
      </c>
      <c r="V79" s="21"/>
      <c r="W79" s="21">
        <v>46299</v>
      </c>
      <c r="X79" s="20" t="s">
        <v>3836</v>
      </c>
      <c r="Y79" s="21">
        <v>46300</v>
      </c>
      <c r="Z79" s="20" t="s">
        <v>4032</v>
      </c>
    </row>
    <row r="80" spans="1:26" x14ac:dyDescent="0.25">
      <c r="A80" s="9">
        <f t="shared" si="1"/>
        <v>73</v>
      </c>
      <c r="B80" s="19" t="s">
        <v>4027</v>
      </c>
      <c r="C80" s="20" t="s">
        <v>3829</v>
      </c>
      <c r="D80" s="20" t="s">
        <v>4107</v>
      </c>
      <c r="E80" s="20" t="s">
        <v>26</v>
      </c>
      <c r="F80" s="20" t="s">
        <v>4094</v>
      </c>
      <c r="G80" s="20" t="s">
        <v>25</v>
      </c>
      <c r="H80" s="20" t="s">
        <v>26</v>
      </c>
      <c r="I80" s="21">
        <v>46299</v>
      </c>
      <c r="J80" s="20" t="s">
        <v>82</v>
      </c>
      <c r="K80" s="20" t="s">
        <v>4055</v>
      </c>
      <c r="L80" s="20" t="s">
        <v>4095</v>
      </c>
      <c r="M80" s="20" t="s">
        <v>259</v>
      </c>
      <c r="N80" s="22" t="s">
        <v>250</v>
      </c>
      <c r="O80" s="20" t="s">
        <v>3847</v>
      </c>
      <c r="P80" s="20" t="s">
        <v>26</v>
      </c>
      <c r="Q80" s="20" t="s">
        <v>26</v>
      </c>
      <c r="R80" s="20" t="s">
        <v>26</v>
      </c>
      <c r="S80" s="20" t="s">
        <v>32</v>
      </c>
      <c r="T80" s="20" t="s">
        <v>195</v>
      </c>
      <c r="U80" s="20" t="s">
        <v>4096</v>
      </c>
      <c r="V80" s="21"/>
      <c r="W80" s="21">
        <v>46299</v>
      </c>
      <c r="X80" s="20" t="s">
        <v>3836</v>
      </c>
      <c r="Y80" s="21">
        <v>46300</v>
      </c>
      <c r="Z80" s="20" t="s">
        <v>4032</v>
      </c>
    </row>
    <row r="81" spans="1:26" x14ac:dyDescent="0.25">
      <c r="A81" s="9">
        <f t="shared" si="1"/>
        <v>74</v>
      </c>
      <c r="B81" s="19" t="s">
        <v>4027</v>
      </c>
      <c r="C81" s="20" t="s">
        <v>3829</v>
      </c>
      <c r="D81" s="20" t="s">
        <v>4108</v>
      </c>
      <c r="E81" s="20" t="s">
        <v>26</v>
      </c>
      <c r="F81" s="20" t="s">
        <v>4094</v>
      </c>
      <c r="G81" s="20" t="s">
        <v>25</v>
      </c>
      <c r="H81" s="20" t="s">
        <v>26</v>
      </c>
      <c r="I81" s="21">
        <v>46299</v>
      </c>
      <c r="J81" s="20" t="s">
        <v>82</v>
      </c>
      <c r="K81" s="20" t="s">
        <v>4057</v>
      </c>
      <c r="L81" s="20" t="s">
        <v>4095</v>
      </c>
      <c r="M81" s="20" t="s">
        <v>259</v>
      </c>
      <c r="N81" s="22" t="s">
        <v>250</v>
      </c>
      <c r="O81" s="20" t="s">
        <v>3847</v>
      </c>
      <c r="P81" s="20" t="s">
        <v>26</v>
      </c>
      <c r="Q81" s="20" t="s">
        <v>26</v>
      </c>
      <c r="R81" s="20" t="s">
        <v>26</v>
      </c>
      <c r="S81" s="20" t="s">
        <v>32</v>
      </c>
      <c r="T81" s="20" t="s">
        <v>195</v>
      </c>
      <c r="U81" s="20" t="s">
        <v>4096</v>
      </c>
      <c r="V81" s="21"/>
      <c r="W81" s="21">
        <v>46299</v>
      </c>
      <c r="X81" s="20" t="s">
        <v>3836</v>
      </c>
      <c r="Y81" s="21">
        <v>46300</v>
      </c>
      <c r="Z81" s="20" t="s">
        <v>4032</v>
      </c>
    </row>
    <row r="82" spans="1:26" x14ac:dyDescent="0.25">
      <c r="A82" s="9">
        <f t="shared" si="1"/>
        <v>75</v>
      </c>
      <c r="B82" s="19" t="s">
        <v>4027</v>
      </c>
      <c r="C82" s="20" t="s">
        <v>3829</v>
      </c>
      <c r="D82" s="20" t="s">
        <v>4109</v>
      </c>
      <c r="E82" s="20" t="s">
        <v>26</v>
      </c>
      <c r="F82" s="20" t="s">
        <v>4110</v>
      </c>
      <c r="G82" s="20" t="s">
        <v>25</v>
      </c>
      <c r="H82" s="20" t="s">
        <v>26</v>
      </c>
      <c r="I82" s="21">
        <v>46299</v>
      </c>
      <c r="J82" s="20" t="s">
        <v>52</v>
      </c>
      <c r="K82" s="20" t="s">
        <v>28</v>
      </c>
      <c r="L82" s="20" t="s">
        <v>4111</v>
      </c>
      <c r="M82" s="20" t="s">
        <v>259</v>
      </c>
      <c r="N82" s="22" t="s">
        <v>250</v>
      </c>
      <c r="O82" s="20" t="s">
        <v>3847</v>
      </c>
      <c r="P82" s="20" t="s">
        <v>613</v>
      </c>
      <c r="Q82" s="20" t="s">
        <v>614</v>
      </c>
      <c r="R82" s="20" t="s">
        <v>118</v>
      </c>
      <c r="S82" s="20" t="s">
        <v>32</v>
      </c>
      <c r="T82" s="20" t="s">
        <v>195</v>
      </c>
      <c r="U82" s="20" t="s">
        <v>4037</v>
      </c>
      <c r="V82" s="21"/>
      <c r="W82" s="21">
        <v>46299</v>
      </c>
      <c r="X82" s="20" t="s">
        <v>3836</v>
      </c>
      <c r="Y82" s="21">
        <v>46300</v>
      </c>
      <c r="Z82" s="20" t="s">
        <v>4032</v>
      </c>
    </row>
    <row r="83" spans="1:26" x14ac:dyDescent="0.25">
      <c r="A83" s="9">
        <f t="shared" si="1"/>
        <v>76</v>
      </c>
      <c r="B83" s="19" t="s">
        <v>4027</v>
      </c>
      <c r="C83" s="20" t="s">
        <v>3829</v>
      </c>
      <c r="D83" s="20" t="s">
        <v>4112</v>
      </c>
      <c r="E83" s="20" t="s">
        <v>26</v>
      </c>
      <c r="F83" s="20" t="s">
        <v>4113</v>
      </c>
      <c r="G83" s="20" t="s">
        <v>25</v>
      </c>
      <c r="H83" s="20" t="s">
        <v>26</v>
      </c>
      <c r="I83" s="21">
        <v>46299</v>
      </c>
      <c r="J83" s="20" t="s">
        <v>52</v>
      </c>
      <c r="K83" s="20" t="s">
        <v>28</v>
      </c>
      <c r="L83" s="20" t="s">
        <v>4114</v>
      </c>
      <c r="M83" s="20" t="s">
        <v>259</v>
      </c>
      <c r="N83" s="22" t="s">
        <v>250</v>
      </c>
      <c r="O83" s="20" t="s">
        <v>3847</v>
      </c>
      <c r="P83" s="20" t="s">
        <v>148</v>
      </c>
      <c r="Q83" s="20" t="s">
        <v>149</v>
      </c>
      <c r="R83" s="20" t="s">
        <v>26</v>
      </c>
      <c r="S83" s="20" t="s">
        <v>32</v>
      </c>
      <c r="T83" s="20" t="s">
        <v>195</v>
      </c>
      <c r="U83" s="20" t="s">
        <v>4037</v>
      </c>
      <c r="V83" s="21"/>
      <c r="W83" s="21">
        <v>46299</v>
      </c>
      <c r="X83" s="20" t="s">
        <v>3836</v>
      </c>
      <c r="Y83" s="21">
        <v>46300</v>
      </c>
      <c r="Z83" s="20" t="s">
        <v>4032</v>
      </c>
    </row>
    <row r="84" spans="1:26" x14ac:dyDescent="0.25">
      <c r="A84" s="9">
        <f t="shared" si="1"/>
        <v>77</v>
      </c>
      <c r="B84" s="19" t="s">
        <v>4027</v>
      </c>
      <c r="C84" s="20" t="s">
        <v>3829</v>
      </c>
      <c r="D84" s="20" t="s">
        <v>4115</v>
      </c>
      <c r="E84" s="20" t="s">
        <v>26</v>
      </c>
      <c r="F84" s="20" t="s">
        <v>4116</v>
      </c>
      <c r="G84" s="20" t="s">
        <v>25</v>
      </c>
      <c r="H84" s="20" t="s">
        <v>26</v>
      </c>
      <c r="I84" s="21">
        <v>46299</v>
      </c>
      <c r="J84" s="20" t="s">
        <v>52</v>
      </c>
      <c r="K84" s="20" t="s">
        <v>28</v>
      </c>
      <c r="L84" s="20" t="s">
        <v>4117</v>
      </c>
      <c r="M84" s="20" t="s">
        <v>259</v>
      </c>
      <c r="N84" s="22" t="s">
        <v>250</v>
      </c>
      <c r="O84" s="20" t="s">
        <v>3847</v>
      </c>
      <c r="P84" s="20" t="s">
        <v>148</v>
      </c>
      <c r="Q84" s="20" t="s">
        <v>149</v>
      </c>
      <c r="R84" s="20" t="s">
        <v>26</v>
      </c>
      <c r="S84" s="20" t="s">
        <v>32</v>
      </c>
      <c r="T84" s="20" t="s">
        <v>195</v>
      </c>
      <c r="U84" s="20" t="s">
        <v>4037</v>
      </c>
      <c r="V84" s="21"/>
      <c r="W84" s="21">
        <v>46299</v>
      </c>
      <c r="X84" s="20" t="s">
        <v>3836</v>
      </c>
      <c r="Y84" s="21">
        <v>46300</v>
      </c>
      <c r="Z84" s="20" t="s">
        <v>4032</v>
      </c>
    </row>
    <row r="85" spans="1:26" x14ac:dyDescent="0.25">
      <c r="A85" s="9">
        <f t="shared" si="1"/>
        <v>78</v>
      </c>
      <c r="B85" s="19" t="s">
        <v>4027</v>
      </c>
      <c r="C85" s="20" t="s">
        <v>3829</v>
      </c>
      <c r="D85" s="20" t="s">
        <v>4118</v>
      </c>
      <c r="E85" s="20" t="s">
        <v>26</v>
      </c>
      <c r="F85" s="20" t="s">
        <v>4119</v>
      </c>
      <c r="G85" s="20" t="s">
        <v>25</v>
      </c>
      <c r="H85" s="20" t="s">
        <v>26</v>
      </c>
      <c r="I85" s="21">
        <v>46299</v>
      </c>
      <c r="J85" s="20" t="s">
        <v>52</v>
      </c>
      <c r="K85" s="20" t="s">
        <v>28</v>
      </c>
      <c r="L85" s="20" t="s">
        <v>4120</v>
      </c>
      <c r="M85" s="20" t="s">
        <v>259</v>
      </c>
      <c r="N85" s="22" t="s">
        <v>250</v>
      </c>
      <c r="O85" s="20" t="s">
        <v>3847</v>
      </c>
      <c r="P85" s="20" t="s">
        <v>148</v>
      </c>
      <c r="Q85" s="20" t="s">
        <v>149</v>
      </c>
      <c r="R85" s="20" t="s">
        <v>26</v>
      </c>
      <c r="S85" s="20" t="s">
        <v>32</v>
      </c>
      <c r="T85" s="20" t="s">
        <v>195</v>
      </c>
      <c r="U85" s="20" t="s">
        <v>4037</v>
      </c>
      <c r="V85" s="21"/>
      <c r="W85" s="21">
        <v>46299</v>
      </c>
      <c r="X85" s="20" t="s">
        <v>3836</v>
      </c>
      <c r="Y85" s="21">
        <v>46300</v>
      </c>
      <c r="Z85" s="20" t="s">
        <v>4032</v>
      </c>
    </row>
    <row r="86" spans="1:26" x14ac:dyDescent="0.25">
      <c r="A86" s="9">
        <f t="shared" si="1"/>
        <v>79</v>
      </c>
      <c r="B86" s="19" t="s">
        <v>4027</v>
      </c>
      <c r="C86" s="20" t="s">
        <v>3829</v>
      </c>
      <c r="D86" s="20" t="s">
        <v>4121</v>
      </c>
      <c r="E86" s="20" t="s">
        <v>26</v>
      </c>
      <c r="F86" s="20" t="s">
        <v>4122</v>
      </c>
      <c r="G86" s="20" t="s">
        <v>25</v>
      </c>
      <c r="H86" s="20" t="s">
        <v>26</v>
      </c>
      <c r="I86" s="21">
        <v>46299</v>
      </c>
      <c r="J86" s="20" t="s">
        <v>82</v>
      </c>
      <c r="K86" s="20" t="s">
        <v>28</v>
      </c>
      <c r="L86" s="20" t="s">
        <v>4123</v>
      </c>
      <c r="M86" s="20" t="s">
        <v>259</v>
      </c>
      <c r="N86" s="22" t="s">
        <v>250</v>
      </c>
      <c r="O86" s="20" t="s">
        <v>3847</v>
      </c>
      <c r="P86" s="20" t="s">
        <v>613</v>
      </c>
      <c r="Q86" s="20" t="s">
        <v>614</v>
      </c>
      <c r="R86" s="20" t="s">
        <v>49</v>
      </c>
      <c r="S86" s="20" t="s">
        <v>32</v>
      </c>
      <c r="T86" s="20" t="s">
        <v>195</v>
      </c>
      <c r="U86" s="20" t="s">
        <v>4037</v>
      </c>
      <c r="V86" s="21"/>
      <c r="W86" s="21">
        <v>46299</v>
      </c>
      <c r="X86" s="20" t="s">
        <v>3836</v>
      </c>
      <c r="Y86" s="21">
        <v>46300</v>
      </c>
      <c r="Z86" s="20" t="s">
        <v>4032</v>
      </c>
    </row>
    <row r="87" spans="1:26" x14ac:dyDescent="0.25">
      <c r="A87" s="9">
        <f t="shared" si="1"/>
        <v>80</v>
      </c>
      <c r="B87" s="19" t="s">
        <v>4027</v>
      </c>
      <c r="C87" s="20" t="s">
        <v>3829</v>
      </c>
      <c r="D87" s="20" t="s">
        <v>4124</v>
      </c>
      <c r="E87" s="20" t="s">
        <v>26</v>
      </c>
      <c r="F87" s="20" t="s">
        <v>4125</v>
      </c>
      <c r="G87" s="20" t="s">
        <v>25</v>
      </c>
      <c r="H87" s="20" t="s">
        <v>26</v>
      </c>
      <c r="I87" s="21">
        <v>46299</v>
      </c>
      <c r="J87" s="20" t="s">
        <v>82</v>
      </c>
      <c r="K87" s="20" t="s">
        <v>28</v>
      </c>
      <c r="L87" s="20" t="s">
        <v>4126</v>
      </c>
      <c r="M87" s="20" t="s">
        <v>259</v>
      </c>
      <c r="N87" s="22" t="s">
        <v>250</v>
      </c>
      <c r="O87" s="20" t="s">
        <v>3847</v>
      </c>
      <c r="P87" s="20" t="s">
        <v>613</v>
      </c>
      <c r="Q87" s="20" t="s">
        <v>614</v>
      </c>
      <c r="R87" s="20" t="s">
        <v>118</v>
      </c>
      <c r="S87" s="20" t="s">
        <v>32</v>
      </c>
      <c r="T87" s="20" t="s">
        <v>195</v>
      </c>
      <c r="U87" s="20" t="s">
        <v>4037</v>
      </c>
      <c r="V87" s="21"/>
      <c r="W87" s="21">
        <v>46299</v>
      </c>
      <c r="X87" s="20" t="s">
        <v>3836</v>
      </c>
      <c r="Y87" s="21">
        <v>46300</v>
      </c>
      <c r="Z87" s="20" t="s">
        <v>4032</v>
      </c>
    </row>
    <row r="88" spans="1:26" x14ac:dyDescent="0.25">
      <c r="A88" s="9">
        <f t="shared" si="1"/>
        <v>81</v>
      </c>
      <c r="B88" s="19" t="s">
        <v>4027</v>
      </c>
      <c r="C88" s="20" t="s">
        <v>3829</v>
      </c>
      <c r="D88" s="20" t="s">
        <v>4127</v>
      </c>
      <c r="E88" s="20" t="s">
        <v>26</v>
      </c>
      <c r="F88" s="20" t="s">
        <v>4125</v>
      </c>
      <c r="G88" s="20" t="s">
        <v>25</v>
      </c>
      <c r="H88" s="20" t="s">
        <v>26</v>
      </c>
      <c r="I88" s="21">
        <v>46299</v>
      </c>
      <c r="J88" s="20" t="s">
        <v>82</v>
      </c>
      <c r="K88" s="20" t="s">
        <v>58</v>
      </c>
      <c r="L88" s="20" t="s">
        <v>4126</v>
      </c>
      <c r="M88" s="20" t="s">
        <v>259</v>
      </c>
      <c r="N88" s="22" t="s">
        <v>250</v>
      </c>
      <c r="O88" s="20" t="s">
        <v>3847</v>
      </c>
      <c r="P88" s="20" t="s">
        <v>613</v>
      </c>
      <c r="Q88" s="20" t="s">
        <v>614</v>
      </c>
      <c r="R88" s="20" t="s">
        <v>118</v>
      </c>
      <c r="S88" s="20" t="s">
        <v>32</v>
      </c>
      <c r="T88" s="20" t="s">
        <v>195</v>
      </c>
      <c r="U88" s="20" t="s">
        <v>4037</v>
      </c>
      <c r="V88" s="21"/>
      <c r="W88" s="21">
        <v>46299</v>
      </c>
      <c r="X88" s="20" t="s">
        <v>3836</v>
      </c>
      <c r="Y88" s="21">
        <v>46300</v>
      </c>
      <c r="Z88" s="20" t="s">
        <v>4032</v>
      </c>
    </row>
    <row r="89" spans="1:26" x14ac:dyDescent="0.25">
      <c r="A89" s="9">
        <f t="shared" si="1"/>
        <v>82</v>
      </c>
      <c r="B89" s="19" t="s">
        <v>4027</v>
      </c>
      <c r="C89" s="20" t="s">
        <v>3829</v>
      </c>
      <c r="D89" s="20" t="s">
        <v>4128</v>
      </c>
      <c r="E89" s="20" t="s">
        <v>26</v>
      </c>
      <c r="F89" s="20" t="s">
        <v>4129</v>
      </c>
      <c r="G89" s="20" t="s">
        <v>25</v>
      </c>
      <c r="H89" s="20" t="s">
        <v>26</v>
      </c>
      <c r="I89" s="21">
        <v>46299</v>
      </c>
      <c r="J89" s="20" t="s">
        <v>82</v>
      </c>
      <c r="K89" s="20" t="s">
        <v>28</v>
      </c>
      <c r="L89" s="20" t="s">
        <v>4130</v>
      </c>
      <c r="M89" s="20" t="s">
        <v>259</v>
      </c>
      <c r="N89" s="22" t="s">
        <v>250</v>
      </c>
      <c r="O89" s="20" t="s">
        <v>3847</v>
      </c>
      <c r="P89" s="20" t="s">
        <v>613</v>
      </c>
      <c r="Q89" s="20" t="s">
        <v>614</v>
      </c>
      <c r="R89" s="20" t="s">
        <v>337</v>
      </c>
      <c r="S89" s="20" t="s">
        <v>32</v>
      </c>
      <c r="T89" s="20" t="s">
        <v>195</v>
      </c>
      <c r="U89" s="20" t="s">
        <v>4037</v>
      </c>
      <c r="V89" s="21"/>
      <c r="W89" s="21">
        <v>46299</v>
      </c>
      <c r="X89" s="20" t="s">
        <v>3836</v>
      </c>
      <c r="Y89" s="21">
        <v>46300</v>
      </c>
      <c r="Z89" s="20" t="s">
        <v>4032</v>
      </c>
    </row>
    <row r="90" spans="1:26" x14ac:dyDescent="0.25">
      <c r="A90" s="9">
        <f t="shared" si="1"/>
        <v>83</v>
      </c>
      <c r="B90" s="19" t="s">
        <v>4027</v>
      </c>
      <c r="C90" s="20" t="s">
        <v>3829</v>
      </c>
      <c r="D90" s="20" t="s">
        <v>4131</v>
      </c>
      <c r="E90" s="20" t="s">
        <v>26</v>
      </c>
      <c r="F90" s="20" t="s">
        <v>4129</v>
      </c>
      <c r="G90" s="20" t="s">
        <v>25</v>
      </c>
      <c r="H90" s="20" t="s">
        <v>26</v>
      </c>
      <c r="I90" s="21">
        <v>46299</v>
      </c>
      <c r="J90" s="20" t="s">
        <v>82</v>
      </c>
      <c r="K90" s="20" t="s">
        <v>58</v>
      </c>
      <c r="L90" s="20" t="s">
        <v>4130</v>
      </c>
      <c r="M90" s="20" t="s">
        <v>259</v>
      </c>
      <c r="N90" s="22" t="s">
        <v>250</v>
      </c>
      <c r="O90" s="20" t="s">
        <v>3847</v>
      </c>
      <c r="P90" s="20" t="s">
        <v>613</v>
      </c>
      <c r="Q90" s="20" t="s">
        <v>614</v>
      </c>
      <c r="R90" s="20" t="s">
        <v>337</v>
      </c>
      <c r="S90" s="20" t="s">
        <v>32</v>
      </c>
      <c r="T90" s="20" t="s">
        <v>195</v>
      </c>
      <c r="U90" s="20" t="s">
        <v>4037</v>
      </c>
      <c r="V90" s="21"/>
      <c r="W90" s="21">
        <v>46299</v>
      </c>
      <c r="X90" s="20" t="s">
        <v>3836</v>
      </c>
      <c r="Y90" s="21">
        <v>46300</v>
      </c>
      <c r="Z90" s="20" t="s">
        <v>4032</v>
      </c>
    </row>
    <row r="91" spans="1:26" x14ac:dyDescent="0.25">
      <c r="A91" s="9">
        <f t="shared" si="1"/>
        <v>84</v>
      </c>
      <c r="B91" s="19" t="s">
        <v>4027</v>
      </c>
      <c r="C91" s="20" t="s">
        <v>3829</v>
      </c>
      <c r="D91" s="20" t="s">
        <v>4132</v>
      </c>
      <c r="E91" s="20" t="s">
        <v>26</v>
      </c>
      <c r="F91" s="20" t="s">
        <v>4129</v>
      </c>
      <c r="G91" s="20" t="s">
        <v>25</v>
      </c>
      <c r="H91" s="20" t="s">
        <v>26</v>
      </c>
      <c r="I91" s="21">
        <v>46299</v>
      </c>
      <c r="J91" s="20" t="s">
        <v>82</v>
      </c>
      <c r="K91" s="20" t="s">
        <v>59</v>
      </c>
      <c r="L91" s="20" t="s">
        <v>4130</v>
      </c>
      <c r="M91" s="20" t="s">
        <v>259</v>
      </c>
      <c r="N91" s="22" t="s">
        <v>250</v>
      </c>
      <c r="O91" s="20" t="s">
        <v>3847</v>
      </c>
      <c r="P91" s="20" t="s">
        <v>613</v>
      </c>
      <c r="Q91" s="20" t="s">
        <v>614</v>
      </c>
      <c r="R91" s="20" t="s">
        <v>337</v>
      </c>
      <c r="S91" s="20" t="s">
        <v>32</v>
      </c>
      <c r="T91" s="20" t="s">
        <v>195</v>
      </c>
      <c r="U91" s="20" t="s">
        <v>4037</v>
      </c>
      <c r="V91" s="21"/>
      <c r="W91" s="21">
        <v>46299</v>
      </c>
      <c r="X91" s="20" t="s">
        <v>3836</v>
      </c>
      <c r="Y91" s="21">
        <v>46300</v>
      </c>
      <c r="Z91" s="20" t="s">
        <v>4032</v>
      </c>
    </row>
    <row r="92" spans="1:26" x14ac:dyDescent="0.25">
      <c r="A92" s="9">
        <f t="shared" si="1"/>
        <v>85</v>
      </c>
      <c r="B92" s="19" t="s">
        <v>4027</v>
      </c>
      <c r="C92" s="20" t="s">
        <v>3829</v>
      </c>
      <c r="D92" s="20" t="s">
        <v>4133</v>
      </c>
      <c r="E92" s="20" t="s">
        <v>26</v>
      </c>
      <c r="F92" s="20" t="s">
        <v>4134</v>
      </c>
      <c r="G92" s="20" t="s">
        <v>25</v>
      </c>
      <c r="H92" s="20" t="s">
        <v>26</v>
      </c>
      <c r="I92" s="21">
        <v>46299</v>
      </c>
      <c r="J92" s="20" t="s">
        <v>36</v>
      </c>
      <c r="K92" s="20" t="s">
        <v>28</v>
      </c>
      <c r="L92" s="20" t="s">
        <v>4135</v>
      </c>
      <c r="M92" s="20" t="s">
        <v>259</v>
      </c>
      <c r="N92" s="22" t="s">
        <v>250</v>
      </c>
      <c r="O92" s="20" t="s">
        <v>3847</v>
      </c>
      <c r="P92" s="20" t="s">
        <v>613</v>
      </c>
      <c r="Q92" s="20" t="s">
        <v>614</v>
      </c>
      <c r="R92" s="20" t="s">
        <v>335</v>
      </c>
      <c r="S92" s="20" t="s">
        <v>32</v>
      </c>
      <c r="T92" s="20" t="s">
        <v>195</v>
      </c>
      <c r="U92" s="20" t="s">
        <v>4037</v>
      </c>
      <c r="V92" s="21"/>
      <c r="W92" s="21">
        <v>46299</v>
      </c>
      <c r="X92" s="20" t="s">
        <v>3836</v>
      </c>
      <c r="Y92" s="21">
        <v>46300</v>
      </c>
      <c r="Z92" s="20" t="s">
        <v>4032</v>
      </c>
    </row>
    <row r="93" spans="1:26" x14ac:dyDescent="0.25">
      <c r="A93" s="9">
        <f t="shared" si="1"/>
        <v>86</v>
      </c>
      <c r="B93" s="19" t="s">
        <v>4027</v>
      </c>
      <c r="C93" s="20" t="s">
        <v>3829</v>
      </c>
      <c r="D93" s="20" t="s">
        <v>4136</v>
      </c>
      <c r="E93" s="20" t="s">
        <v>26</v>
      </c>
      <c r="F93" s="20" t="s">
        <v>4137</v>
      </c>
      <c r="G93" s="20" t="s">
        <v>25</v>
      </c>
      <c r="H93" s="20" t="s">
        <v>26</v>
      </c>
      <c r="I93" s="21">
        <v>46299</v>
      </c>
      <c r="J93" s="20" t="s">
        <v>82</v>
      </c>
      <c r="K93" s="20" t="s">
        <v>28</v>
      </c>
      <c r="L93" s="20" t="s">
        <v>4138</v>
      </c>
      <c r="M93" s="20" t="s">
        <v>259</v>
      </c>
      <c r="N93" s="22" t="s">
        <v>250</v>
      </c>
      <c r="O93" s="20" t="s">
        <v>3847</v>
      </c>
      <c r="P93" s="20" t="s">
        <v>613</v>
      </c>
      <c r="Q93" s="20" t="s">
        <v>614</v>
      </c>
      <c r="R93" s="20" t="s">
        <v>26</v>
      </c>
      <c r="S93" s="20" t="s">
        <v>32</v>
      </c>
      <c r="T93" s="20" t="s">
        <v>195</v>
      </c>
      <c r="U93" s="20" t="s">
        <v>4037</v>
      </c>
      <c r="V93" s="21"/>
      <c r="W93" s="21">
        <v>46299</v>
      </c>
      <c r="X93" s="20" t="s">
        <v>3836</v>
      </c>
      <c r="Y93" s="21">
        <v>46300</v>
      </c>
      <c r="Z93" s="20" t="s">
        <v>4032</v>
      </c>
    </row>
    <row r="94" spans="1:26" x14ac:dyDescent="0.25">
      <c r="A94" s="9">
        <f t="shared" si="1"/>
        <v>87</v>
      </c>
      <c r="B94" s="19" t="s">
        <v>4027</v>
      </c>
      <c r="C94" s="20" t="s">
        <v>3829</v>
      </c>
      <c r="D94" s="20" t="s">
        <v>4139</v>
      </c>
      <c r="E94" s="20" t="s">
        <v>26</v>
      </c>
      <c r="F94" s="20" t="s">
        <v>4137</v>
      </c>
      <c r="G94" s="20" t="s">
        <v>25</v>
      </c>
      <c r="H94" s="20" t="s">
        <v>26</v>
      </c>
      <c r="I94" s="21">
        <v>46299</v>
      </c>
      <c r="J94" s="20" t="s">
        <v>82</v>
      </c>
      <c r="K94" s="20" t="s">
        <v>58</v>
      </c>
      <c r="L94" s="20" t="s">
        <v>4138</v>
      </c>
      <c r="M94" s="20" t="s">
        <v>259</v>
      </c>
      <c r="N94" s="22" t="s">
        <v>250</v>
      </c>
      <c r="O94" s="20" t="s">
        <v>3847</v>
      </c>
      <c r="P94" s="20" t="s">
        <v>613</v>
      </c>
      <c r="Q94" s="20" t="s">
        <v>614</v>
      </c>
      <c r="R94" s="20" t="s">
        <v>26</v>
      </c>
      <c r="S94" s="20" t="s">
        <v>32</v>
      </c>
      <c r="T94" s="20" t="s">
        <v>195</v>
      </c>
      <c r="U94" s="20" t="s">
        <v>4037</v>
      </c>
      <c r="V94" s="21"/>
      <c r="W94" s="21">
        <v>46299</v>
      </c>
      <c r="X94" s="20" t="s">
        <v>3836</v>
      </c>
      <c r="Y94" s="21">
        <v>46300</v>
      </c>
      <c r="Z94" s="20" t="s">
        <v>4032</v>
      </c>
    </row>
    <row r="95" spans="1:26" x14ac:dyDescent="0.25">
      <c r="A95" s="9">
        <f t="shared" si="1"/>
        <v>88</v>
      </c>
      <c r="B95" s="19" t="s">
        <v>4027</v>
      </c>
      <c r="C95" s="20" t="s">
        <v>3829</v>
      </c>
      <c r="D95" s="20" t="s">
        <v>4140</v>
      </c>
      <c r="E95" s="20" t="s">
        <v>26</v>
      </c>
      <c r="F95" s="20" t="s">
        <v>4137</v>
      </c>
      <c r="G95" s="20" t="s">
        <v>25</v>
      </c>
      <c r="H95" s="20" t="s">
        <v>26</v>
      </c>
      <c r="I95" s="21">
        <v>46299</v>
      </c>
      <c r="J95" s="20" t="s">
        <v>82</v>
      </c>
      <c r="K95" s="20" t="s">
        <v>59</v>
      </c>
      <c r="L95" s="20" t="s">
        <v>4138</v>
      </c>
      <c r="M95" s="20" t="s">
        <v>259</v>
      </c>
      <c r="N95" s="22" t="s">
        <v>250</v>
      </c>
      <c r="O95" s="20" t="s">
        <v>3847</v>
      </c>
      <c r="P95" s="20" t="s">
        <v>613</v>
      </c>
      <c r="Q95" s="20" t="s">
        <v>614</v>
      </c>
      <c r="R95" s="20" t="s">
        <v>26</v>
      </c>
      <c r="S95" s="20" t="s">
        <v>32</v>
      </c>
      <c r="T95" s="20" t="s">
        <v>195</v>
      </c>
      <c r="U95" s="20" t="s">
        <v>4037</v>
      </c>
      <c r="V95" s="21"/>
      <c r="W95" s="21">
        <v>46299</v>
      </c>
      <c r="X95" s="20" t="s">
        <v>3836</v>
      </c>
      <c r="Y95" s="21">
        <v>46300</v>
      </c>
      <c r="Z95" s="20" t="s">
        <v>4032</v>
      </c>
    </row>
    <row r="96" spans="1:26" x14ac:dyDescent="0.25">
      <c r="A96" s="9">
        <f t="shared" si="1"/>
        <v>89</v>
      </c>
      <c r="B96" s="19" t="s">
        <v>4027</v>
      </c>
      <c r="C96" s="20" t="s">
        <v>3829</v>
      </c>
      <c r="D96" s="20" t="s">
        <v>4141</v>
      </c>
      <c r="E96" s="20" t="s">
        <v>26</v>
      </c>
      <c r="F96" s="20" t="s">
        <v>4137</v>
      </c>
      <c r="G96" s="20" t="s">
        <v>25</v>
      </c>
      <c r="H96" s="20" t="s">
        <v>26</v>
      </c>
      <c r="I96" s="21">
        <v>46299</v>
      </c>
      <c r="J96" s="20" t="s">
        <v>82</v>
      </c>
      <c r="K96" s="20" t="s">
        <v>684</v>
      </c>
      <c r="L96" s="20" t="s">
        <v>4138</v>
      </c>
      <c r="M96" s="20" t="s">
        <v>259</v>
      </c>
      <c r="N96" s="22" t="s">
        <v>250</v>
      </c>
      <c r="O96" s="20" t="s">
        <v>3847</v>
      </c>
      <c r="P96" s="20" t="s">
        <v>613</v>
      </c>
      <c r="Q96" s="20" t="s">
        <v>614</v>
      </c>
      <c r="R96" s="20" t="s">
        <v>26</v>
      </c>
      <c r="S96" s="20" t="s">
        <v>32</v>
      </c>
      <c r="T96" s="20" t="s">
        <v>195</v>
      </c>
      <c r="U96" s="20" t="s">
        <v>4037</v>
      </c>
      <c r="V96" s="21"/>
      <c r="W96" s="21">
        <v>46299</v>
      </c>
      <c r="X96" s="20" t="s">
        <v>3836</v>
      </c>
      <c r="Y96" s="21">
        <v>46300</v>
      </c>
      <c r="Z96" s="20" t="s">
        <v>4032</v>
      </c>
    </row>
    <row r="97" spans="1:26" x14ac:dyDescent="0.25">
      <c r="A97" s="9">
        <f t="shared" si="1"/>
        <v>90</v>
      </c>
      <c r="B97" s="19" t="s">
        <v>4027</v>
      </c>
      <c r="C97" s="20" t="s">
        <v>3829</v>
      </c>
      <c r="D97" s="20" t="s">
        <v>4142</v>
      </c>
      <c r="E97" s="20" t="s">
        <v>26</v>
      </c>
      <c r="F97" s="20" t="s">
        <v>4137</v>
      </c>
      <c r="G97" s="20" t="s">
        <v>25</v>
      </c>
      <c r="H97" s="20" t="s">
        <v>26</v>
      </c>
      <c r="I97" s="21">
        <v>46299</v>
      </c>
      <c r="J97" s="20" t="s">
        <v>82</v>
      </c>
      <c r="K97" s="20" t="s">
        <v>557</v>
      </c>
      <c r="L97" s="20" t="s">
        <v>4138</v>
      </c>
      <c r="M97" s="20" t="s">
        <v>259</v>
      </c>
      <c r="N97" s="22" t="s">
        <v>250</v>
      </c>
      <c r="O97" s="20" t="s">
        <v>3847</v>
      </c>
      <c r="P97" s="20" t="s">
        <v>613</v>
      </c>
      <c r="Q97" s="20" t="s">
        <v>614</v>
      </c>
      <c r="R97" s="20" t="s">
        <v>26</v>
      </c>
      <c r="S97" s="20" t="s">
        <v>32</v>
      </c>
      <c r="T97" s="20" t="s">
        <v>195</v>
      </c>
      <c r="U97" s="20" t="s">
        <v>4037</v>
      </c>
      <c r="V97" s="21"/>
      <c r="W97" s="21">
        <v>46299</v>
      </c>
      <c r="X97" s="20" t="s">
        <v>3836</v>
      </c>
      <c r="Y97" s="21">
        <v>46300</v>
      </c>
      <c r="Z97" s="20" t="s">
        <v>4032</v>
      </c>
    </row>
    <row r="98" spans="1:26" x14ac:dyDescent="0.25">
      <c r="A98" s="9">
        <f t="shared" si="1"/>
        <v>91</v>
      </c>
      <c r="B98" s="19" t="s">
        <v>4027</v>
      </c>
      <c r="C98" s="20" t="s">
        <v>3829</v>
      </c>
      <c r="D98" s="20" t="s">
        <v>4143</v>
      </c>
      <c r="E98" s="20" t="s">
        <v>26</v>
      </c>
      <c r="F98" s="20" t="s">
        <v>4144</v>
      </c>
      <c r="G98" s="20" t="s">
        <v>25</v>
      </c>
      <c r="H98" s="20" t="s">
        <v>26</v>
      </c>
      <c r="I98" s="21">
        <v>46299</v>
      </c>
      <c r="J98" s="20" t="s">
        <v>36</v>
      </c>
      <c r="K98" s="20" t="s">
        <v>28</v>
      </c>
      <c r="L98" s="20" t="s">
        <v>4145</v>
      </c>
      <c r="M98" s="20" t="s">
        <v>259</v>
      </c>
      <c r="N98" s="22" t="s">
        <v>250</v>
      </c>
      <c r="O98" s="20" t="s">
        <v>3847</v>
      </c>
      <c r="P98" s="20" t="s">
        <v>613</v>
      </c>
      <c r="Q98" s="20" t="s">
        <v>614</v>
      </c>
      <c r="R98" s="20" t="s">
        <v>285</v>
      </c>
      <c r="S98" s="20" t="s">
        <v>32</v>
      </c>
      <c r="T98" s="20" t="s">
        <v>195</v>
      </c>
      <c r="U98" s="20" t="s">
        <v>4037</v>
      </c>
      <c r="V98" s="21"/>
      <c r="W98" s="21">
        <v>46299</v>
      </c>
      <c r="X98" s="20" t="s">
        <v>3836</v>
      </c>
      <c r="Y98" s="21">
        <v>46300</v>
      </c>
      <c r="Z98" s="20" t="s">
        <v>4032</v>
      </c>
    </row>
    <row r="99" spans="1:26" x14ac:dyDescent="0.25">
      <c r="A99" s="9">
        <f t="shared" si="1"/>
        <v>92</v>
      </c>
      <c r="B99" s="19" t="s">
        <v>4027</v>
      </c>
      <c r="C99" s="20" t="s">
        <v>3829</v>
      </c>
      <c r="D99" s="20" t="s">
        <v>4146</v>
      </c>
      <c r="E99" s="20" t="s">
        <v>26</v>
      </c>
      <c r="F99" s="20" t="s">
        <v>4144</v>
      </c>
      <c r="G99" s="20" t="s">
        <v>25</v>
      </c>
      <c r="H99" s="20" t="s">
        <v>26</v>
      </c>
      <c r="I99" s="21">
        <v>46299</v>
      </c>
      <c r="J99" s="20" t="s">
        <v>36</v>
      </c>
      <c r="K99" s="20" t="s">
        <v>58</v>
      </c>
      <c r="L99" s="20" t="s">
        <v>4145</v>
      </c>
      <c r="M99" s="20" t="s">
        <v>259</v>
      </c>
      <c r="N99" s="22" t="s">
        <v>250</v>
      </c>
      <c r="O99" s="20" t="s">
        <v>3847</v>
      </c>
      <c r="P99" s="20" t="s">
        <v>613</v>
      </c>
      <c r="Q99" s="20" t="s">
        <v>614</v>
      </c>
      <c r="R99" s="20" t="s">
        <v>285</v>
      </c>
      <c r="S99" s="20" t="s">
        <v>32</v>
      </c>
      <c r="T99" s="20" t="s">
        <v>195</v>
      </c>
      <c r="U99" s="20" t="s">
        <v>4037</v>
      </c>
      <c r="V99" s="21"/>
      <c r="W99" s="21">
        <v>46299</v>
      </c>
      <c r="X99" s="20" t="s">
        <v>3836</v>
      </c>
      <c r="Y99" s="21">
        <v>46300</v>
      </c>
      <c r="Z99" s="20" t="s">
        <v>4032</v>
      </c>
    </row>
    <row r="100" spans="1:26" x14ac:dyDescent="0.25">
      <c r="A100" s="9">
        <f t="shared" si="1"/>
        <v>93</v>
      </c>
      <c r="B100" s="19" t="s">
        <v>4027</v>
      </c>
      <c r="C100" s="20" t="s">
        <v>3829</v>
      </c>
      <c r="D100" s="20" t="s">
        <v>4147</v>
      </c>
      <c r="E100" s="20" t="s">
        <v>26</v>
      </c>
      <c r="F100" s="20" t="s">
        <v>4144</v>
      </c>
      <c r="G100" s="20" t="s">
        <v>25</v>
      </c>
      <c r="H100" s="20" t="s">
        <v>26</v>
      </c>
      <c r="I100" s="21">
        <v>46299</v>
      </c>
      <c r="J100" s="20" t="s">
        <v>36</v>
      </c>
      <c r="K100" s="20" t="s">
        <v>59</v>
      </c>
      <c r="L100" s="20" t="s">
        <v>4145</v>
      </c>
      <c r="M100" s="20" t="s">
        <v>259</v>
      </c>
      <c r="N100" s="22" t="s">
        <v>250</v>
      </c>
      <c r="O100" s="20" t="s">
        <v>3847</v>
      </c>
      <c r="P100" s="20" t="s">
        <v>613</v>
      </c>
      <c r="Q100" s="20" t="s">
        <v>614</v>
      </c>
      <c r="R100" s="20" t="s">
        <v>285</v>
      </c>
      <c r="S100" s="20" t="s">
        <v>32</v>
      </c>
      <c r="T100" s="20" t="s">
        <v>195</v>
      </c>
      <c r="U100" s="20" t="s">
        <v>4037</v>
      </c>
      <c r="V100" s="21"/>
      <c r="W100" s="21">
        <v>46299</v>
      </c>
      <c r="X100" s="20" t="s">
        <v>3836</v>
      </c>
      <c r="Y100" s="21">
        <v>46300</v>
      </c>
      <c r="Z100" s="20" t="s">
        <v>4032</v>
      </c>
    </row>
    <row r="101" spans="1:26" x14ac:dyDescent="0.25">
      <c r="A101" s="9">
        <f t="shared" si="1"/>
        <v>94</v>
      </c>
      <c r="B101" s="19" t="s">
        <v>4027</v>
      </c>
      <c r="C101" s="20" t="s">
        <v>3829</v>
      </c>
      <c r="D101" s="20" t="s">
        <v>4148</v>
      </c>
      <c r="E101" s="20" t="s">
        <v>26</v>
      </c>
      <c r="F101" s="20" t="s">
        <v>4149</v>
      </c>
      <c r="G101" s="20" t="s">
        <v>25</v>
      </c>
      <c r="H101" s="20" t="s">
        <v>26</v>
      </c>
      <c r="I101" s="21">
        <v>46299</v>
      </c>
      <c r="J101" s="20" t="s">
        <v>82</v>
      </c>
      <c r="K101" s="20" t="s">
        <v>28</v>
      </c>
      <c r="L101" s="20" t="s">
        <v>4150</v>
      </c>
      <c r="M101" s="20" t="s">
        <v>259</v>
      </c>
      <c r="N101" s="22" t="s">
        <v>250</v>
      </c>
      <c r="O101" s="20" t="s">
        <v>3847</v>
      </c>
      <c r="P101" s="20" t="s">
        <v>613</v>
      </c>
      <c r="Q101" s="20" t="s">
        <v>614</v>
      </c>
      <c r="R101" s="20" t="s">
        <v>118</v>
      </c>
      <c r="S101" s="20" t="s">
        <v>32</v>
      </c>
      <c r="T101" s="20" t="s">
        <v>195</v>
      </c>
      <c r="U101" s="20" t="s">
        <v>4037</v>
      </c>
      <c r="V101" s="21"/>
      <c r="W101" s="21">
        <v>46299</v>
      </c>
      <c r="X101" s="20" t="s">
        <v>3836</v>
      </c>
      <c r="Y101" s="21">
        <v>46300</v>
      </c>
      <c r="Z101" s="20" t="s">
        <v>4032</v>
      </c>
    </row>
    <row r="102" spans="1:26" x14ac:dyDescent="0.25">
      <c r="A102" s="9">
        <f t="shared" si="1"/>
        <v>95</v>
      </c>
      <c r="B102" s="19" t="s">
        <v>4027</v>
      </c>
      <c r="C102" s="20" t="s">
        <v>3829</v>
      </c>
      <c r="D102" s="20" t="s">
        <v>4151</v>
      </c>
      <c r="E102" s="20" t="s">
        <v>26</v>
      </c>
      <c r="F102" s="20" t="s">
        <v>4152</v>
      </c>
      <c r="G102" s="20" t="s">
        <v>25</v>
      </c>
      <c r="H102" s="20" t="s">
        <v>26</v>
      </c>
      <c r="I102" s="21">
        <v>46299</v>
      </c>
      <c r="J102" s="20" t="s">
        <v>82</v>
      </c>
      <c r="K102" s="20" t="s">
        <v>28</v>
      </c>
      <c r="L102" s="20" t="s">
        <v>4153</v>
      </c>
      <c r="M102" s="20" t="s">
        <v>259</v>
      </c>
      <c r="N102" s="22" t="s">
        <v>250</v>
      </c>
      <c r="O102" s="20" t="s">
        <v>3847</v>
      </c>
      <c r="P102" s="20" t="s">
        <v>613</v>
      </c>
      <c r="Q102" s="20" t="s">
        <v>614</v>
      </c>
      <c r="R102" s="20" t="s">
        <v>88</v>
      </c>
      <c r="S102" s="20" t="s">
        <v>32</v>
      </c>
      <c r="T102" s="20" t="s">
        <v>195</v>
      </c>
      <c r="U102" s="20" t="s">
        <v>4037</v>
      </c>
      <c r="V102" s="21"/>
      <c r="W102" s="21">
        <v>46299</v>
      </c>
      <c r="X102" s="20" t="s">
        <v>3836</v>
      </c>
      <c r="Y102" s="21">
        <v>46300</v>
      </c>
      <c r="Z102" s="20" t="s">
        <v>4032</v>
      </c>
    </row>
    <row r="103" spans="1:26" x14ac:dyDescent="0.25">
      <c r="A103" s="9">
        <f t="shared" si="1"/>
        <v>96</v>
      </c>
      <c r="B103" s="19" t="s">
        <v>4027</v>
      </c>
      <c r="C103" s="20" t="s">
        <v>3829</v>
      </c>
      <c r="D103" s="20" t="s">
        <v>4154</v>
      </c>
      <c r="E103" s="20" t="s">
        <v>26</v>
      </c>
      <c r="F103" s="20" t="s">
        <v>4152</v>
      </c>
      <c r="G103" s="20" t="s">
        <v>25</v>
      </c>
      <c r="H103" s="20" t="s">
        <v>26</v>
      </c>
      <c r="I103" s="21">
        <v>46299</v>
      </c>
      <c r="J103" s="20" t="s">
        <v>82</v>
      </c>
      <c r="K103" s="20" t="s">
        <v>58</v>
      </c>
      <c r="L103" s="20" t="s">
        <v>4153</v>
      </c>
      <c r="M103" s="20" t="s">
        <v>259</v>
      </c>
      <c r="N103" s="22" t="s">
        <v>250</v>
      </c>
      <c r="O103" s="20" t="s">
        <v>3847</v>
      </c>
      <c r="P103" s="20" t="s">
        <v>613</v>
      </c>
      <c r="Q103" s="20" t="s">
        <v>614</v>
      </c>
      <c r="R103" s="20" t="s">
        <v>88</v>
      </c>
      <c r="S103" s="20" t="s">
        <v>32</v>
      </c>
      <c r="T103" s="20" t="s">
        <v>195</v>
      </c>
      <c r="U103" s="20" t="s">
        <v>4037</v>
      </c>
      <c r="V103" s="21"/>
      <c r="W103" s="21">
        <v>46299</v>
      </c>
      <c r="X103" s="20" t="s">
        <v>3836</v>
      </c>
      <c r="Y103" s="21">
        <v>46300</v>
      </c>
      <c r="Z103" s="20" t="s">
        <v>4032</v>
      </c>
    </row>
    <row r="104" spans="1:26" x14ac:dyDescent="0.25">
      <c r="A104" s="9">
        <f t="shared" si="1"/>
        <v>97</v>
      </c>
      <c r="B104" s="19" t="s">
        <v>4027</v>
      </c>
      <c r="C104" s="20" t="s">
        <v>3829</v>
      </c>
      <c r="D104" s="20" t="s">
        <v>4155</v>
      </c>
      <c r="E104" s="20" t="s">
        <v>26</v>
      </c>
      <c r="F104" s="20" t="s">
        <v>4156</v>
      </c>
      <c r="G104" s="20" t="s">
        <v>25</v>
      </c>
      <c r="H104" s="20" t="s">
        <v>26</v>
      </c>
      <c r="I104" s="21">
        <v>46299</v>
      </c>
      <c r="J104" s="20" t="s">
        <v>36</v>
      </c>
      <c r="K104" s="20" t="s">
        <v>28</v>
      </c>
      <c r="L104" s="20" t="s">
        <v>4157</v>
      </c>
      <c r="M104" s="20" t="s">
        <v>259</v>
      </c>
      <c r="N104" s="22" t="s">
        <v>250</v>
      </c>
      <c r="O104" s="20" t="s">
        <v>3847</v>
      </c>
      <c r="P104" s="20" t="s">
        <v>148</v>
      </c>
      <c r="Q104" s="20" t="s">
        <v>149</v>
      </c>
      <c r="R104" s="20" t="s">
        <v>26</v>
      </c>
      <c r="S104" s="20" t="s">
        <v>32</v>
      </c>
      <c r="T104" s="20" t="s">
        <v>195</v>
      </c>
      <c r="U104" s="20" t="s">
        <v>4037</v>
      </c>
      <c r="V104" s="21"/>
      <c r="W104" s="21">
        <v>46299</v>
      </c>
      <c r="X104" s="20" t="s">
        <v>3836</v>
      </c>
      <c r="Y104" s="21">
        <v>46300</v>
      </c>
      <c r="Z104" s="20" t="s">
        <v>4032</v>
      </c>
    </row>
    <row r="105" spans="1:26" x14ac:dyDescent="0.25">
      <c r="A105" s="9">
        <f t="shared" si="1"/>
        <v>98</v>
      </c>
      <c r="B105" s="19" t="s">
        <v>4027</v>
      </c>
      <c r="C105" s="20" t="s">
        <v>3829</v>
      </c>
      <c r="D105" s="20" t="s">
        <v>4158</v>
      </c>
      <c r="E105" s="20" t="s">
        <v>26</v>
      </c>
      <c r="F105" s="20" t="s">
        <v>4156</v>
      </c>
      <c r="G105" s="20" t="s">
        <v>25</v>
      </c>
      <c r="H105" s="20" t="s">
        <v>26</v>
      </c>
      <c r="I105" s="21">
        <v>46299</v>
      </c>
      <c r="J105" s="20" t="s">
        <v>36</v>
      </c>
      <c r="K105" s="20" t="s">
        <v>58</v>
      </c>
      <c r="L105" s="20" t="s">
        <v>4157</v>
      </c>
      <c r="M105" s="20" t="s">
        <v>259</v>
      </c>
      <c r="N105" s="22" t="s">
        <v>250</v>
      </c>
      <c r="O105" s="20" t="s">
        <v>3847</v>
      </c>
      <c r="P105" s="20" t="s">
        <v>148</v>
      </c>
      <c r="Q105" s="20" t="s">
        <v>149</v>
      </c>
      <c r="R105" s="20" t="s">
        <v>26</v>
      </c>
      <c r="S105" s="20" t="s">
        <v>32</v>
      </c>
      <c r="T105" s="20" t="s">
        <v>195</v>
      </c>
      <c r="U105" s="20" t="s">
        <v>4037</v>
      </c>
      <c r="V105" s="21"/>
      <c r="W105" s="21">
        <v>46299</v>
      </c>
      <c r="X105" s="20" t="s">
        <v>3836</v>
      </c>
      <c r="Y105" s="21">
        <v>46300</v>
      </c>
      <c r="Z105" s="20" t="s">
        <v>4032</v>
      </c>
    </row>
    <row r="106" spans="1:26" x14ac:dyDescent="0.25">
      <c r="A106" s="9">
        <f t="shared" si="1"/>
        <v>99</v>
      </c>
      <c r="B106" s="19" t="s">
        <v>4027</v>
      </c>
      <c r="C106" s="20" t="s">
        <v>3829</v>
      </c>
      <c r="D106" s="20" t="s">
        <v>4159</v>
      </c>
      <c r="E106" s="20" t="s">
        <v>26</v>
      </c>
      <c r="F106" s="20" t="s">
        <v>4156</v>
      </c>
      <c r="G106" s="20" t="s">
        <v>25</v>
      </c>
      <c r="H106" s="20" t="s">
        <v>26</v>
      </c>
      <c r="I106" s="21">
        <v>46299</v>
      </c>
      <c r="J106" s="20" t="s">
        <v>36</v>
      </c>
      <c r="K106" s="20" t="s">
        <v>59</v>
      </c>
      <c r="L106" s="20" t="s">
        <v>4157</v>
      </c>
      <c r="M106" s="20" t="s">
        <v>259</v>
      </c>
      <c r="N106" s="22" t="s">
        <v>250</v>
      </c>
      <c r="O106" s="20" t="s">
        <v>3847</v>
      </c>
      <c r="P106" s="20" t="s">
        <v>148</v>
      </c>
      <c r="Q106" s="20" t="s">
        <v>149</v>
      </c>
      <c r="R106" s="20" t="s">
        <v>26</v>
      </c>
      <c r="S106" s="20" t="s">
        <v>32</v>
      </c>
      <c r="T106" s="20" t="s">
        <v>195</v>
      </c>
      <c r="U106" s="20" t="s">
        <v>4037</v>
      </c>
      <c r="V106" s="21"/>
      <c r="W106" s="21">
        <v>46299</v>
      </c>
      <c r="X106" s="20" t="s">
        <v>3836</v>
      </c>
      <c r="Y106" s="21">
        <v>46300</v>
      </c>
      <c r="Z106" s="20" t="s">
        <v>4032</v>
      </c>
    </row>
    <row r="107" spans="1:26" x14ac:dyDescent="0.25">
      <c r="A107" s="9">
        <f t="shared" si="1"/>
        <v>100</v>
      </c>
      <c r="B107" s="19" t="s">
        <v>4027</v>
      </c>
      <c r="C107" s="20" t="s">
        <v>3829</v>
      </c>
      <c r="D107" s="20" t="s">
        <v>4160</v>
      </c>
      <c r="E107" s="20" t="s">
        <v>26</v>
      </c>
      <c r="F107" s="20" t="s">
        <v>4156</v>
      </c>
      <c r="G107" s="20" t="s">
        <v>25</v>
      </c>
      <c r="H107" s="20" t="s">
        <v>26</v>
      </c>
      <c r="I107" s="21">
        <v>46299</v>
      </c>
      <c r="J107" s="20" t="s">
        <v>36</v>
      </c>
      <c r="K107" s="20" t="s">
        <v>684</v>
      </c>
      <c r="L107" s="20" t="s">
        <v>4157</v>
      </c>
      <c r="M107" s="20" t="s">
        <v>259</v>
      </c>
      <c r="N107" s="22" t="s">
        <v>250</v>
      </c>
      <c r="O107" s="20" t="s">
        <v>3847</v>
      </c>
      <c r="P107" s="20" t="s">
        <v>148</v>
      </c>
      <c r="Q107" s="20" t="s">
        <v>149</v>
      </c>
      <c r="R107" s="20" t="s">
        <v>26</v>
      </c>
      <c r="S107" s="20" t="s">
        <v>32</v>
      </c>
      <c r="T107" s="20" t="s">
        <v>195</v>
      </c>
      <c r="U107" s="20" t="s">
        <v>4037</v>
      </c>
      <c r="V107" s="21"/>
      <c r="W107" s="21">
        <v>46299</v>
      </c>
      <c r="X107" s="20" t="s">
        <v>3836</v>
      </c>
      <c r="Y107" s="21">
        <v>46300</v>
      </c>
      <c r="Z107" s="20" t="s">
        <v>4032</v>
      </c>
    </row>
    <row r="108" spans="1:26" x14ac:dyDescent="0.25">
      <c r="A108" s="9">
        <f t="shared" si="1"/>
        <v>101</v>
      </c>
      <c r="B108" s="19" t="s">
        <v>4027</v>
      </c>
      <c r="C108" s="20" t="s">
        <v>3829</v>
      </c>
      <c r="D108" s="20" t="s">
        <v>4161</v>
      </c>
      <c r="E108" s="20" t="s">
        <v>26</v>
      </c>
      <c r="F108" s="20" t="s">
        <v>4156</v>
      </c>
      <c r="G108" s="20" t="s">
        <v>25</v>
      </c>
      <c r="H108" s="20" t="s">
        <v>26</v>
      </c>
      <c r="I108" s="21">
        <v>46299</v>
      </c>
      <c r="J108" s="20" t="s">
        <v>36</v>
      </c>
      <c r="K108" s="20" t="s">
        <v>557</v>
      </c>
      <c r="L108" s="20" t="s">
        <v>4157</v>
      </c>
      <c r="M108" s="20" t="s">
        <v>259</v>
      </c>
      <c r="N108" s="22" t="s">
        <v>250</v>
      </c>
      <c r="O108" s="20" t="s">
        <v>3847</v>
      </c>
      <c r="P108" s="20" t="s">
        <v>148</v>
      </c>
      <c r="Q108" s="20" t="s">
        <v>149</v>
      </c>
      <c r="R108" s="20" t="s">
        <v>26</v>
      </c>
      <c r="S108" s="20" t="s">
        <v>32</v>
      </c>
      <c r="T108" s="20" t="s">
        <v>195</v>
      </c>
      <c r="U108" s="20" t="s">
        <v>4037</v>
      </c>
      <c r="V108" s="21"/>
      <c r="W108" s="21">
        <v>46299</v>
      </c>
      <c r="X108" s="20" t="s">
        <v>3836</v>
      </c>
      <c r="Y108" s="21">
        <v>46300</v>
      </c>
      <c r="Z108" s="20" t="s">
        <v>4032</v>
      </c>
    </row>
    <row r="109" spans="1:26" x14ac:dyDescent="0.25">
      <c r="A109" s="9">
        <f t="shared" si="1"/>
        <v>102</v>
      </c>
      <c r="B109" s="19" t="s">
        <v>4027</v>
      </c>
      <c r="C109" s="20" t="s">
        <v>3829</v>
      </c>
      <c r="D109" s="20" t="s">
        <v>4162</v>
      </c>
      <c r="E109" s="20" t="s">
        <v>26</v>
      </c>
      <c r="F109" s="20" t="s">
        <v>4156</v>
      </c>
      <c r="G109" s="20" t="s">
        <v>25</v>
      </c>
      <c r="H109" s="20" t="s">
        <v>26</v>
      </c>
      <c r="I109" s="21">
        <v>46299</v>
      </c>
      <c r="J109" s="20" t="s">
        <v>36</v>
      </c>
      <c r="K109" s="20" t="s">
        <v>1141</v>
      </c>
      <c r="L109" s="20" t="s">
        <v>4157</v>
      </c>
      <c r="M109" s="20" t="s">
        <v>259</v>
      </c>
      <c r="N109" s="22" t="s">
        <v>250</v>
      </c>
      <c r="O109" s="20" t="s">
        <v>3847</v>
      </c>
      <c r="P109" s="20" t="s">
        <v>148</v>
      </c>
      <c r="Q109" s="20" t="s">
        <v>149</v>
      </c>
      <c r="R109" s="20" t="s">
        <v>26</v>
      </c>
      <c r="S109" s="20" t="s">
        <v>32</v>
      </c>
      <c r="T109" s="20" t="s">
        <v>195</v>
      </c>
      <c r="U109" s="20" t="s">
        <v>4037</v>
      </c>
      <c r="V109" s="21"/>
      <c r="W109" s="21">
        <v>46299</v>
      </c>
      <c r="X109" s="20" t="s">
        <v>3836</v>
      </c>
      <c r="Y109" s="21">
        <v>46300</v>
      </c>
      <c r="Z109" s="20" t="s">
        <v>4032</v>
      </c>
    </row>
    <row r="110" spans="1:26" x14ac:dyDescent="0.25">
      <c r="A110" s="9">
        <f t="shared" si="1"/>
        <v>103</v>
      </c>
      <c r="B110" s="19" t="s">
        <v>4027</v>
      </c>
      <c r="C110" s="20" t="s">
        <v>3829</v>
      </c>
      <c r="D110" s="20" t="s">
        <v>4163</v>
      </c>
      <c r="E110" s="20" t="s">
        <v>26</v>
      </c>
      <c r="F110" s="20" t="s">
        <v>4156</v>
      </c>
      <c r="G110" s="20" t="s">
        <v>25</v>
      </c>
      <c r="H110" s="20" t="s">
        <v>26</v>
      </c>
      <c r="I110" s="21">
        <v>46299</v>
      </c>
      <c r="J110" s="20" t="s">
        <v>36</v>
      </c>
      <c r="K110" s="20" t="s">
        <v>1143</v>
      </c>
      <c r="L110" s="20" t="s">
        <v>4157</v>
      </c>
      <c r="M110" s="20" t="s">
        <v>259</v>
      </c>
      <c r="N110" s="22" t="s">
        <v>250</v>
      </c>
      <c r="O110" s="20" t="s">
        <v>3847</v>
      </c>
      <c r="P110" s="20" t="s">
        <v>148</v>
      </c>
      <c r="Q110" s="20" t="s">
        <v>149</v>
      </c>
      <c r="R110" s="20" t="s">
        <v>26</v>
      </c>
      <c r="S110" s="20" t="s">
        <v>32</v>
      </c>
      <c r="T110" s="20" t="s">
        <v>195</v>
      </c>
      <c r="U110" s="20" t="s">
        <v>4037</v>
      </c>
      <c r="V110" s="21"/>
      <c r="W110" s="21">
        <v>46299</v>
      </c>
      <c r="X110" s="20" t="s">
        <v>3836</v>
      </c>
      <c r="Y110" s="21">
        <v>46300</v>
      </c>
      <c r="Z110" s="20" t="s">
        <v>4032</v>
      </c>
    </row>
    <row r="111" spans="1:26" x14ac:dyDescent="0.25">
      <c r="A111" s="9">
        <f t="shared" si="1"/>
        <v>104</v>
      </c>
      <c r="B111" s="19" t="s">
        <v>4027</v>
      </c>
      <c r="C111" s="20" t="s">
        <v>3829</v>
      </c>
      <c r="D111" s="20" t="s">
        <v>4164</v>
      </c>
      <c r="E111" s="20" t="s">
        <v>26</v>
      </c>
      <c r="F111" s="20" t="s">
        <v>4165</v>
      </c>
      <c r="G111" s="20" t="s">
        <v>25</v>
      </c>
      <c r="H111" s="20" t="s">
        <v>26</v>
      </c>
      <c r="I111" s="21">
        <v>46299</v>
      </c>
      <c r="J111" s="20" t="s">
        <v>36</v>
      </c>
      <c r="K111" s="20" t="s">
        <v>28</v>
      </c>
      <c r="L111" s="20" t="s">
        <v>4166</v>
      </c>
      <c r="M111" s="20" t="s">
        <v>259</v>
      </c>
      <c r="N111" s="22" t="s">
        <v>250</v>
      </c>
      <c r="O111" s="20" t="s">
        <v>3847</v>
      </c>
      <c r="P111" s="20" t="s">
        <v>613</v>
      </c>
      <c r="Q111" s="20" t="s">
        <v>614</v>
      </c>
      <c r="R111" s="20" t="s">
        <v>26</v>
      </c>
      <c r="S111" s="20" t="s">
        <v>32</v>
      </c>
      <c r="T111" s="20" t="s">
        <v>195</v>
      </c>
      <c r="U111" s="20" t="s">
        <v>4037</v>
      </c>
      <c r="V111" s="21"/>
      <c r="W111" s="21">
        <v>46299</v>
      </c>
      <c r="X111" s="20" t="s">
        <v>3836</v>
      </c>
      <c r="Y111" s="21">
        <v>46300</v>
      </c>
      <c r="Z111" s="20" t="s">
        <v>4032</v>
      </c>
    </row>
    <row r="112" spans="1:26" x14ac:dyDescent="0.25">
      <c r="A112" s="9">
        <f t="shared" si="1"/>
        <v>105</v>
      </c>
      <c r="B112" s="19" t="s">
        <v>4027</v>
      </c>
      <c r="C112" s="20" t="s">
        <v>3829</v>
      </c>
      <c r="D112" s="20" t="s">
        <v>4167</v>
      </c>
      <c r="E112" s="20" t="s">
        <v>26</v>
      </c>
      <c r="F112" s="20" t="s">
        <v>4165</v>
      </c>
      <c r="G112" s="20" t="s">
        <v>25</v>
      </c>
      <c r="H112" s="20" t="s">
        <v>26</v>
      </c>
      <c r="I112" s="21">
        <v>46299</v>
      </c>
      <c r="J112" s="20" t="s">
        <v>36</v>
      </c>
      <c r="K112" s="20" t="s">
        <v>58</v>
      </c>
      <c r="L112" s="20" t="s">
        <v>4166</v>
      </c>
      <c r="M112" s="20" t="s">
        <v>259</v>
      </c>
      <c r="N112" s="22" t="s">
        <v>250</v>
      </c>
      <c r="O112" s="20" t="s">
        <v>3847</v>
      </c>
      <c r="P112" s="20" t="s">
        <v>613</v>
      </c>
      <c r="Q112" s="20" t="s">
        <v>614</v>
      </c>
      <c r="R112" s="20" t="s">
        <v>26</v>
      </c>
      <c r="S112" s="20" t="s">
        <v>32</v>
      </c>
      <c r="T112" s="20" t="s">
        <v>195</v>
      </c>
      <c r="U112" s="20" t="s">
        <v>4037</v>
      </c>
      <c r="V112" s="21"/>
      <c r="W112" s="21">
        <v>46299</v>
      </c>
      <c r="X112" s="20" t="s">
        <v>3836</v>
      </c>
      <c r="Y112" s="21">
        <v>46300</v>
      </c>
      <c r="Z112" s="20" t="s">
        <v>4032</v>
      </c>
    </row>
    <row r="113" spans="1:26" x14ac:dyDescent="0.25">
      <c r="A113" s="9">
        <f t="shared" si="1"/>
        <v>106</v>
      </c>
      <c r="B113" s="19" t="s">
        <v>4027</v>
      </c>
      <c r="C113" s="20" t="s">
        <v>3829</v>
      </c>
      <c r="D113" s="20" t="s">
        <v>4168</v>
      </c>
      <c r="E113" s="20" t="s">
        <v>26</v>
      </c>
      <c r="F113" s="20" t="s">
        <v>4169</v>
      </c>
      <c r="G113" s="20" t="s">
        <v>25</v>
      </c>
      <c r="H113" s="20" t="s">
        <v>26</v>
      </c>
      <c r="I113" s="21">
        <v>46299</v>
      </c>
      <c r="J113" s="20" t="s">
        <v>36</v>
      </c>
      <c r="K113" s="20" t="s">
        <v>28</v>
      </c>
      <c r="L113" s="20" t="s">
        <v>4170</v>
      </c>
      <c r="M113" s="20" t="s">
        <v>259</v>
      </c>
      <c r="N113" s="22" t="s">
        <v>250</v>
      </c>
      <c r="O113" s="20" t="s">
        <v>3847</v>
      </c>
      <c r="P113" s="20" t="s">
        <v>613</v>
      </c>
      <c r="Q113" s="20" t="s">
        <v>614</v>
      </c>
      <c r="R113" s="20" t="s">
        <v>285</v>
      </c>
      <c r="S113" s="20" t="s">
        <v>32</v>
      </c>
      <c r="T113" s="20" t="s">
        <v>195</v>
      </c>
      <c r="U113" s="20" t="s">
        <v>4037</v>
      </c>
      <c r="V113" s="21"/>
      <c r="W113" s="21">
        <v>46299</v>
      </c>
      <c r="X113" s="20" t="s">
        <v>3836</v>
      </c>
      <c r="Y113" s="21">
        <v>46300</v>
      </c>
      <c r="Z113" s="20" t="s">
        <v>4032</v>
      </c>
    </row>
    <row r="114" spans="1:26" x14ac:dyDescent="0.25">
      <c r="A114" s="9">
        <f t="shared" si="1"/>
        <v>107</v>
      </c>
      <c r="B114" s="19" t="s">
        <v>4027</v>
      </c>
      <c r="C114" s="20" t="s">
        <v>3829</v>
      </c>
      <c r="D114" s="20" t="s">
        <v>4171</v>
      </c>
      <c r="E114" s="20" t="s">
        <v>26</v>
      </c>
      <c r="F114" s="20" t="s">
        <v>4169</v>
      </c>
      <c r="G114" s="20" t="s">
        <v>25</v>
      </c>
      <c r="H114" s="20" t="s">
        <v>26</v>
      </c>
      <c r="I114" s="21">
        <v>46299</v>
      </c>
      <c r="J114" s="20" t="s">
        <v>36</v>
      </c>
      <c r="K114" s="20" t="s">
        <v>58</v>
      </c>
      <c r="L114" s="20" t="s">
        <v>4170</v>
      </c>
      <c r="M114" s="20" t="s">
        <v>259</v>
      </c>
      <c r="N114" s="22" t="s">
        <v>250</v>
      </c>
      <c r="O114" s="20" t="s">
        <v>3847</v>
      </c>
      <c r="P114" s="20" t="s">
        <v>613</v>
      </c>
      <c r="Q114" s="20" t="s">
        <v>614</v>
      </c>
      <c r="R114" s="20" t="s">
        <v>285</v>
      </c>
      <c r="S114" s="20" t="s">
        <v>32</v>
      </c>
      <c r="T114" s="20" t="s">
        <v>195</v>
      </c>
      <c r="U114" s="20" t="s">
        <v>4037</v>
      </c>
      <c r="V114" s="21"/>
      <c r="W114" s="21">
        <v>46299</v>
      </c>
      <c r="X114" s="20" t="s">
        <v>3836</v>
      </c>
      <c r="Y114" s="21">
        <v>46300</v>
      </c>
      <c r="Z114" s="20" t="s">
        <v>4032</v>
      </c>
    </row>
    <row r="115" spans="1:26" x14ac:dyDescent="0.25">
      <c r="A115" s="9">
        <f t="shared" si="1"/>
        <v>108</v>
      </c>
      <c r="B115" s="19" t="s">
        <v>4027</v>
      </c>
      <c r="C115" s="20" t="s">
        <v>3829</v>
      </c>
      <c r="D115" s="20" t="s">
        <v>4172</v>
      </c>
      <c r="E115" s="20" t="s">
        <v>26</v>
      </c>
      <c r="F115" s="20" t="s">
        <v>4173</v>
      </c>
      <c r="G115" s="20" t="s">
        <v>25</v>
      </c>
      <c r="H115" s="20" t="s">
        <v>26</v>
      </c>
      <c r="I115" s="21">
        <v>46299</v>
      </c>
      <c r="J115" s="20" t="s">
        <v>36</v>
      </c>
      <c r="K115" s="20" t="s">
        <v>28</v>
      </c>
      <c r="L115" s="20" t="s">
        <v>4174</v>
      </c>
      <c r="M115" s="20" t="s">
        <v>259</v>
      </c>
      <c r="N115" s="22" t="s">
        <v>250</v>
      </c>
      <c r="O115" s="20" t="s">
        <v>3847</v>
      </c>
      <c r="P115" s="20" t="s">
        <v>148</v>
      </c>
      <c r="Q115" s="20" t="s">
        <v>149</v>
      </c>
      <c r="R115" s="20" t="s">
        <v>26</v>
      </c>
      <c r="S115" s="20" t="s">
        <v>32</v>
      </c>
      <c r="T115" s="20" t="s">
        <v>195</v>
      </c>
      <c r="U115" s="20" t="s">
        <v>4037</v>
      </c>
      <c r="V115" s="21"/>
      <c r="W115" s="21">
        <v>46299</v>
      </c>
      <c r="X115" s="20" t="s">
        <v>3836</v>
      </c>
      <c r="Y115" s="21">
        <v>46300</v>
      </c>
      <c r="Z115" s="20" t="s">
        <v>4032</v>
      </c>
    </row>
    <row r="116" spans="1:26" x14ac:dyDescent="0.25">
      <c r="A116" s="9">
        <f t="shared" si="1"/>
        <v>109</v>
      </c>
      <c r="B116" s="19" t="s">
        <v>4027</v>
      </c>
      <c r="C116" s="20" t="s">
        <v>3829</v>
      </c>
      <c r="D116" s="20" t="s">
        <v>4175</v>
      </c>
      <c r="E116" s="20" t="s">
        <v>26</v>
      </c>
      <c r="F116" s="20" t="s">
        <v>4173</v>
      </c>
      <c r="G116" s="20" t="s">
        <v>25</v>
      </c>
      <c r="H116" s="20" t="s">
        <v>26</v>
      </c>
      <c r="I116" s="21">
        <v>46299</v>
      </c>
      <c r="J116" s="20" t="s">
        <v>36</v>
      </c>
      <c r="K116" s="20" t="s">
        <v>58</v>
      </c>
      <c r="L116" s="20" t="s">
        <v>4174</v>
      </c>
      <c r="M116" s="20" t="s">
        <v>259</v>
      </c>
      <c r="N116" s="22" t="s">
        <v>250</v>
      </c>
      <c r="O116" s="20" t="s">
        <v>3847</v>
      </c>
      <c r="P116" s="20" t="s">
        <v>148</v>
      </c>
      <c r="Q116" s="20" t="s">
        <v>149</v>
      </c>
      <c r="R116" s="20" t="s">
        <v>26</v>
      </c>
      <c r="S116" s="20" t="s">
        <v>32</v>
      </c>
      <c r="T116" s="20" t="s">
        <v>195</v>
      </c>
      <c r="U116" s="20" t="s">
        <v>4037</v>
      </c>
      <c r="V116" s="21"/>
      <c r="W116" s="21">
        <v>46299</v>
      </c>
      <c r="X116" s="20" t="s">
        <v>3836</v>
      </c>
      <c r="Y116" s="21">
        <v>46300</v>
      </c>
      <c r="Z116" s="20" t="s">
        <v>4032</v>
      </c>
    </row>
    <row r="117" spans="1:26" x14ac:dyDescent="0.25">
      <c r="A117" s="9">
        <f t="shared" si="1"/>
        <v>110</v>
      </c>
      <c r="B117" s="19" t="s">
        <v>4027</v>
      </c>
      <c r="C117" s="20" t="s">
        <v>3829</v>
      </c>
      <c r="D117" s="20" t="s">
        <v>4176</v>
      </c>
      <c r="E117" s="20" t="s">
        <v>26</v>
      </c>
      <c r="F117" s="20" t="s">
        <v>4177</v>
      </c>
      <c r="G117" s="20" t="s">
        <v>25</v>
      </c>
      <c r="H117" s="20" t="s">
        <v>26</v>
      </c>
      <c r="I117" s="21">
        <v>46299</v>
      </c>
      <c r="J117" s="20" t="s">
        <v>36</v>
      </c>
      <c r="K117" s="20" t="s">
        <v>28</v>
      </c>
      <c r="L117" s="20" t="s">
        <v>4178</v>
      </c>
      <c r="M117" s="20" t="s">
        <v>259</v>
      </c>
      <c r="N117" s="22" t="s">
        <v>250</v>
      </c>
      <c r="O117" s="20" t="s">
        <v>3847</v>
      </c>
      <c r="P117" s="20" t="s">
        <v>26</v>
      </c>
      <c r="Q117" s="20" t="s">
        <v>26</v>
      </c>
      <c r="R117" s="20" t="s">
        <v>26</v>
      </c>
      <c r="S117" s="20" t="s">
        <v>32</v>
      </c>
      <c r="T117" s="20" t="s">
        <v>195</v>
      </c>
      <c r="U117" s="20" t="s">
        <v>4037</v>
      </c>
      <c r="V117" s="21"/>
      <c r="W117" s="21">
        <v>46299</v>
      </c>
      <c r="X117" s="20" t="s">
        <v>3836</v>
      </c>
      <c r="Y117" s="21">
        <v>46300</v>
      </c>
      <c r="Z117" s="20" t="s">
        <v>4032</v>
      </c>
    </row>
    <row r="118" spans="1:26" x14ac:dyDescent="0.25">
      <c r="A118" s="9">
        <f t="shared" si="1"/>
        <v>111</v>
      </c>
      <c r="B118" s="19" t="s">
        <v>4027</v>
      </c>
      <c r="C118" s="20" t="s">
        <v>3829</v>
      </c>
      <c r="D118" s="20" t="s">
        <v>4179</v>
      </c>
      <c r="E118" s="20" t="s">
        <v>26</v>
      </c>
      <c r="F118" s="20" t="s">
        <v>4177</v>
      </c>
      <c r="G118" s="20" t="s">
        <v>25</v>
      </c>
      <c r="H118" s="20" t="s">
        <v>26</v>
      </c>
      <c r="I118" s="21">
        <v>46299</v>
      </c>
      <c r="J118" s="20" t="s">
        <v>36</v>
      </c>
      <c r="K118" s="20" t="s">
        <v>58</v>
      </c>
      <c r="L118" s="20" t="s">
        <v>4178</v>
      </c>
      <c r="M118" s="20" t="s">
        <v>259</v>
      </c>
      <c r="N118" s="22" t="s">
        <v>250</v>
      </c>
      <c r="O118" s="20" t="s">
        <v>3847</v>
      </c>
      <c r="P118" s="20" t="s">
        <v>26</v>
      </c>
      <c r="Q118" s="20" t="s">
        <v>26</v>
      </c>
      <c r="R118" s="20" t="s">
        <v>26</v>
      </c>
      <c r="S118" s="20" t="s">
        <v>32</v>
      </c>
      <c r="T118" s="20" t="s">
        <v>195</v>
      </c>
      <c r="U118" s="20" t="s">
        <v>4037</v>
      </c>
      <c r="V118" s="21"/>
      <c r="W118" s="21">
        <v>46299</v>
      </c>
      <c r="X118" s="20" t="s">
        <v>3836</v>
      </c>
      <c r="Y118" s="21">
        <v>46300</v>
      </c>
      <c r="Z118" s="20" t="s">
        <v>4032</v>
      </c>
    </row>
    <row r="119" spans="1:26" x14ac:dyDescent="0.25">
      <c r="A119" s="9">
        <f t="shared" si="1"/>
        <v>112</v>
      </c>
      <c r="B119" s="19" t="s">
        <v>4027</v>
      </c>
      <c r="C119" s="20" t="s">
        <v>3829</v>
      </c>
      <c r="D119" s="20" t="s">
        <v>4180</v>
      </c>
      <c r="E119" s="20" t="s">
        <v>26</v>
      </c>
      <c r="F119" s="20" t="s">
        <v>4177</v>
      </c>
      <c r="G119" s="20" t="s">
        <v>25</v>
      </c>
      <c r="H119" s="20" t="s">
        <v>26</v>
      </c>
      <c r="I119" s="21">
        <v>46299</v>
      </c>
      <c r="J119" s="20" t="s">
        <v>36</v>
      </c>
      <c r="K119" s="20" t="s">
        <v>59</v>
      </c>
      <c r="L119" s="20" t="s">
        <v>4178</v>
      </c>
      <c r="M119" s="20" t="s">
        <v>259</v>
      </c>
      <c r="N119" s="22" t="s">
        <v>250</v>
      </c>
      <c r="O119" s="20" t="s">
        <v>3847</v>
      </c>
      <c r="P119" s="20" t="s">
        <v>26</v>
      </c>
      <c r="Q119" s="20" t="s">
        <v>26</v>
      </c>
      <c r="R119" s="20" t="s">
        <v>26</v>
      </c>
      <c r="S119" s="20" t="s">
        <v>32</v>
      </c>
      <c r="T119" s="20" t="s">
        <v>195</v>
      </c>
      <c r="U119" s="20" t="s">
        <v>4037</v>
      </c>
      <c r="V119" s="21"/>
      <c r="W119" s="21">
        <v>46299</v>
      </c>
      <c r="X119" s="20" t="s">
        <v>3836</v>
      </c>
      <c r="Y119" s="21">
        <v>46300</v>
      </c>
      <c r="Z119" s="20" t="s">
        <v>4032</v>
      </c>
    </row>
    <row r="120" spans="1:26" x14ac:dyDescent="0.25">
      <c r="A120" s="9">
        <f t="shared" si="1"/>
        <v>113</v>
      </c>
      <c r="B120" s="19" t="s">
        <v>4027</v>
      </c>
      <c r="C120" s="20" t="s">
        <v>3829</v>
      </c>
      <c r="D120" s="20" t="s">
        <v>4181</v>
      </c>
      <c r="E120" s="20" t="s">
        <v>26</v>
      </c>
      <c r="F120" s="20" t="s">
        <v>4177</v>
      </c>
      <c r="G120" s="20" t="s">
        <v>25</v>
      </c>
      <c r="H120" s="20" t="s">
        <v>26</v>
      </c>
      <c r="I120" s="21">
        <v>46299</v>
      </c>
      <c r="J120" s="20" t="s">
        <v>36</v>
      </c>
      <c r="K120" s="20" t="s">
        <v>684</v>
      </c>
      <c r="L120" s="20" t="s">
        <v>4178</v>
      </c>
      <c r="M120" s="20" t="s">
        <v>259</v>
      </c>
      <c r="N120" s="22" t="s">
        <v>250</v>
      </c>
      <c r="O120" s="20" t="s">
        <v>3847</v>
      </c>
      <c r="P120" s="20" t="s">
        <v>26</v>
      </c>
      <c r="Q120" s="20" t="s">
        <v>26</v>
      </c>
      <c r="R120" s="20" t="s">
        <v>26</v>
      </c>
      <c r="S120" s="20" t="s">
        <v>32</v>
      </c>
      <c r="T120" s="20" t="s">
        <v>195</v>
      </c>
      <c r="U120" s="20" t="s">
        <v>4037</v>
      </c>
      <c r="V120" s="21"/>
      <c r="W120" s="21">
        <v>46299</v>
      </c>
      <c r="X120" s="20" t="s">
        <v>3836</v>
      </c>
      <c r="Y120" s="21">
        <v>46300</v>
      </c>
      <c r="Z120" s="20" t="s">
        <v>4032</v>
      </c>
    </row>
    <row r="121" spans="1:26" x14ac:dyDescent="0.25">
      <c r="A121" s="9">
        <f t="shared" si="1"/>
        <v>114</v>
      </c>
      <c r="B121" s="19" t="s">
        <v>4027</v>
      </c>
      <c r="C121" s="20" t="s">
        <v>3829</v>
      </c>
      <c r="D121" s="20" t="s">
        <v>4182</v>
      </c>
      <c r="E121" s="20" t="s">
        <v>26</v>
      </c>
      <c r="F121" s="20" t="s">
        <v>4177</v>
      </c>
      <c r="G121" s="20" t="s">
        <v>25</v>
      </c>
      <c r="H121" s="20" t="s">
        <v>26</v>
      </c>
      <c r="I121" s="21">
        <v>46299</v>
      </c>
      <c r="J121" s="20" t="s">
        <v>36</v>
      </c>
      <c r="K121" s="20" t="s">
        <v>557</v>
      </c>
      <c r="L121" s="20" t="s">
        <v>4178</v>
      </c>
      <c r="M121" s="20" t="s">
        <v>259</v>
      </c>
      <c r="N121" s="22" t="s">
        <v>250</v>
      </c>
      <c r="O121" s="20" t="s">
        <v>3847</v>
      </c>
      <c r="P121" s="20" t="s">
        <v>26</v>
      </c>
      <c r="Q121" s="20" t="s">
        <v>26</v>
      </c>
      <c r="R121" s="20" t="s">
        <v>26</v>
      </c>
      <c r="S121" s="20" t="s">
        <v>32</v>
      </c>
      <c r="T121" s="20" t="s">
        <v>195</v>
      </c>
      <c r="U121" s="20" t="s">
        <v>4037</v>
      </c>
      <c r="V121" s="21"/>
      <c r="W121" s="21">
        <v>46299</v>
      </c>
      <c r="X121" s="20" t="s">
        <v>3836</v>
      </c>
      <c r="Y121" s="21">
        <v>46300</v>
      </c>
      <c r="Z121" s="20" t="s">
        <v>4032</v>
      </c>
    </row>
    <row r="122" spans="1:26" x14ac:dyDescent="0.25">
      <c r="A122" s="9">
        <f t="shared" si="1"/>
        <v>115</v>
      </c>
      <c r="B122" s="19" t="s">
        <v>4027</v>
      </c>
      <c r="C122" s="20" t="s">
        <v>3829</v>
      </c>
      <c r="D122" s="20" t="s">
        <v>4183</v>
      </c>
      <c r="E122" s="20" t="s">
        <v>26</v>
      </c>
      <c r="F122" s="20" t="s">
        <v>4177</v>
      </c>
      <c r="G122" s="20" t="s">
        <v>25</v>
      </c>
      <c r="H122" s="20" t="s">
        <v>26</v>
      </c>
      <c r="I122" s="21">
        <v>46299</v>
      </c>
      <c r="J122" s="20" t="s">
        <v>36</v>
      </c>
      <c r="K122" s="20" t="s">
        <v>1141</v>
      </c>
      <c r="L122" s="20" t="s">
        <v>4178</v>
      </c>
      <c r="M122" s="20" t="s">
        <v>259</v>
      </c>
      <c r="N122" s="22" t="s">
        <v>250</v>
      </c>
      <c r="O122" s="20" t="s">
        <v>3847</v>
      </c>
      <c r="P122" s="20" t="s">
        <v>26</v>
      </c>
      <c r="Q122" s="20" t="s">
        <v>26</v>
      </c>
      <c r="R122" s="20" t="s">
        <v>26</v>
      </c>
      <c r="S122" s="20" t="s">
        <v>32</v>
      </c>
      <c r="T122" s="20" t="s">
        <v>195</v>
      </c>
      <c r="U122" s="20" t="s">
        <v>4037</v>
      </c>
      <c r="V122" s="21"/>
      <c r="W122" s="21">
        <v>46299</v>
      </c>
      <c r="X122" s="20" t="s">
        <v>3836</v>
      </c>
      <c r="Y122" s="21">
        <v>46300</v>
      </c>
      <c r="Z122" s="20" t="s">
        <v>4032</v>
      </c>
    </row>
    <row r="123" spans="1:26" x14ac:dyDescent="0.25">
      <c r="A123" s="9">
        <f t="shared" si="1"/>
        <v>116</v>
      </c>
      <c r="B123" s="19" t="s">
        <v>4027</v>
      </c>
      <c r="C123" s="20" t="s">
        <v>3829</v>
      </c>
      <c r="D123" s="20" t="s">
        <v>4184</v>
      </c>
      <c r="E123" s="20" t="s">
        <v>26</v>
      </c>
      <c r="F123" s="20" t="s">
        <v>4177</v>
      </c>
      <c r="G123" s="20" t="s">
        <v>25</v>
      </c>
      <c r="H123" s="20" t="s">
        <v>26</v>
      </c>
      <c r="I123" s="21">
        <v>46299</v>
      </c>
      <c r="J123" s="20" t="s">
        <v>36</v>
      </c>
      <c r="K123" s="20" t="s">
        <v>1143</v>
      </c>
      <c r="L123" s="20" t="s">
        <v>4178</v>
      </c>
      <c r="M123" s="20" t="s">
        <v>259</v>
      </c>
      <c r="N123" s="22" t="s">
        <v>250</v>
      </c>
      <c r="O123" s="20" t="s">
        <v>3847</v>
      </c>
      <c r="P123" s="20" t="s">
        <v>26</v>
      </c>
      <c r="Q123" s="20" t="s">
        <v>26</v>
      </c>
      <c r="R123" s="20" t="s">
        <v>26</v>
      </c>
      <c r="S123" s="20" t="s">
        <v>32</v>
      </c>
      <c r="T123" s="20" t="s">
        <v>195</v>
      </c>
      <c r="U123" s="20" t="s">
        <v>4037</v>
      </c>
      <c r="V123" s="21"/>
      <c r="W123" s="21">
        <v>46299</v>
      </c>
      <c r="X123" s="20" t="s">
        <v>3836</v>
      </c>
      <c r="Y123" s="21">
        <v>46300</v>
      </c>
      <c r="Z123" s="20" t="s">
        <v>4032</v>
      </c>
    </row>
    <row r="124" spans="1:26" x14ac:dyDescent="0.25">
      <c r="A124" s="9">
        <f t="shared" si="1"/>
        <v>117</v>
      </c>
      <c r="B124" s="19" t="s">
        <v>4027</v>
      </c>
      <c r="C124" s="20" t="s">
        <v>3829</v>
      </c>
      <c r="D124" s="20" t="s">
        <v>4185</v>
      </c>
      <c r="E124" s="20" t="s">
        <v>26</v>
      </c>
      <c r="F124" s="20" t="s">
        <v>4177</v>
      </c>
      <c r="G124" s="20" t="s">
        <v>25</v>
      </c>
      <c r="H124" s="20" t="s">
        <v>26</v>
      </c>
      <c r="I124" s="21">
        <v>46299</v>
      </c>
      <c r="J124" s="20" t="s">
        <v>36</v>
      </c>
      <c r="K124" s="20" t="s">
        <v>1145</v>
      </c>
      <c r="L124" s="20" t="s">
        <v>4178</v>
      </c>
      <c r="M124" s="20" t="s">
        <v>259</v>
      </c>
      <c r="N124" s="22" t="s">
        <v>250</v>
      </c>
      <c r="O124" s="20" t="s">
        <v>3847</v>
      </c>
      <c r="P124" s="20" t="s">
        <v>26</v>
      </c>
      <c r="Q124" s="20" t="s">
        <v>26</v>
      </c>
      <c r="R124" s="20" t="s">
        <v>26</v>
      </c>
      <c r="S124" s="20" t="s">
        <v>32</v>
      </c>
      <c r="T124" s="20" t="s">
        <v>195</v>
      </c>
      <c r="U124" s="20" t="s">
        <v>4037</v>
      </c>
      <c r="V124" s="21"/>
      <c r="W124" s="21">
        <v>46299</v>
      </c>
      <c r="X124" s="20" t="s">
        <v>3836</v>
      </c>
      <c r="Y124" s="21">
        <v>46300</v>
      </c>
      <c r="Z124" s="20" t="s">
        <v>4032</v>
      </c>
    </row>
    <row r="125" spans="1:26" x14ac:dyDescent="0.25">
      <c r="A125" s="9">
        <f t="shared" si="1"/>
        <v>118</v>
      </c>
      <c r="B125" s="19" t="s">
        <v>4027</v>
      </c>
      <c r="C125" s="20" t="s">
        <v>3829</v>
      </c>
      <c r="D125" s="20" t="s">
        <v>4186</v>
      </c>
      <c r="E125" s="20" t="s">
        <v>26</v>
      </c>
      <c r="F125" s="20" t="s">
        <v>4177</v>
      </c>
      <c r="G125" s="20" t="s">
        <v>25</v>
      </c>
      <c r="H125" s="20" t="s">
        <v>26</v>
      </c>
      <c r="I125" s="21">
        <v>46299</v>
      </c>
      <c r="J125" s="20" t="s">
        <v>36</v>
      </c>
      <c r="K125" s="20" t="s">
        <v>1147</v>
      </c>
      <c r="L125" s="20" t="s">
        <v>4178</v>
      </c>
      <c r="M125" s="20" t="s">
        <v>259</v>
      </c>
      <c r="N125" s="22" t="s">
        <v>250</v>
      </c>
      <c r="O125" s="20" t="s">
        <v>3847</v>
      </c>
      <c r="P125" s="20" t="s">
        <v>26</v>
      </c>
      <c r="Q125" s="20" t="s">
        <v>26</v>
      </c>
      <c r="R125" s="20" t="s">
        <v>26</v>
      </c>
      <c r="S125" s="20" t="s">
        <v>32</v>
      </c>
      <c r="T125" s="20" t="s">
        <v>195</v>
      </c>
      <c r="U125" s="20" t="s">
        <v>4037</v>
      </c>
      <c r="V125" s="21"/>
      <c r="W125" s="21">
        <v>46299</v>
      </c>
      <c r="X125" s="20" t="s">
        <v>3836</v>
      </c>
      <c r="Y125" s="21">
        <v>46300</v>
      </c>
      <c r="Z125" s="20" t="s">
        <v>4032</v>
      </c>
    </row>
    <row r="126" spans="1:26" x14ac:dyDescent="0.25">
      <c r="A126" s="9">
        <f t="shared" si="1"/>
        <v>119</v>
      </c>
      <c r="B126" s="19" t="s">
        <v>4027</v>
      </c>
      <c r="C126" s="20" t="s">
        <v>3829</v>
      </c>
      <c r="D126" s="20" t="s">
        <v>4187</v>
      </c>
      <c r="E126" s="20" t="s">
        <v>26</v>
      </c>
      <c r="F126" s="20" t="s">
        <v>4177</v>
      </c>
      <c r="G126" s="20" t="s">
        <v>25</v>
      </c>
      <c r="H126" s="20" t="s">
        <v>26</v>
      </c>
      <c r="I126" s="21">
        <v>46299</v>
      </c>
      <c r="J126" s="20" t="s">
        <v>36</v>
      </c>
      <c r="K126" s="20" t="s">
        <v>1149</v>
      </c>
      <c r="L126" s="20" t="s">
        <v>4178</v>
      </c>
      <c r="M126" s="20" t="s">
        <v>259</v>
      </c>
      <c r="N126" s="22" t="s">
        <v>250</v>
      </c>
      <c r="O126" s="20" t="s">
        <v>3847</v>
      </c>
      <c r="P126" s="20" t="s">
        <v>26</v>
      </c>
      <c r="Q126" s="20" t="s">
        <v>26</v>
      </c>
      <c r="R126" s="20" t="s">
        <v>26</v>
      </c>
      <c r="S126" s="20" t="s">
        <v>32</v>
      </c>
      <c r="T126" s="20" t="s">
        <v>195</v>
      </c>
      <c r="U126" s="20" t="s">
        <v>4037</v>
      </c>
      <c r="V126" s="21"/>
      <c r="W126" s="21">
        <v>46299</v>
      </c>
      <c r="X126" s="20" t="s">
        <v>3836</v>
      </c>
      <c r="Y126" s="21">
        <v>46300</v>
      </c>
      <c r="Z126" s="20" t="s">
        <v>4032</v>
      </c>
    </row>
    <row r="127" spans="1:26" x14ac:dyDescent="0.25">
      <c r="A127" s="9">
        <f t="shared" si="1"/>
        <v>120</v>
      </c>
      <c r="B127" s="19" t="s">
        <v>4027</v>
      </c>
      <c r="C127" s="20" t="s">
        <v>3829</v>
      </c>
      <c r="D127" s="20" t="s">
        <v>4188</v>
      </c>
      <c r="E127" s="20" t="s">
        <v>26</v>
      </c>
      <c r="F127" s="20" t="s">
        <v>4177</v>
      </c>
      <c r="G127" s="20" t="s">
        <v>25</v>
      </c>
      <c r="H127" s="20" t="s">
        <v>26</v>
      </c>
      <c r="I127" s="21">
        <v>46299</v>
      </c>
      <c r="J127" s="20" t="s">
        <v>36</v>
      </c>
      <c r="K127" s="20" t="s">
        <v>1151</v>
      </c>
      <c r="L127" s="20" t="s">
        <v>4178</v>
      </c>
      <c r="M127" s="20" t="s">
        <v>259</v>
      </c>
      <c r="N127" s="22" t="s">
        <v>250</v>
      </c>
      <c r="O127" s="20" t="s">
        <v>3847</v>
      </c>
      <c r="P127" s="20" t="s">
        <v>26</v>
      </c>
      <c r="Q127" s="20" t="s">
        <v>26</v>
      </c>
      <c r="R127" s="20" t="s">
        <v>26</v>
      </c>
      <c r="S127" s="20" t="s">
        <v>32</v>
      </c>
      <c r="T127" s="20" t="s">
        <v>195</v>
      </c>
      <c r="U127" s="20" t="s">
        <v>4037</v>
      </c>
      <c r="V127" s="21"/>
      <c r="W127" s="21">
        <v>46299</v>
      </c>
      <c r="X127" s="20" t="s">
        <v>3836</v>
      </c>
      <c r="Y127" s="21">
        <v>46300</v>
      </c>
      <c r="Z127" s="20" t="s">
        <v>4032</v>
      </c>
    </row>
    <row r="128" spans="1:26" x14ac:dyDescent="0.25">
      <c r="A128" s="9">
        <f t="shared" si="1"/>
        <v>121</v>
      </c>
      <c r="B128" s="19" t="s">
        <v>4027</v>
      </c>
      <c r="C128" s="20" t="s">
        <v>3829</v>
      </c>
      <c r="D128" s="20" t="s">
        <v>4189</v>
      </c>
      <c r="E128" s="20" t="s">
        <v>26</v>
      </c>
      <c r="F128" s="20" t="s">
        <v>4190</v>
      </c>
      <c r="G128" s="20" t="s">
        <v>25</v>
      </c>
      <c r="H128" s="20" t="s">
        <v>26</v>
      </c>
      <c r="I128" s="21">
        <v>46299</v>
      </c>
      <c r="J128" s="20" t="s">
        <v>36</v>
      </c>
      <c r="K128" s="20" t="s">
        <v>28</v>
      </c>
      <c r="L128" s="20" t="s">
        <v>4191</v>
      </c>
      <c r="M128" s="20" t="s">
        <v>259</v>
      </c>
      <c r="N128" s="22" t="s">
        <v>250</v>
      </c>
      <c r="O128" s="20" t="s">
        <v>3847</v>
      </c>
      <c r="P128" s="20" t="s">
        <v>613</v>
      </c>
      <c r="Q128" s="20" t="s">
        <v>614</v>
      </c>
      <c r="R128" s="20" t="s">
        <v>285</v>
      </c>
      <c r="S128" s="20" t="s">
        <v>32</v>
      </c>
      <c r="T128" s="20" t="s">
        <v>195</v>
      </c>
      <c r="U128" s="20" t="s">
        <v>4037</v>
      </c>
      <c r="V128" s="21"/>
      <c r="W128" s="21">
        <v>46299</v>
      </c>
      <c r="X128" s="20" t="s">
        <v>3836</v>
      </c>
      <c r="Y128" s="21">
        <v>46300</v>
      </c>
      <c r="Z128" s="20" t="s">
        <v>4032</v>
      </c>
    </row>
    <row r="129" spans="1:26" x14ac:dyDescent="0.25">
      <c r="A129" s="9">
        <f t="shared" si="1"/>
        <v>122</v>
      </c>
      <c r="B129" s="19" t="s">
        <v>4027</v>
      </c>
      <c r="C129" s="20" t="s">
        <v>3829</v>
      </c>
      <c r="D129" s="20" t="s">
        <v>4192</v>
      </c>
      <c r="E129" s="20" t="s">
        <v>26</v>
      </c>
      <c r="F129" s="20" t="s">
        <v>4193</v>
      </c>
      <c r="G129" s="20" t="s">
        <v>25</v>
      </c>
      <c r="H129" s="20" t="s">
        <v>26</v>
      </c>
      <c r="I129" s="21">
        <v>46299</v>
      </c>
      <c r="J129" s="20" t="s">
        <v>36</v>
      </c>
      <c r="K129" s="20" t="s">
        <v>28</v>
      </c>
      <c r="L129" s="20" t="s">
        <v>4194</v>
      </c>
      <c r="M129" s="20" t="s">
        <v>259</v>
      </c>
      <c r="N129" s="22" t="s">
        <v>250</v>
      </c>
      <c r="O129" s="20" t="s">
        <v>3847</v>
      </c>
      <c r="P129" s="20" t="s">
        <v>26</v>
      </c>
      <c r="Q129" s="20" t="s">
        <v>26</v>
      </c>
      <c r="R129" s="20" t="s">
        <v>26</v>
      </c>
      <c r="S129" s="20" t="s">
        <v>32</v>
      </c>
      <c r="T129" s="20" t="s">
        <v>195</v>
      </c>
      <c r="U129" s="20" t="s">
        <v>4037</v>
      </c>
      <c r="V129" s="21"/>
      <c r="W129" s="21">
        <v>46299</v>
      </c>
      <c r="X129" s="20" t="s">
        <v>3836</v>
      </c>
      <c r="Y129" s="21">
        <v>46300</v>
      </c>
      <c r="Z129" s="20" t="s">
        <v>4032</v>
      </c>
    </row>
    <row r="130" spans="1:26" x14ac:dyDescent="0.25">
      <c r="A130" s="9">
        <f t="shared" si="1"/>
        <v>123</v>
      </c>
      <c r="B130" s="19" t="s">
        <v>4027</v>
      </c>
      <c r="C130" s="20" t="s">
        <v>3829</v>
      </c>
      <c r="D130" s="20" t="s">
        <v>4195</v>
      </c>
      <c r="E130" s="20" t="s">
        <v>26</v>
      </c>
      <c r="F130" s="20" t="s">
        <v>4193</v>
      </c>
      <c r="G130" s="20" t="s">
        <v>25</v>
      </c>
      <c r="H130" s="20" t="s">
        <v>26</v>
      </c>
      <c r="I130" s="21">
        <v>46299</v>
      </c>
      <c r="J130" s="20" t="s">
        <v>36</v>
      </c>
      <c r="K130" s="20" t="s">
        <v>58</v>
      </c>
      <c r="L130" s="20" t="s">
        <v>4194</v>
      </c>
      <c r="M130" s="20" t="s">
        <v>259</v>
      </c>
      <c r="N130" s="22" t="s">
        <v>250</v>
      </c>
      <c r="O130" s="20" t="s">
        <v>3847</v>
      </c>
      <c r="P130" s="20" t="s">
        <v>26</v>
      </c>
      <c r="Q130" s="20" t="s">
        <v>26</v>
      </c>
      <c r="R130" s="20" t="s">
        <v>26</v>
      </c>
      <c r="S130" s="20" t="s">
        <v>32</v>
      </c>
      <c r="T130" s="20" t="s">
        <v>195</v>
      </c>
      <c r="U130" s="20" t="s">
        <v>4037</v>
      </c>
      <c r="V130" s="21"/>
      <c r="W130" s="21">
        <v>46299</v>
      </c>
      <c r="X130" s="20" t="s">
        <v>3836</v>
      </c>
      <c r="Y130" s="21">
        <v>46300</v>
      </c>
      <c r="Z130" s="20" t="s">
        <v>4032</v>
      </c>
    </row>
    <row r="131" spans="1:26" x14ac:dyDescent="0.25">
      <c r="A131" s="9">
        <f t="shared" si="1"/>
        <v>124</v>
      </c>
      <c r="B131" s="19" t="s">
        <v>4027</v>
      </c>
      <c r="C131" s="20" t="s">
        <v>3829</v>
      </c>
      <c r="D131" s="20" t="s">
        <v>4196</v>
      </c>
      <c r="E131" s="20" t="s">
        <v>26</v>
      </c>
      <c r="F131" s="20" t="s">
        <v>4193</v>
      </c>
      <c r="G131" s="20" t="s">
        <v>25</v>
      </c>
      <c r="H131" s="20" t="s">
        <v>26</v>
      </c>
      <c r="I131" s="21">
        <v>46299</v>
      </c>
      <c r="J131" s="20" t="s">
        <v>36</v>
      </c>
      <c r="K131" s="20" t="s">
        <v>59</v>
      </c>
      <c r="L131" s="20" t="s">
        <v>4194</v>
      </c>
      <c r="M131" s="20" t="s">
        <v>259</v>
      </c>
      <c r="N131" s="22" t="s">
        <v>250</v>
      </c>
      <c r="O131" s="20" t="s">
        <v>3847</v>
      </c>
      <c r="P131" s="20" t="s">
        <v>26</v>
      </c>
      <c r="Q131" s="20" t="s">
        <v>26</v>
      </c>
      <c r="R131" s="20" t="s">
        <v>26</v>
      </c>
      <c r="S131" s="20" t="s">
        <v>32</v>
      </c>
      <c r="T131" s="20" t="s">
        <v>195</v>
      </c>
      <c r="U131" s="20" t="s">
        <v>4037</v>
      </c>
      <c r="V131" s="21"/>
      <c r="W131" s="21">
        <v>46299</v>
      </c>
      <c r="X131" s="20" t="s">
        <v>3836</v>
      </c>
      <c r="Y131" s="21">
        <v>46300</v>
      </c>
      <c r="Z131" s="20" t="s">
        <v>4032</v>
      </c>
    </row>
    <row r="132" spans="1:26" x14ac:dyDescent="0.25">
      <c r="A132" s="9">
        <f t="shared" si="1"/>
        <v>125</v>
      </c>
      <c r="B132" s="19" t="s">
        <v>4027</v>
      </c>
      <c r="C132" s="20" t="s">
        <v>3829</v>
      </c>
      <c r="D132" s="20" t="s">
        <v>4197</v>
      </c>
      <c r="E132" s="20" t="s">
        <v>26</v>
      </c>
      <c r="F132" s="20" t="s">
        <v>4193</v>
      </c>
      <c r="G132" s="20" t="s">
        <v>25</v>
      </c>
      <c r="H132" s="20" t="s">
        <v>26</v>
      </c>
      <c r="I132" s="21">
        <v>46299</v>
      </c>
      <c r="J132" s="20" t="s">
        <v>36</v>
      </c>
      <c r="K132" s="20" t="s">
        <v>684</v>
      </c>
      <c r="L132" s="20" t="s">
        <v>4194</v>
      </c>
      <c r="M132" s="20" t="s">
        <v>259</v>
      </c>
      <c r="N132" s="22" t="s">
        <v>250</v>
      </c>
      <c r="O132" s="20" t="s">
        <v>3847</v>
      </c>
      <c r="P132" s="20" t="s">
        <v>26</v>
      </c>
      <c r="Q132" s="20" t="s">
        <v>26</v>
      </c>
      <c r="R132" s="20" t="s">
        <v>26</v>
      </c>
      <c r="S132" s="20" t="s">
        <v>32</v>
      </c>
      <c r="T132" s="20" t="s">
        <v>195</v>
      </c>
      <c r="U132" s="20" t="s">
        <v>4037</v>
      </c>
      <c r="V132" s="21"/>
      <c r="W132" s="21">
        <v>46299</v>
      </c>
      <c r="X132" s="20" t="s">
        <v>3836</v>
      </c>
      <c r="Y132" s="21">
        <v>46300</v>
      </c>
      <c r="Z132" s="20" t="s">
        <v>4032</v>
      </c>
    </row>
    <row r="133" spans="1:26" x14ac:dyDescent="0.25">
      <c r="A133" s="9">
        <f t="shared" si="1"/>
        <v>126</v>
      </c>
      <c r="B133" s="19" t="s">
        <v>4027</v>
      </c>
      <c r="C133" s="20" t="s">
        <v>3829</v>
      </c>
      <c r="D133" s="20" t="s">
        <v>4198</v>
      </c>
      <c r="E133" s="20" t="s">
        <v>26</v>
      </c>
      <c r="F133" s="20" t="s">
        <v>4199</v>
      </c>
      <c r="G133" s="20" t="s">
        <v>25</v>
      </c>
      <c r="H133" s="20" t="s">
        <v>26</v>
      </c>
      <c r="I133" s="21">
        <v>46299</v>
      </c>
      <c r="J133" s="20" t="s">
        <v>36</v>
      </c>
      <c r="K133" s="20" t="s">
        <v>28</v>
      </c>
      <c r="L133" s="20" t="s">
        <v>4200</v>
      </c>
      <c r="M133" s="20" t="s">
        <v>259</v>
      </c>
      <c r="N133" s="22" t="s">
        <v>250</v>
      </c>
      <c r="O133" s="20" t="s">
        <v>3847</v>
      </c>
      <c r="P133" s="20" t="s">
        <v>613</v>
      </c>
      <c r="Q133" s="20" t="s">
        <v>614</v>
      </c>
      <c r="R133" s="20" t="s">
        <v>285</v>
      </c>
      <c r="S133" s="20" t="s">
        <v>32</v>
      </c>
      <c r="T133" s="20" t="s">
        <v>195</v>
      </c>
      <c r="U133" s="20" t="s">
        <v>4201</v>
      </c>
      <c r="V133" s="21"/>
      <c r="W133" s="21">
        <v>46299</v>
      </c>
      <c r="X133" s="20" t="s">
        <v>3836</v>
      </c>
      <c r="Y133" s="21">
        <v>46300</v>
      </c>
      <c r="Z133" s="20" t="s">
        <v>4032</v>
      </c>
    </row>
    <row r="134" spans="1:26" x14ac:dyDescent="0.25">
      <c r="A134" s="9">
        <f t="shared" si="1"/>
        <v>127</v>
      </c>
      <c r="B134" s="19" t="s">
        <v>4027</v>
      </c>
      <c r="C134" s="20" t="s">
        <v>3829</v>
      </c>
      <c r="D134" s="20" t="s">
        <v>4202</v>
      </c>
      <c r="E134" s="20" t="s">
        <v>26</v>
      </c>
      <c r="F134" s="20" t="s">
        <v>4199</v>
      </c>
      <c r="G134" s="20" t="s">
        <v>25</v>
      </c>
      <c r="H134" s="20" t="s">
        <v>26</v>
      </c>
      <c r="I134" s="21">
        <v>46299</v>
      </c>
      <c r="J134" s="20" t="s">
        <v>36</v>
      </c>
      <c r="K134" s="20" t="s">
        <v>58</v>
      </c>
      <c r="L134" s="20" t="s">
        <v>4200</v>
      </c>
      <c r="M134" s="20" t="s">
        <v>259</v>
      </c>
      <c r="N134" s="22" t="s">
        <v>250</v>
      </c>
      <c r="O134" s="20" t="s">
        <v>3847</v>
      </c>
      <c r="P134" s="20" t="s">
        <v>613</v>
      </c>
      <c r="Q134" s="20" t="s">
        <v>614</v>
      </c>
      <c r="R134" s="20" t="s">
        <v>285</v>
      </c>
      <c r="S134" s="20" t="s">
        <v>32</v>
      </c>
      <c r="T134" s="20" t="s">
        <v>195</v>
      </c>
      <c r="U134" s="20" t="s">
        <v>4201</v>
      </c>
      <c r="V134" s="21"/>
      <c r="W134" s="21">
        <v>46299</v>
      </c>
      <c r="X134" s="20" t="s">
        <v>3836</v>
      </c>
      <c r="Y134" s="21">
        <v>46300</v>
      </c>
      <c r="Z134" s="20" t="s">
        <v>4032</v>
      </c>
    </row>
    <row r="135" spans="1:26" x14ac:dyDescent="0.25">
      <c r="A135" s="9">
        <f t="shared" si="1"/>
        <v>128</v>
      </c>
      <c r="B135" s="19" t="s">
        <v>4027</v>
      </c>
      <c r="C135" s="20" t="s">
        <v>3829</v>
      </c>
      <c r="D135" s="20" t="s">
        <v>4203</v>
      </c>
      <c r="E135" s="20" t="s">
        <v>26</v>
      </c>
      <c r="F135" s="20" t="s">
        <v>4204</v>
      </c>
      <c r="G135" s="20" t="s">
        <v>25</v>
      </c>
      <c r="H135" s="20" t="s">
        <v>26</v>
      </c>
      <c r="I135" s="21">
        <v>46299</v>
      </c>
      <c r="J135" s="20" t="s">
        <v>36</v>
      </c>
      <c r="K135" s="20" t="s">
        <v>28</v>
      </c>
      <c r="L135" s="20" t="s">
        <v>4205</v>
      </c>
      <c r="M135" s="20" t="s">
        <v>259</v>
      </c>
      <c r="N135" s="22" t="s">
        <v>250</v>
      </c>
      <c r="O135" s="20" t="s">
        <v>3847</v>
      </c>
      <c r="P135" s="20" t="s">
        <v>613</v>
      </c>
      <c r="Q135" s="20" t="s">
        <v>614</v>
      </c>
      <c r="R135" s="20" t="s">
        <v>285</v>
      </c>
      <c r="S135" s="20" t="s">
        <v>32</v>
      </c>
      <c r="T135" s="20" t="s">
        <v>195</v>
      </c>
      <c r="U135" s="20" t="s">
        <v>4206</v>
      </c>
      <c r="V135" s="21"/>
      <c r="W135" s="21">
        <v>46299</v>
      </c>
      <c r="X135" s="20" t="s">
        <v>3836</v>
      </c>
      <c r="Y135" s="21">
        <v>46300</v>
      </c>
      <c r="Z135" s="20" t="s">
        <v>4032</v>
      </c>
    </row>
    <row r="136" spans="1:26" x14ac:dyDescent="0.25">
      <c r="A136" s="9">
        <f t="shared" si="1"/>
        <v>129</v>
      </c>
      <c r="B136" s="19" t="s">
        <v>4027</v>
      </c>
      <c r="C136" s="20" t="s">
        <v>3829</v>
      </c>
      <c r="D136" s="20" t="s">
        <v>4207</v>
      </c>
      <c r="E136" s="20" t="s">
        <v>26</v>
      </c>
      <c r="F136" s="20" t="s">
        <v>4204</v>
      </c>
      <c r="G136" s="20" t="s">
        <v>25</v>
      </c>
      <c r="H136" s="20" t="s">
        <v>26</v>
      </c>
      <c r="I136" s="21">
        <v>46299</v>
      </c>
      <c r="J136" s="20" t="s">
        <v>36</v>
      </c>
      <c r="K136" s="20" t="s">
        <v>58</v>
      </c>
      <c r="L136" s="20" t="s">
        <v>4205</v>
      </c>
      <c r="M136" s="20" t="s">
        <v>259</v>
      </c>
      <c r="N136" s="22" t="s">
        <v>250</v>
      </c>
      <c r="O136" s="20" t="s">
        <v>3847</v>
      </c>
      <c r="P136" s="20" t="s">
        <v>613</v>
      </c>
      <c r="Q136" s="20" t="s">
        <v>614</v>
      </c>
      <c r="R136" s="20" t="s">
        <v>285</v>
      </c>
      <c r="S136" s="20" t="s">
        <v>32</v>
      </c>
      <c r="T136" s="20" t="s">
        <v>195</v>
      </c>
      <c r="U136" s="20" t="s">
        <v>4206</v>
      </c>
      <c r="V136" s="21"/>
      <c r="W136" s="21">
        <v>46299</v>
      </c>
      <c r="X136" s="20" t="s">
        <v>3836</v>
      </c>
      <c r="Y136" s="21">
        <v>46300</v>
      </c>
      <c r="Z136" s="20" t="s">
        <v>4032</v>
      </c>
    </row>
    <row r="137" spans="1:26" x14ac:dyDescent="0.25">
      <c r="A137" s="9">
        <f t="shared" si="1"/>
        <v>130</v>
      </c>
      <c r="B137" s="19" t="s">
        <v>4027</v>
      </c>
      <c r="C137" s="20" t="s">
        <v>3829</v>
      </c>
      <c r="D137" s="20" t="s">
        <v>4208</v>
      </c>
      <c r="E137" s="20" t="s">
        <v>26</v>
      </c>
      <c r="F137" s="20" t="s">
        <v>4209</v>
      </c>
      <c r="G137" s="20" t="s">
        <v>25</v>
      </c>
      <c r="H137" s="20" t="s">
        <v>26</v>
      </c>
      <c r="I137" s="21">
        <v>46299</v>
      </c>
      <c r="J137" s="20" t="s">
        <v>36</v>
      </c>
      <c r="K137" s="20" t="s">
        <v>28</v>
      </c>
      <c r="L137" s="20" t="s">
        <v>4210</v>
      </c>
      <c r="M137" s="20" t="s">
        <v>259</v>
      </c>
      <c r="N137" s="22" t="s">
        <v>250</v>
      </c>
      <c r="O137" s="20" t="s">
        <v>3847</v>
      </c>
      <c r="P137" s="20" t="s">
        <v>613</v>
      </c>
      <c r="Q137" s="20" t="s">
        <v>614</v>
      </c>
      <c r="R137" s="20" t="s">
        <v>285</v>
      </c>
      <c r="S137" s="20" t="s">
        <v>32</v>
      </c>
      <c r="T137" s="20" t="s">
        <v>195</v>
      </c>
      <c r="U137" s="20" t="s">
        <v>4037</v>
      </c>
      <c r="V137" s="21"/>
      <c r="W137" s="21">
        <v>46299</v>
      </c>
      <c r="X137" s="20" t="s">
        <v>3836</v>
      </c>
      <c r="Y137" s="21">
        <v>46300</v>
      </c>
      <c r="Z137" s="20" t="s">
        <v>4032</v>
      </c>
    </row>
    <row r="138" spans="1:26" x14ac:dyDescent="0.25">
      <c r="A138" s="9">
        <f t="shared" ref="A138:A201" si="2">A137+1</f>
        <v>131</v>
      </c>
      <c r="B138" s="19" t="s">
        <v>4027</v>
      </c>
      <c r="C138" s="20" t="s">
        <v>3829</v>
      </c>
      <c r="D138" s="20" t="s">
        <v>4211</v>
      </c>
      <c r="E138" s="20" t="s">
        <v>26</v>
      </c>
      <c r="F138" s="20" t="s">
        <v>4209</v>
      </c>
      <c r="G138" s="20" t="s">
        <v>25</v>
      </c>
      <c r="H138" s="20" t="s">
        <v>26</v>
      </c>
      <c r="I138" s="21">
        <v>46299</v>
      </c>
      <c r="J138" s="20" t="s">
        <v>36</v>
      </c>
      <c r="K138" s="20" t="s">
        <v>58</v>
      </c>
      <c r="L138" s="20" t="s">
        <v>4210</v>
      </c>
      <c r="M138" s="20" t="s">
        <v>259</v>
      </c>
      <c r="N138" s="22" t="s">
        <v>250</v>
      </c>
      <c r="O138" s="20" t="s">
        <v>3847</v>
      </c>
      <c r="P138" s="20" t="s">
        <v>613</v>
      </c>
      <c r="Q138" s="20" t="s">
        <v>614</v>
      </c>
      <c r="R138" s="20" t="s">
        <v>285</v>
      </c>
      <c r="S138" s="20" t="s">
        <v>32</v>
      </c>
      <c r="T138" s="20" t="s">
        <v>195</v>
      </c>
      <c r="U138" s="20" t="s">
        <v>4037</v>
      </c>
      <c r="V138" s="21"/>
      <c r="W138" s="21">
        <v>46299</v>
      </c>
      <c r="X138" s="20" t="s">
        <v>3836</v>
      </c>
      <c r="Y138" s="21">
        <v>46300</v>
      </c>
      <c r="Z138" s="20" t="s">
        <v>4032</v>
      </c>
    </row>
    <row r="139" spans="1:26" x14ac:dyDescent="0.25">
      <c r="A139" s="9">
        <f t="shared" si="2"/>
        <v>132</v>
      </c>
      <c r="B139" s="19" t="s">
        <v>4027</v>
      </c>
      <c r="C139" s="20" t="s">
        <v>3829</v>
      </c>
      <c r="D139" s="20" t="s">
        <v>4212</v>
      </c>
      <c r="E139" s="20" t="s">
        <v>26</v>
      </c>
      <c r="F139" s="20" t="s">
        <v>4209</v>
      </c>
      <c r="G139" s="20" t="s">
        <v>25</v>
      </c>
      <c r="H139" s="20" t="s">
        <v>26</v>
      </c>
      <c r="I139" s="21">
        <v>46299</v>
      </c>
      <c r="J139" s="20" t="s">
        <v>36</v>
      </c>
      <c r="K139" s="20" t="s">
        <v>59</v>
      </c>
      <c r="L139" s="20" t="s">
        <v>4210</v>
      </c>
      <c r="M139" s="20" t="s">
        <v>259</v>
      </c>
      <c r="N139" s="22" t="s">
        <v>250</v>
      </c>
      <c r="O139" s="20" t="s">
        <v>3847</v>
      </c>
      <c r="P139" s="20" t="s">
        <v>613</v>
      </c>
      <c r="Q139" s="20" t="s">
        <v>614</v>
      </c>
      <c r="R139" s="20" t="s">
        <v>285</v>
      </c>
      <c r="S139" s="20" t="s">
        <v>32</v>
      </c>
      <c r="T139" s="20" t="s">
        <v>195</v>
      </c>
      <c r="U139" s="20" t="s">
        <v>4037</v>
      </c>
      <c r="V139" s="21"/>
      <c r="W139" s="21">
        <v>46299</v>
      </c>
      <c r="X139" s="20" t="s">
        <v>3836</v>
      </c>
      <c r="Y139" s="21">
        <v>46300</v>
      </c>
      <c r="Z139" s="20" t="s">
        <v>4032</v>
      </c>
    </row>
    <row r="140" spans="1:26" x14ac:dyDescent="0.25">
      <c r="A140" s="9">
        <f t="shared" si="2"/>
        <v>133</v>
      </c>
      <c r="B140" s="19" t="s">
        <v>4027</v>
      </c>
      <c r="C140" s="20" t="s">
        <v>3829</v>
      </c>
      <c r="D140" s="20" t="s">
        <v>4213</v>
      </c>
      <c r="E140" s="20" t="s">
        <v>26</v>
      </c>
      <c r="F140" s="20" t="s">
        <v>4209</v>
      </c>
      <c r="G140" s="20" t="s">
        <v>25</v>
      </c>
      <c r="H140" s="20" t="s">
        <v>26</v>
      </c>
      <c r="I140" s="21">
        <v>46299</v>
      </c>
      <c r="J140" s="20" t="s">
        <v>36</v>
      </c>
      <c r="K140" s="20" t="s">
        <v>684</v>
      </c>
      <c r="L140" s="20" t="s">
        <v>4210</v>
      </c>
      <c r="M140" s="20" t="s">
        <v>259</v>
      </c>
      <c r="N140" s="22" t="s">
        <v>250</v>
      </c>
      <c r="O140" s="20" t="s">
        <v>3847</v>
      </c>
      <c r="P140" s="20" t="s">
        <v>613</v>
      </c>
      <c r="Q140" s="20" t="s">
        <v>614</v>
      </c>
      <c r="R140" s="20" t="s">
        <v>285</v>
      </c>
      <c r="S140" s="20" t="s">
        <v>32</v>
      </c>
      <c r="T140" s="20" t="s">
        <v>195</v>
      </c>
      <c r="U140" s="20" t="s">
        <v>4037</v>
      </c>
      <c r="V140" s="21"/>
      <c r="W140" s="21">
        <v>46299</v>
      </c>
      <c r="X140" s="20" t="s">
        <v>3836</v>
      </c>
      <c r="Y140" s="21">
        <v>46300</v>
      </c>
      <c r="Z140" s="20" t="s">
        <v>4032</v>
      </c>
    </row>
    <row r="141" spans="1:26" x14ac:dyDescent="0.25">
      <c r="A141" s="9">
        <f t="shared" si="2"/>
        <v>134</v>
      </c>
      <c r="B141" s="19" t="s">
        <v>4027</v>
      </c>
      <c r="C141" s="20" t="s">
        <v>3829</v>
      </c>
      <c r="D141" s="20" t="s">
        <v>4214</v>
      </c>
      <c r="E141" s="20" t="s">
        <v>26</v>
      </c>
      <c r="F141" s="20" t="s">
        <v>4209</v>
      </c>
      <c r="G141" s="20" t="s">
        <v>25</v>
      </c>
      <c r="H141" s="20" t="s">
        <v>26</v>
      </c>
      <c r="I141" s="21">
        <v>46299</v>
      </c>
      <c r="J141" s="20" t="s">
        <v>36</v>
      </c>
      <c r="K141" s="20" t="s">
        <v>557</v>
      </c>
      <c r="L141" s="20" t="s">
        <v>4210</v>
      </c>
      <c r="M141" s="20" t="s">
        <v>259</v>
      </c>
      <c r="N141" s="22" t="s">
        <v>250</v>
      </c>
      <c r="O141" s="20" t="s">
        <v>3847</v>
      </c>
      <c r="P141" s="20" t="s">
        <v>613</v>
      </c>
      <c r="Q141" s="20" t="s">
        <v>614</v>
      </c>
      <c r="R141" s="20" t="s">
        <v>285</v>
      </c>
      <c r="S141" s="20" t="s">
        <v>32</v>
      </c>
      <c r="T141" s="20" t="s">
        <v>195</v>
      </c>
      <c r="U141" s="20" t="s">
        <v>4037</v>
      </c>
      <c r="V141" s="21"/>
      <c r="W141" s="21">
        <v>46299</v>
      </c>
      <c r="X141" s="20" t="s">
        <v>3836</v>
      </c>
      <c r="Y141" s="21">
        <v>46300</v>
      </c>
      <c r="Z141" s="20" t="s">
        <v>4032</v>
      </c>
    </row>
    <row r="142" spans="1:26" x14ac:dyDescent="0.25">
      <c r="A142" s="9">
        <f t="shared" si="2"/>
        <v>135</v>
      </c>
      <c r="B142" s="19" t="s">
        <v>4027</v>
      </c>
      <c r="C142" s="20" t="s">
        <v>3829</v>
      </c>
      <c r="D142" s="20" t="s">
        <v>4215</v>
      </c>
      <c r="E142" s="20" t="s">
        <v>26</v>
      </c>
      <c r="F142" s="20" t="s">
        <v>4209</v>
      </c>
      <c r="G142" s="20" t="s">
        <v>25</v>
      </c>
      <c r="H142" s="20" t="s">
        <v>26</v>
      </c>
      <c r="I142" s="21">
        <v>46299</v>
      </c>
      <c r="J142" s="20" t="s">
        <v>36</v>
      </c>
      <c r="K142" s="20" t="s">
        <v>1141</v>
      </c>
      <c r="L142" s="20" t="s">
        <v>4210</v>
      </c>
      <c r="M142" s="20" t="s">
        <v>259</v>
      </c>
      <c r="N142" s="22" t="s">
        <v>250</v>
      </c>
      <c r="O142" s="20" t="s">
        <v>3847</v>
      </c>
      <c r="P142" s="20" t="s">
        <v>613</v>
      </c>
      <c r="Q142" s="20" t="s">
        <v>614</v>
      </c>
      <c r="R142" s="20" t="s">
        <v>285</v>
      </c>
      <c r="S142" s="20" t="s">
        <v>32</v>
      </c>
      <c r="T142" s="20" t="s">
        <v>195</v>
      </c>
      <c r="U142" s="20" t="s">
        <v>4037</v>
      </c>
      <c r="V142" s="21"/>
      <c r="W142" s="21">
        <v>46299</v>
      </c>
      <c r="X142" s="20" t="s">
        <v>3836</v>
      </c>
      <c r="Y142" s="21">
        <v>46300</v>
      </c>
      <c r="Z142" s="20" t="s">
        <v>4032</v>
      </c>
    </row>
    <row r="143" spans="1:26" x14ac:dyDescent="0.25">
      <c r="A143" s="9">
        <f t="shared" si="2"/>
        <v>136</v>
      </c>
      <c r="B143" s="19" t="s">
        <v>4027</v>
      </c>
      <c r="C143" s="20" t="s">
        <v>3829</v>
      </c>
      <c r="D143" s="20" t="s">
        <v>4216</v>
      </c>
      <c r="E143" s="20" t="s">
        <v>26</v>
      </c>
      <c r="F143" s="20" t="s">
        <v>4209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1143</v>
      </c>
      <c r="L143" s="20" t="s">
        <v>4210</v>
      </c>
      <c r="M143" s="20" t="s">
        <v>259</v>
      </c>
      <c r="N143" s="22" t="s">
        <v>250</v>
      </c>
      <c r="O143" s="20" t="s">
        <v>3847</v>
      </c>
      <c r="P143" s="20" t="s">
        <v>613</v>
      </c>
      <c r="Q143" s="20" t="s">
        <v>614</v>
      </c>
      <c r="R143" s="20" t="s">
        <v>285</v>
      </c>
      <c r="S143" s="20" t="s">
        <v>32</v>
      </c>
      <c r="T143" s="20" t="s">
        <v>195</v>
      </c>
      <c r="U143" s="20" t="s">
        <v>4037</v>
      </c>
      <c r="V143" s="21"/>
      <c r="W143" s="21">
        <v>46299</v>
      </c>
      <c r="X143" s="20" t="s">
        <v>3836</v>
      </c>
      <c r="Y143" s="21">
        <v>46300</v>
      </c>
      <c r="Z143" s="20" t="s">
        <v>4032</v>
      </c>
    </row>
    <row r="144" spans="1:26" x14ac:dyDescent="0.25">
      <c r="A144" s="9">
        <f t="shared" si="2"/>
        <v>137</v>
      </c>
      <c r="B144" s="19" t="s">
        <v>4027</v>
      </c>
      <c r="C144" s="20" t="s">
        <v>3829</v>
      </c>
      <c r="D144" s="20" t="s">
        <v>4217</v>
      </c>
      <c r="E144" s="20" t="s">
        <v>26</v>
      </c>
      <c r="F144" s="20" t="s">
        <v>4209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1145</v>
      </c>
      <c r="L144" s="20" t="s">
        <v>4210</v>
      </c>
      <c r="M144" s="20" t="s">
        <v>259</v>
      </c>
      <c r="N144" s="22" t="s">
        <v>250</v>
      </c>
      <c r="O144" s="20" t="s">
        <v>3847</v>
      </c>
      <c r="P144" s="20" t="s">
        <v>613</v>
      </c>
      <c r="Q144" s="20" t="s">
        <v>614</v>
      </c>
      <c r="R144" s="20" t="s">
        <v>285</v>
      </c>
      <c r="S144" s="20" t="s">
        <v>32</v>
      </c>
      <c r="T144" s="20" t="s">
        <v>195</v>
      </c>
      <c r="U144" s="20" t="s">
        <v>4037</v>
      </c>
      <c r="V144" s="21"/>
      <c r="W144" s="21">
        <v>46299</v>
      </c>
      <c r="X144" s="20" t="s">
        <v>3836</v>
      </c>
      <c r="Y144" s="21">
        <v>46300</v>
      </c>
      <c r="Z144" s="20" t="s">
        <v>4032</v>
      </c>
    </row>
    <row r="145" spans="1:26" x14ac:dyDescent="0.25">
      <c r="A145" s="9">
        <f t="shared" si="2"/>
        <v>138</v>
      </c>
      <c r="B145" s="19" t="s">
        <v>4027</v>
      </c>
      <c r="C145" s="20" t="s">
        <v>3829</v>
      </c>
      <c r="D145" s="20" t="s">
        <v>4218</v>
      </c>
      <c r="E145" s="20" t="s">
        <v>26</v>
      </c>
      <c r="F145" s="20" t="s">
        <v>4209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1147</v>
      </c>
      <c r="L145" s="20" t="s">
        <v>4210</v>
      </c>
      <c r="M145" s="20" t="s">
        <v>259</v>
      </c>
      <c r="N145" s="22" t="s">
        <v>250</v>
      </c>
      <c r="O145" s="20" t="s">
        <v>3847</v>
      </c>
      <c r="P145" s="20" t="s">
        <v>613</v>
      </c>
      <c r="Q145" s="20" t="s">
        <v>614</v>
      </c>
      <c r="R145" s="20" t="s">
        <v>285</v>
      </c>
      <c r="S145" s="20" t="s">
        <v>32</v>
      </c>
      <c r="T145" s="20" t="s">
        <v>195</v>
      </c>
      <c r="U145" s="20" t="s">
        <v>4037</v>
      </c>
      <c r="V145" s="21"/>
      <c r="W145" s="21">
        <v>46299</v>
      </c>
      <c r="X145" s="20" t="s">
        <v>3836</v>
      </c>
      <c r="Y145" s="21">
        <v>46300</v>
      </c>
      <c r="Z145" s="20" t="s">
        <v>4032</v>
      </c>
    </row>
    <row r="146" spans="1:26" x14ac:dyDescent="0.25">
      <c r="A146" s="9">
        <f t="shared" si="2"/>
        <v>139</v>
      </c>
      <c r="B146" s="19" t="s">
        <v>4027</v>
      </c>
      <c r="C146" s="20" t="s">
        <v>3829</v>
      </c>
      <c r="D146" s="20" t="s">
        <v>4219</v>
      </c>
      <c r="E146" s="20" t="s">
        <v>26</v>
      </c>
      <c r="F146" s="20" t="s">
        <v>4209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1149</v>
      </c>
      <c r="L146" s="20" t="s">
        <v>4210</v>
      </c>
      <c r="M146" s="20" t="s">
        <v>259</v>
      </c>
      <c r="N146" s="22" t="s">
        <v>250</v>
      </c>
      <c r="O146" s="20" t="s">
        <v>3847</v>
      </c>
      <c r="P146" s="20" t="s">
        <v>613</v>
      </c>
      <c r="Q146" s="20" t="s">
        <v>614</v>
      </c>
      <c r="R146" s="20" t="s">
        <v>285</v>
      </c>
      <c r="S146" s="20" t="s">
        <v>32</v>
      </c>
      <c r="T146" s="20" t="s">
        <v>195</v>
      </c>
      <c r="U146" s="20" t="s">
        <v>4037</v>
      </c>
      <c r="V146" s="21"/>
      <c r="W146" s="21">
        <v>46299</v>
      </c>
      <c r="X146" s="20" t="s">
        <v>3836</v>
      </c>
      <c r="Y146" s="21">
        <v>46300</v>
      </c>
      <c r="Z146" s="20" t="s">
        <v>4032</v>
      </c>
    </row>
    <row r="147" spans="1:26" x14ac:dyDescent="0.25">
      <c r="A147" s="9">
        <f t="shared" si="2"/>
        <v>140</v>
      </c>
      <c r="B147" s="19" t="s">
        <v>4027</v>
      </c>
      <c r="C147" s="20" t="s">
        <v>3829</v>
      </c>
      <c r="D147" s="20" t="s">
        <v>4220</v>
      </c>
      <c r="E147" s="20" t="s">
        <v>26</v>
      </c>
      <c r="F147" s="20" t="s">
        <v>4221</v>
      </c>
      <c r="G147" s="20" t="s">
        <v>25</v>
      </c>
      <c r="H147" s="20" t="s">
        <v>26</v>
      </c>
      <c r="I147" s="21">
        <v>46299</v>
      </c>
      <c r="J147" s="20" t="s">
        <v>82</v>
      </c>
      <c r="K147" s="20" t="s">
        <v>28</v>
      </c>
      <c r="L147" s="20" t="s">
        <v>4222</v>
      </c>
      <c r="M147" s="20" t="s">
        <v>259</v>
      </c>
      <c r="N147" s="22" t="s">
        <v>250</v>
      </c>
      <c r="O147" s="20" t="s">
        <v>3847</v>
      </c>
      <c r="P147" s="20" t="s">
        <v>613</v>
      </c>
      <c r="Q147" s="20" t="s">
        <v>614</v>
      </c>
      <c r="R147" s="20" t="s">
        <v>88</v>
      </c>
      <c r="S147" s="20" t="s">
        <v>32</v>
      </c>
      <c r="T147" s="20" t="s">
        <v>195</v>
      </c>
      <c r="U147" s="20" t="s">
        <v>4037</v>
      </c>
      <c r="V147" s="21"/>
      <c r="W147" s="21">
        <v>46299</v>
      </c>
      <c r="X147" s="20" t="s">
        <v>3836</v>
      </c>
      <c r="Y147" s="21">
        <v>46300</v>
      </c>
      <c r="Z147" s="20" t="s">
        <v>4032</v>
      </c>
    </row>
    <row r="148" spans="1:26" x14ac:dyDescent="0.25">
      <c r="A148" s="9">
        <f t="shared" si="2"/>
        <v>141</v>
      </c>
      <c r="B148" s="19" t="s">
        <v>4027</v>
      </c>
      <c r="C148" s="20" t="s">
        <v>3829</v>
      </c>
      <c r="D148" s="20" t="s">
        <v>4223</v>
      </c>
      <c r="E148" s="20" t="s">
        <v>26</v>
      </c>
      <c r="F148" s="20" t="s">
        <v>4221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58</v>
      </c>
      <c r="L148" s="20" t="s">
        <v>4222</v>
      </c>
      <c r="M148" s="20" t="s">
        <v>259</v>
      </c>
      <c r="N148" s="22" t="s">
        <v>250</v>
      </c>
      <c r="O148" s="20" t="s">
        <v>3847</v>
      </c>
      <c r="P148" s="20" t="s">
        <v>613</v>
      </c>
      <c r="Q148" s="20" t="s">
        <v>614</v>
      </c>
      <c r="R148" s="20" t="s">
        <v>88</v>
      </c>
      <c r="S148" s="20" t="s">
        <v>32</v>
      </c>
      <c r="T148" s="20" t="s">
        <v>195</v>
      </c>
      <c r="U148" s="20" t="s">
        <v>4037</v>
      </c>
      <c r="V148" s="21"/>
      <c r="W148" s="21">
        <v>46299</v>
      </c>
      <c r="X148" s="20" t="s">
        <v>3836</v>
      </c>
      <c r="Y148" s="21">
        <v>46300</v>
      </c>
      <c r="Z148" s="20" t="s">
        <v>4032</v>
      </c>
    </row>
    <row r="149" spans="1:26" x14ac:dyDescent="0.25">
      <c r="A149" s="9">
        <f t="shared" si="2"/>
        <v>142</v>
      </c>
      <c r="B149" s="19" t="s">
        <v>4027</v>
      </c>
      <c r="C149" s="20" t="s">
        <v>3829</v>
      </c>
      <c r="D149" s="20" t="s">
        <v>4224</v>
      </c>
      <c r="E149" s="20" t="s">
        <v>26</v>
      </c>
      <c r="F149" s="20" t="s">
        <v>4221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59</v>
      </c>
      <c r="L149" s="20" t="s">
        <v>4222</v>
      </c>
      <c r="M149" s="20" t="s">
        <v>259</v>
      </c>
      <c r="N149" s="22" t="s">
        <v>250</v>
      </c>
      <c r="O149" s="20" t="s">
        <v>3847</v>
      </c>
      <c r="P149" s="20" t="s">
        <v>613</v>
      </c>
      <c r="Q149" s="20" t="s">
        <v>614</v>
      </c>
      <c r="R149" s="20" t="s">
        <v>88</v>
      </c>
      <c r="S149" s="20" t="s">
        <v>32</v>
      </c>
      <c r="T149" s="20" t="s">
        <v>195</v>
      </c>
      <c r="U149" s="20" t="s">
        <v>4037</v>
      </c>
      <c r="V149" s="21"/>
      <c r="W149" s="21">
        <v>46299</v>
      </c>
      <c r="X149" s="20" t="s">
        <v>3836</v>
      </c>
      <c r="Y149" s="21">
        <v>46300</v>
      </c>
      <c r="Z149" s="20" t="s">
        <v>4032</v>
      </c>
    </row>
    <row r="150" spans="1:26" x14ac:dyDescent="0.25">
      <c r="A150" s="9">
        <f t="shared" si="2"/>
        <v>143</v>
      </c>
      <c r="B150" s="19" t="s">
        <v>4027</v>
      </c>
      <c r="C150" s="20" t="s">
        <v>3829</v>
      </c>
      <c r="D150" s="20" t="s">
        <v>4225</v>
      </c>
      <c r="E150" s="20" t="s">
        <v>26</v>
      </c>
      <c r="F150" s="20" t="s">
        <v>4221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684</v>
      </c>
      <c r="L150" s="20" t="s">
        <v>4222</v>
      </c>
      <c r="M150" s="20" t="s">
        <v>259</v>
      </c>
      <c r="N150" s="22" t="s">
        <v>250</v>
      </c>
      <c r="O150" s="20" t="s">
        <v>3847</v>
      </c>
      <c r="P150" s="20" t="s">
        <v>613</v>
      </c>
      <c r="Q150" s="20" t="s">
        <v>614</v>
      </c>
      <c r="R150" s="20" t="s">
        <v>88</v>
      </c>
      <c r="S150" s="20" t="s">
        <v>32</v>
      </c>
      <c r="T150" s="20" t="s">
        <v>195</v>
      </c>
      <c r="U150" s="20" t="s">
        <v>4037</v>
      </c>
      <c r="V150" s="21"/>
      <c r="W150" s="21">
        <v>46299</v>
      </c>
      <c r="X150" s="20" t="s">
        <v>3836</v>
      </c>
      <c r="Y150" s="21">
        <v>46300</v>
      </c>
      <c r="Z150" s="20" t="s">
        <v>4032</v>
      </c>
    </row>
    <row r="151" spans="1:26" x14ac:dyDescent="0.25">
      <c r="A151" s="9">
        <f t="shared" si="2"/>
        <v>144</v>
      </c>
      <c r="B151" s="19" t="s">
        <v>4027</v>
      </c>
      <c r="C151" s="20" t="s">
        <v>3829</v>
      </c>
      <c r="D151" s="20" t="s">
        <v>4226</v>
      </c>
      <c r="E151" s="20" t="s">
        <v>26</v>
      </c>
      <c r="F151" s="20" t="s">
        <v>4221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557</v>
      </c>
      <c r="L151" s="20" t="s">
        <v>4222</v>
      </c>
      <c r="M151" s="20" t="s">
        <v>259</v>
      </c>
      <c r="N151" s="22" t="s">
        <v>250</v>
      </c>
      <c r="O151" s="20" t="s">
        <v>3847</v>
      </c>
      <c r="P151" s="20" t="s">
        <v>613</v>
      </c>
      <c r="Q151" s="20" t="s">
        <v>614</v>
      </c>
      <c r="R151" s="20" t="s">
        <v>88</v>
      </c>
      <c r="S151" s="20" t="s">
        <v>32</v>
      </c>
      <c r="T151" s="20" t="s">
        <v>195</v>
      </c>
      <c r="U151" s="20" t="s">
        <v>4037</v>
      </c>
      <c r="V151" s="21"/>
      <c r="W151" s="21">
        <v>46299</v>
      </c>
      <c r="X151" s="20" t="s">
        <v>3836</v>
      </c>
      <c r="Y151" s="21">
        <v>46300</v>
      </c>
      <c r="Z151" s="20" t="s">
        <v>4032</v>
      </c>
    </row>
    <row r="152" spans="1:26" x14ac:dyDescent="0.25">
      <c r="A152" s="9">
        <f t="shared" si="2"/>
        <v>145</v>
      </c>
      <c r="B152" s="19" t="s">
        <v>4027</v>
      </c>
      <c r="C152" s="20" t="s">
        <v>3829</v>
      </c>
      <c r="D152" s="20" t="s">
        <v>4227</v>
      </c>
      <c r="E152" s="20" t="s">
        <v>26</v>
      </c>
      <c r="F152" s="20" t="s">
        <v>4221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1141</v>
      </c>
      <c r="L152" s="20" t="s">
        <v>4222</v>
      </c>
      <c r="M152" s="20" t="s">
        <v>259</v>
      </c>
      <c r="N152" s="22" t="s">
        <v>250</v>
      </c>
      <c r="O152" s="20" t="s">
        <v>3847</v>
      </c>
      <c r="P152" s="20" t="s">
        <v>613</v>
      </c>
      <c r="Q152" s="20" t="s">
        <v>614</v>
      </c>
      <c r="R152" s="20" t="s">
        <v>88</v>
      </c>
      <c r="S152" s="20" t="s">
        <v>32</v>
      </c>
      <c r="T152" s="20" t="s">
        <v>195</v>
      </c>
      <c r="U152" s="20" t="s">
        <v>4037</v>
      </c>
      <c r="V152" s="21"/>
      <c r="W152" s="21">
        <v>46299</v>
      </c>
      <c r="X152" s="20" t="s">
        <v>3836</v>
      </c>
      <c r="Y152" s="21">
        <v>46300</v>
      </c>
      <c r="Z152" s="20" t="s">
        <v>4032</v>
      </c>
    </row>
    <row r="153" spans="1:26" x14ac:dyDescent="0.25">
      <c r="A153" s="9">
        <f t="shared" si="2"/>
        <v>146</v>
      </c>
      <c r="B153" s="19" t="s">
        <v>4027</v>
      </c>
      <c r="C153" s="20" t="s">
        <v>3829</v>
      </c>
      <c r="D153" s="20" t="s">
        <v>4228</v>
      </c>
      <c r="E153" s="20" t="s">
        <v>26</v>
      </c>
      <c r="F153" s="20" t="s">
        <v>4221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1143</v>
      </c>
      <c r="L153" s="20" t="s">
        <v>4222</v>
      </c>
      <c r="M153" s="20" t="s">
        <v>259</v>
      </c>
      <c r="N153" s="22" t="s">
        <v>250</v>
      </c>
      <c r="O153" s="20" t="s">
        <v>3847</v>
      </c>
      <c r="P153" s="20" t="s">
        <v>613</v>
      </c>
      <c r="Q153" s="20" t="s">
        <v>614</v>
      </c>
      <c r="R153" s="20" t="s">
        <v>88</v>
      </c>
      <c r="S153" s="20" t="s">
        <v>32</v>
      </c>
      <c r="T153" s="20" t="s">
        <v>195</v>
      </c>
      <c r="U153" s="20" t="s">
        <v>4037</v>
      </c>
      <c r="V153" s="21"/>
      <c r="W153" s="21">
        <v>46299</v>
      </c>
      <c r="X153" s="20" t="s">
        <v>3836</v>
      </c>
      <c r="Y153" s="21">
        <v>46300</v>
      </c>
      <c r="Z153" s="20" t="s">
        <v>4032</v>
      </c>
    </row>
    <row r="154" spans="1:26" x14ac:dyDescent="0.25">
      <c r="A154" s="9">
        <f t="shared" si="2"/>
        <v>147</v>
      </c>
      <c r="B154" s="19" t="s">
        <v>4027</v>
      </c>
      <c r="C154" s="20" t="s">
        <v>3829</v>
      </c>
      <c r="D154" s="20" t="s">
        <v>4229</v>
      </c>
      <c r="E154" s="20" t="s">
        <v>26</v>
      </c>
      <c r="F154" s="20" t="s">
        <v>4230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28</v>
      </c>
      <c r="L154" s="20" t="s">
        <v>4231</v>
      </c>
      <c r="M154" s="20" t="s">
        <v>259</v>
      </c>
      <c r="N154" s="22" t="s">
        <v>250</v>
      </c>
      <c r="O154" s="20" t="s">
        <v>3847</v>
      </c>
      <c r="P154" s="20" t="s">
        <v>613</v>
      </c>
      <c r="Q154" s="20" t="s">
        <v>614</v>
      </c>
      <c r="R154" s="20" t="s">
        <v>337</v>
      </c>
      <c r="S154" s="20" t="s">
        <v>32</v>
      </c>
      <c r="T154" s="20" t="s">
        <v>195</v>
      </c>
      <c r="U154" s="20" t="s">
        <v>4037</v>
      </c>
      <c r="V154" s="21"/>
      <c r="W154" s="21">
        <v>46299</v>
      </c>
      <c r="X154" s="20" t="s">
        <v>3836</v>
      </c>
      <c r="Y154" s="21">
        <v>46300</v>
      </c>
      <c r="Z154" s="20" t="s">
        <v>4032</v>
      </c>
    </row>
    <row r="155" spans="1:26" x14ac:dyDescent="0.25">
      <c r="A155" s="9">
        <f t="shared" si="2"/>
        <v>148</v>
      </c>
      <c r="B155" s="19" t="s">
        <v>4027</v>
      </c>
      <c r="C155" s="20" t="s">
        <v>3829</v>
      </c>
      <c r="D155" s="20" t="s">
        <v>4232</v>
      </c>
      <c r="E155" s="20" t="s">
        <v>26</v>
      </c>
      <c r="F155" s="20" t="s">
        <v>4230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58</v>
      </c>
      <c r="L155" s="20" t="s">
        <v>4231</v>
      </c>
      <c r="M155" s="20" t="s">
        <v>259</v>
      </c>
      <c r="N155" s="22" t="s">
        <v>250</v>
      </c>
      <c r="O155" s="20" t="s">
        <v>3847</v>
      </c>
      <c r="P155" s="20" t="s">
        <v>613</v>
      </c>
      <c r="Q155" s="20" t="s">
        <v>614</v>
      </c>
      <c r="R155" s="20" t="s">
        <v>337</v>
      </c>
      <c r="S155" s="20" t="s">
        <v>32</v>
      </c>
      <c r="T155" s="20" t="s">
        <v>195</v>
      </c>
      <c r="U155" s="20" t="s">
        <v>4037</v>
      </c>
      <c r="V155" s="21"/>
      <c r="W155" s="21">
        <v>46299</v>
      </c>
      <c r="X155" s="20" t="s">
        <v>3836</v>
      </c>
      <c r="Y155" s="21">
        <v>46300</v>
      </c>
      <c r="Z155" s="20" t="s">
        <v>4032</v>
      </c>
    </row>
    <row r="156" spans="1:26" x14ac:dyDescent="0.25">
      <c r="A156" s="9">
        <f t="shared" si="2"/>
        <v>149</v>
      </c>
      <c r="B156" s="19" t="s">
        <v>4027</v>
      </c>
      <c r="C156" s="20" t="s">
        <v>3829</v>
      </c>
      <c r="D156" s="20" t="s">
        <v>4233</v>
      </c>
      <c r="E156" s="20" t="s">
        <v>26</v>
      </c>
      <c r="F156" s="20" t="s">
        <v>4230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59</v>
      </c>
      <c r="L156" s="20" t="s">
        <v>4231</v>
      </c>
      <c r="M156" s="20" t="s">
        <v>259</v>
      </c>
      <c r="N156" s="22" t="s">
        <v>250</v>
      </c>
      <c r="O156" s="20" t="s">
        <v>3847</v>
      </c>
      <c r="P156" s="20" t="s">
        <v>613</v>
      </c>
      <c r="Q156" s="20" t="s">
        <v>614</v>
      </c>
      <c r="R156" s="20" t="s">
        <v>337</v>
      </c>
      <c r="S156" s="20" t="s">
        <v>32</v>
      </c>
      <c r="T156" s="20" t="s">
        <v>195</v>
      </c>
      <c r="U156" s="20" t="s">
        <v>4037</v>
      </c>
      <c r="V156" s="21"/>
      <c r="W156" s="21">
        <v>46299</v>
      </c>
      <c r="X156" s="20" t="s">
        <v>3836</v>
      </c>
      <c r="Y156" s="21">
        <v>46300</v>
      </c>
      <c r="Z156" s="20" t="s">
        <v>4032</v>
      </c>
    </row>
    <row r="157" spans="1:26" x14ac:dyDescent="0.25">
      <c r="A157" s="9">
        <f t="shared" si="2"/>
        <v>150</v>
      </c>
      <c r="B157" s="19" t="s">
        <v>4027</v>
      </c>
      <c r="C157" s="20" t="s">
        <v>3829</v>
      </c>
      <c r="D157" s="20" t="s">
        <v>4234</v>
      </c>
      <c r="E157" s="20" t="s">
        <v>26</v>
      </c>
      <c r="F157" s="20" t="s">
        <v>4235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28</v>
      </c>
      <c r="L157" s="20" t="s">
        <v>4236</v>
      </c>
      <c r="M157" s="20" t="s">
        <v>259</v>
      </c>
      <c r="N157" s="22" t="s">
        <v>250</v>
      </c>
      <c r="O157" s="20" t="s">
        <v>3847</v>
      </c>
      <c r="P157" s="20" t="s">
        <v>613</v>
      </c>
      <c r="Q157" s="20" t="s">
        <v>614</v>
      </c>
      <c r="R157" s="20" t="s">
        <v>337</v>
      </c>
      <c r="S157" s="20" t="s">
        <v>32</v>
      </c>
      <c r="T157" s="20" t="s">
        <v>195</v>
      </c>
      <c r="U157" s="20" t="s">
        <v>4037</v>
      </c>
      <c r="V157" s="21"/>
      <c r="W157" s="21">
        <v>46299</v>
      </c>
      <c r="X157" s="20" t="s">
        <v>3836</v>
      </c>
      <c r="Y157" s="21">
        <v>46300</v>
      </c>
      <c r="Z157" s="20" t="s">
        <v>4032</v>
      </c>
    </row>
    <row r="158" spans="1:26" x14ac:dyDescent="0.25">
      <c r="A158" s="9">
        <f t="shared" si="2"/>
        <v>151</v>
      </c>
      <c r="B158" s="19" t="s">
        <v>4027</v>
      </c>
      <c r="C158" s="20" t="s">
        <v>3829</v>
      </c>
      <c r="D158" s="20" t="s">
        <v>4237</v>
      </c>
      <c r="E158" s="20" t="s">
        <v>26</v>
      </c>
      <c r="F158" s="20" t="s">
        <v>4238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28</v>
      </c>
      <c r="L158" s="20" t="s">
        <v>4239</v>
      </c>
      <c r="M158" s="20" t="s">
        <v>259</v>
      </c>
      <c r="N158" s="22" t="s">
        <v>250</v>
      </c>
      <c r="O158" s="20" t="s">
        <v>3847</v>
      </c>
      <c r="P158" s="20" t="s">
        <v>613</v>
      </c>
      <c r="Q158" s="20" t="s">
        <v>614</v>
      </c>
      <c r="R158" s="20" t="s">
        <v>337</v>
      </c>
      <c r="S158" s="20" t="s">
        <v>32</v>
      </c>
      <c r="T158" s="20" t="s">
        <v>195</v>
      </c>
      <c r="U158" s="20" t="s">
        <v>4037</v>
      </c>
      <c r="V158" s="21"/>
      <c r="W158" s="21">
        <v>46299</v>
      </c>
      <c r="X158" s="20" t="s">
        <v>3836</v>
      </c>
      <c r="Y158" s="21">
        <v>46300</v>
      </c>
      <c r="Z158" s="20" t="s">
        <v>4032</v>
      </c>
    </row>
    <row r="159" spans="1:26" x14ac:dyDescent="0.25">
      <c r="A159" s="9">
        <f t="shared" si="2"/>
        <v>152</v>
      </c>
      <c r="B159" s="19" t="s">
        <v>4027</v>
      </c>
      <c r="C159" s="20" t="s">
        <v>3829</v>
      </c>
      <c r="D159" s="20" t="s">
        <v>4240</v>
      </c>
      <c r="E159" s="20" t="s">
        <v>26</v>
      </c>
      <c r="F159" s="20" t="s">
        <v>4238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58</v>
      </c>
      <c r="L159" s="20" t="s">
        <v>4239</v>
      </c>
      <c r="M159" s="20" t="s">
        <v>259</v>
      </c>
      <c r="N159" s="22" t="s">
        <v>250</v>
      </c>
      <c r="O159" s="20" t="s">
        <v>3847</v>
      </c>
      <c r="P159" s="20" t="s">
        <v>613</v>
      </c>
      <c r="Q159" s="20" t="s">
        <v>614</v>
      </c>
      <c r="R159" s="20" t="s">
        <v>337</v>
      </c>
      <c r="S159" s="20" t="s">
        <v>32</v>
      </c>
      <c r="T159" s="20" t="s">
        <v>195</v>
      </c>
      <c r="U159" s="20" t="s">
        <v>4037</v>
      </c>
      <c r="V159" s="21"/>
      <c r="W159" s="21">
        <v>46299</v>
      </c>
      <c r="X159" s="20" t="s">
        <v>3836</v>
      </c>
      <c r="Y159" s="21">
        <v>46300</v>
      </c>
      <c r="Z159" s="20" t="s">
        <v>4032</v>
      </c>
    </row>
    <row r="160" spans="1:26" x14ac:dyDescent="0.25">
      <c r="A160" s="9">
        <f t="shared" si="2"/>
        <v>153</v>
      </c>
      <c r="B160" s="19" t="s">
        <v>4027</v>
      </c>
      <c r="C160" s="20" t="s">
        <v>3829</v>
      </c>
      <c r="D160" s="20" t="s">
        <v>4241</v>
      </c>
      <c r="E160" s="20" t="s">
        <v>26</v>
      </c>
      <c r="F160" s="20" t="s">
        <v>4242</v>
      </c>
      <c r="G160" s="20" t="s">
        <v>25</v>
      </c>
      <c r="H160" s="20" t="s">
        <v>26</v>
      </c>
      <c r="I160" s="21">
        <v>46299</v>
      </c>
      <c r="J160" s="20" t="s">
        <v>82</v>
      </c>
      <c r="K160" s="20" t="s">
        <v>28</v>
      </c>
      <c r="L160" s="20" t="s">
        <v>4243</v>
      </c>
      <c r="M160" s="20" t="s">
        <v>259</v>
      </c>
      <c r="N160" s="22" t="s">
        <v>250</v>
      </c>
      <c r="O160" s="20" t="s">
        <v>3847</v>
      </c>
      <c r="P160" s="20" t="s">
        <v>613</v>
      </c>
      <c r="Q160" s="20" t="s">
        <v>614</v>
      </c>
      <c r="R160" s="20" t="s">
        <v>337</v>
      </c>
      <c r="S160" s="20" t="s">
        <v>32</v>
      </c>
      <c r="T160" s="20" t="s">
        <v>195</v>
      </c>
      <c r="U160" s="20" t="s">
        <v>4037</v>
      </c>
      <c r="V160" s="21"/>
      <c r="W160" s="21">
        <v>46299</v>
      </c>
      <c r="X160" s="20" t="s">
        <v>3836</v>
      </c>
      <c r="Y160" s="21">
        <v>46300</v>
      </c>
      <c r="Z160" s="20" t="s">
        <v>4032</v>
      </c>
    </row>
    <row r="161" spans="1:26" x14ac:dyDescent="0.25">
      <c r="A161" s="9">
        <f t="shared" si="2"/>
        <v>154</v>
      </c>
      <c r="B161" s="19" t="s">
        <v>4027</v>
      </c>
      <c r="C161" s="20" t="s">
        <v>3829</v>
      </c>
      <c r="D161" s="20" t="s">
        <v>4244</v>
      </c>
      <c r="E161" s="20" t="s">
        <v>26</v>
      </c>
      <c r="F161" s="20" t="s">
        <v>4245</v>
      </c>
      <c r="G161" s="20" t="s">
        <v>25</v>
      </c>
      <c r="H161" s="20" t="s">
        <v>26</v>
      </c>
      <c r="I161" s="21">
        <v>46299</v>
      </c>
      <c r="J161" s="20" t="s">
        <v>36</v>
      </c>
      <c r="K161" s="20" t="s">
        <v>28</v>
      </c>
      <c r="L161" s="20" t="s">
        <v>4246</v>
      </c>
      <c r="M161" s="20" t="s">
        <v>259</v>
      </c>
      <c r="N161" s="22" t="s">
        <v>250</v>
      </c>
      <c r="O161" s="20" t="s">
        <v>3847</v>
      </c>
      <c r="P161" s="20" t="s">
        <v>148</v>
      </c>
      <c r="Q161" s="20" t="s">
        <v>149</v>
      </c>
      <c r="R161" s="20" t="s">
        <v>61</v>
      </c>
      <c r="S161" s="20" t="s">
        <v>32</v>
      </c>
      <c r="T161" s="20" t="s">
        <v>315</v>
      </c>
      <c r="U161" s="20" t="s">
        <v>4247</v>
      </c>
      <c r="V161" s="21"/>
      <c r="W161" s="21">
        <v>46299</v>
      </c>
      <c r="X161" s="20" t="s">
        <v>3836</v>
      </c>
      <c r="Y161" s="21">
        <v>46300</v>
      </c>
      <c r="Z161" s="20" t="s">
        <v>4032</v>
      </c>
    </row>
    <row r="162" spans="1:26" x14ac:dyDescent="0.25">
      <c r="A162" s="9">
        <f t="shared" si="2"/>
        <v>155</v>
      </c>
      <c r="B162" s="19" t="s">
        <v>4027</v>
      </c>
      <c r="C162" s="20" t="s">
        <v>3829</v>
      </c>
      <c r="D162" s="20" t="s">
        <v>4248</v>
      </c>
      <c r="E162" s="20" t="s">
        <v>26</v>
      </c>
      <c r="F162" s="20" t="s">
        <v>4245</v>
      </c>
      <c r="G162" s="20" t="s">
        <v>25</v>
      </c>
      <c r="H162" s="20" t="s">
        <v>26</v>
      </c>
      <c r="I162" s="21">
        <v>46299</v>
      </c>
      <c r="J162" s="20" t="s">
        <v>2903</v>
      </c>
      <c r="K162" s="20" t="s">
        <v>58</v>
      </c>
      <c r="L162" s="20" t="s">
        <v>4246</v>
      </c>
      <c r="M162" s="20" t="s">
        <v>259</v>
      </c>
      <c r="N162" s="22" t="s">
        <v>250</v>
      </c>
      <c r="O162" s="20" t="s">
        <v>3847</v>
      </c>
      <c r="P162" s="20" t="s">
        <v>148</v>
      </c>
      <c r="Q162" s="20" t="s">
        <v>149</v>
      </c>
      <c r="R162" s="20" t="s">
        <v>61</v>
      </c>
      <c r="S162" s="20" t="s">
        <v>32</v>
      </c>
      <c r="T162" s="20" t="s">
        <v>315</v>
      </c>
      <c r="U162" s="20" t="s">
        <v>4247</v>
      </c>
      <c r="V162" s="21"/>
      <c r="W162" s="21">
        <v>46299</v>
      </c>
      <c r="X162" s="20" t="s">
        <v>3836</v>
      </c>
      <c r="Y162" s="21">
        <v>46300</v>
      </c>
      <c r="Z162" s="20" t="s">
        <v>4032</v>
      </c>
    </row>
    <row r="163" spans="1:26" x14ac:dyDescent="0.25">
      <c r="A163" s="9">
        <f t="shared" si="2"/>
        <v>156</v>
      </c>
      <c r="B163" s="19" t="s">
        <v>3828</v>
      </c>
      <c r="C163" s="20" t="s">
        <v>3829</v>
      </c>
      <c r="D163" s="20" t="s">
        <v>3913</v>
      </c>
      <c r="E163" s="20" t="s">
        <v>3914</v>
      </c>
      <c r="F163" s="20" t="s">
        <v>3915</v>
      </c>
      <c r="G163" s="20" t="s">
        <v>273</v>
      </c>
      <c r="H163" s="20" t="s">
        <v>26</v>
      </c>
      <c r="I163" s="21">
        <v>46295</v>
      </c>
      <c r="J163" s="20" t="s">
        <v>82</v>
      </c>
      <c r="K163" s="20" t="s">
        <v>28</v>
      </c>
      <c r="L163" s="20" t="s">
        <v>3916</v>
      </c>
      <c r="M163" s="20" t="s">
        <v>259</v>
      </c>
      <c r="N163" s="22" t="s">
        <v>250</v>
      </c>
      <c r="O163" s="20" t="s">
        <v>3834</v>
      </c>
      <c r="P163" s="20" t="s">
        <v>41</v>
      </c>
      <c r="Q163" s="20" t="s">
        <v>42</v>
      </c>
      <c r="R163" s="20" t="s">
        <v>26</v>
      </c>
      <c r="S163" s="20" t="s">
        <v>32</v>
      </c>
      <c r="T163" s="20" t="s">
        <v>685</v>
      </c>
      <c r="U163" s="20" t="s">
        <v>3917</v>
      </c>
      <c r="V163" s="21"/>
      <c r="W163" s="21">
        <v>46295</v>
      </c>
      <c r="X163" s="20" t="s">
        <v>3836</v>
      </c>
      <c r="Y163" s="21">
        <v>46295</v>
      </c>
      <c r="Z163" s="20" t="s">
        <v>226</v>
      </c>
    </row>
    <row r="164" spans="1:26" x14ac:dyDescent="0.25">
      <c r="A164" s="9">
        <f t="shared" si="2"/>
        <v>157</v>
      </c>
      <c r="B164" s="19" t="s">
        <v>3828</v>
      </c>
      <c r="C164" s="20" t="s">
        <v>3829</v>
      </c>
      <c r="D164" s="20" t="s">
        <v>3918</v>
      </c>
      <c r="E164" s="20" t="s">
        <v>3919</v>
      </c>
      <c r="F164" s="20" t="s">
        <v>3920</v>
      </c>
      <c r="G164" s="20" t="s">
        <v>273</v>
      </c>
      <c r="H164" s="20" t="s">
        <v>26</v>
      </c>
      <c r="I164" s="21">
        <v>46295</v>
      </c>
      <c r="J164" s="20" t="s">
        <v>52</v>
      </c>
      <c r="K164" s="20" t="s">
        <v>28</v>
      </c>
      <c r="L164" s="20" t="s">
        <v>3921</v>
      </c>
      <c r="M164" s="20" t="s">
        <v>259</v>
      </c>
      <c r="N164" s="22" t="s">
        <v>250</v>
      </c>
      <c r="O164" s="20" t="s">
        <v>3834</v>
      </c>
      <c r="P164" s="20" t="s">
        <v>148</v>
      </c>
      <c r="Q164" s="20" t="s">
        <v>149</v>
      </c>
      <c r="R164" s="20" t="s">
        <v>54</v>
      </c>
      <c r="S164" s="20" t="s">
        <v>32</v>
      </c>
      <c r="T164" s="20" t="s">
        <v>685</v>
      </c>
      <c r="U164" s="20" t="s">
        <v>3922</v>
      </c>
      <c r="V164" s="21"/>
      <c r="W164" s="21">
        <v>46295</v>
      </c>
      <c r="X164" s="20" t="s">
        <v>3836</v>
      </c>
      <c r="Y164" s="21">
        <v>46295</v>
      </c>
      <c r="Z164" s="20" t="s">
        <v>226</v>
      </c>
    </row>
    <row r="165" spans="1:26" x14ac:dyDescent="0.25">
      <c r="A165" s="9">
        <f t="shared" si="2"/>
        <v>158</v>
      </c>
      <c r="B165" s="19" t="s">
        <v>4249</v>
      </c>
      <c r="C165" s="20" t="s">
        <v>3829</v>
      </c>
      <c r="D165" s="20" t="s">
        <v>4250</v>
      </c>
      <c r="E165" s="20" t="s">
        <v>4251</v>
      </c>
      <c r="F165" s="20" t="s">
        <v>4252</v>
      </c>
      <c r="G165" s="20" t="s">
        <v>25</v>
      </c>
      <c r="H165" s="20" t="s">
        <v>26</v>
      </c>
      <c r="I165" s="21">
        <v>46297</v>
      </c>
      <c r="J165" s="20" t="s">
        <v>116</v>
      </c>
      <c r="K165" s="20" t="s">
        <v>28</v>
      </c>
      <c r="L165" s="20" t="s">
        <v>4253</v>
      </c>
      <c r="M165" s="20" t="s">
        <v>259</v>
      </c>
      <c r="N165" s="22" t="s">
        <v>250</v>
      </c>
      <c r="O165" s="20" t="s">
        <v>3847</v>
      </c>
      <c r="P165" s="20" t="s">
        <v>148</v>
      </c>
      <c r="Q165" s="20" t="s">
        <v>149</v>
      </c>
      <c r="R165" s="20" t="s">
        <v>49</v>
      </c>
      <c r="S165" s="20" t="s">
        <v>32</v>
      </c>
      <c r="T165" s="20" t="s">
        <v>195</v>
      </c>
      <c r="U165" s="20" t="s">
        <v>4254</v>
      </c>
      <c r="V165" s="21"/>
      <c r="W165" s="21">
        <v>46297</v>
      </c>
      <c r="X165" s="20" t="s">
        <v>3836</v>
      </c>
      <c r="Y165" s="21">
        <v>46297</v>
      </c>
      <c r="Z165" s="20" t="s">
        <v>226</v>
      </c>
    </row>
    <row r="166" spans="1:26" x14ac:dyDescent="0.25">
      <c r="A166" s="9">
        <f t="shared" si="2"/>
        <v>159</v>
      </c>
      <c r="B166" s="19" t="s">
        <v>4249</v>
      </c>
      <c r="C166" s="20" t="s">
        <v>3829</v>
      </c>
      <c r="D166" s="20" t="s">
        <v>4255</v>
      </c>
      <c r="E166" s="20" t="s">
        <v>4256</v>
      </c>
      <c r="F166" s="20" t="s">
        <v>4257</v>
      </c>
      <c r="G166" s="20" t="s">
        <v>25</v>
      </c>
      <c r="H166" s="20" t="s">
        <v>26</v>
      </c>
      <c r="I166" s="21">
        <v>46297</v>
      </c>
      <c r="J166" s="20" t="s">
        <v>52</v>
      </c>
      <c r="K166" s="20" t="s">
        <v>28</v>
      </c>
      <c r="L166" s="20" t="s">
        <v>4258</v>
      </c>
      <c r="M166" s="20" t="s">
        <v>259</v>
      </c>
      <c r="N166" s="22" t="s">
        <v>250</v>
      </c>
      <c r="O166" s="20" t="s">
        <v>3847</v>
      </c>
      <c r="P166" s="20" t="s">
        <v>148</v>
      </c>
      <c r="Q166" s="20" t="s">
        <v>149</v>
      </c>
      <c r="R166" s="20" t="s">
        <v>26</v>
      </c>
      <c r="S166" s="20" t="s">
        <v>32</v>
      </c>
      <c r="T166" s="20" t="s">
        <v>195</v>
      </c>
      <c r="U166" s="20" t="s">
        <v>4259</v>
      </c>
      <c r="V166" s="21"/>
      <c r="W166" s="21">
        <v>46297</v>
      </c>
      <c r="X166" s="20" t="s">
        <v>3836</v>
      </c>
      <c r="Y166" s="21">
        <v>46297</v>
      </c>
      <c r="Z166" s="20" t="s">
        <v>226</v>
      </c>
    </row>
    <row r="167" spans="1:26" x14ac:dyDescent="0.25">
      <c r="A167" s="9">
        <f t="shared" si="2"/>
        <v>160</v>
      </c>
      <c r="B167" s="19" t="s">
        <v>4249</v>
      </c>
      <c r="C167" s="20" t="s">
        <v>3829</v>
      </c>
      <c r="D167" s="20" t="s">
        <v>4260</v>
      </c>
      <c r="E167" s="20" t="s">
        <v>4261</v>
      </c>
      <c r="F167" s="20" t="s">
        <v>4262</v>
      </c>
      <c r="G167" s="20" t="s">
        <v>25</v>
      </c>
      <c r="H167" s="20" t="s">
        <v>26</v>
      </c>
      <c r="I167" s="21">
        <v>46297</v>
      </c>
      <c r="J167" s="20" t="s">
        <v>82</v>
      </c>
      <c r="K167" s="20" t="s">
        <v>28</v>
      </c>
      <c r="L167" s="20" t="s">
        <v>4263</v>
      </c>
      <c r="M167" s="20" t="s">
        <v>259</v>
      </c>
      <c r="N167" s="22" t="s">
        <v>250</v>
      </c>
      <c r="O167" s="20" t="s">
        <v>3847</v>
      </c>
      <c r="P167" s="20" t="s">
        <v>148</v>
      </c>
      <c r="Q167" s="20" t="s">
        <v>149</v>
      </c>
      <c r="R167" s="20" t="s">
        <v>150</v>
      </c>
      <c r="S167" s="20" t="s">
        <v>32</v>
      </c>
      <c r="T167" s="20" t="s">
        <v>367</v>
      </c>
      <c r="U167" s="20" t="s">
        <v>4264</v>
      </c>
      <c r="V167" s="21"/>
      <c r="W167" s="21">
        <v>46297</v>
      </c>
      <c r="X167" s="20" t="s">
        <v>3836</v>
      </c>
      <c r="Y167" s="21">
        <v>46297</v>
      </c>
      <c r="Z167" s="20" t="s">
        <v>226</v>
      </c>
    </row>
    <row r="168" spans="1:26" x14ac:dyDescent="0.25">
      <c r="A168" s="9">
        <f t="shared" si="2"/>
        <v>161</v>
      </c>
      <c r="B168" s="19" t="s">
        <v>4249</v>
      </c>
      <c r="C168" s="20" t="s">
        <v>3829</v>
      </c>
      <c r="D168" s="20" t="s">
        <v>4265</v>
      </c>
      <c r="E168" s="20" t="s">
        <v>4266</v>
      </c>
      <c r="F168" s="20" t="s">
        <v>4267</v>
      </c>
      <c r="G168" s="20" t="s">
        <v>25</v>
      </c>
      <c r="H168" s="20" t="s">
        <v>26</v>
      </c>
      <c r="I168" s="21">
        <v>46297</v>
      </c>
      <c r="J168" s="20" t="s">
        <v>52</v>
      </c>
      <c r="K168" s="20" t="s">
        <v>28</v>
      </c>
      <c r="L168" s="20" t="s">
        <v>4268</v>
      </c>
      <c r="M168" s="20" t="s">
        <v>259</v>
      </c>
      <c r="N168" s="22" t="s">
        <v>250</v>
      </c>
      <c r="O168" s="20" t="s">
        <v>3847</v>
      </c>
      <c r="P168" s="20" t="s">
        <v>148</v>
      </c>
      <c r="Q168" s="20" t="s">
        <v>149</v>
      </c>
      <c r="R168" s="20" t="s">
        <v>26</v>
      </c>
      <c r="S168" s="20" t="s">
        <v>32</v>
      </c>
      <c r="T168" s="20" t="s">
        <v>195</v>
      </c>
      <c r="U168" s="20" t="s">
        <v>4269</v>
      </c>
      <c r="V168" s="21"/>
      <c r="W168" s="21">
        <v>46297</v>
      </c>
      <c r="X168" s="20" t="s">
        <v>3836</v>
      </c>
      <c r="Y168" s="21">
        <v>46297</v>
      </c>
      <c r="Z168" s="20" t="s">
        <v>226</v>
      </c>
    </row>
    <row r="169" spans="1:26" x14ac:dyDescent="0.25">
      <c r="A169" s="9">
        <f t="shared" si="2"/>
        <v>162</v>
      </c>
      <c r="B169" s="19" t="s">
        <v>3828</v>
      </c>
      <c r="C169" s="20" t="s">
        <v>3829</v>
      </c>
      <c r="D169" s="20" t="s">
        <v>3923</v>
      </c>
      <c r="E169" s="20" t="s">
        <v>3924</v>
      </c>
      <c r="F169" s="20" t="s">
        <v>3925</v>
      </c>
      <c r="G169" s="20" t="s">
        <v>273</v>
      </c>
      <c r="H169" s="20" t="s">
        <v>26</v>
      </c>
      <c r="I169" s="21">
        <v>46295</v>
      </c>
      <c r="J169" s="20" t="s">
        <v>82</v>
      </c>
      <c r="K169" s="20" t="s">
        <v>28</v>
      </c>
      <c r="L169" s="20" t="s">
        <v>3926</v>
      </c>
      <c r="M169" s="20" t="s">
        <v>263</v>
      </c>
      <c r="N169" s="22" t="s">
        <v>250</v>
      </c>
      <c r="O169" s="20" t="s">
        <v>3834</v>
      </c>
      <c r="P169" s="20" t="s">
        <v>41</v>
      </c>
      <c r="Q169" s="20" t="s">
        <v>42</v>
      </c>
      <c r="R169" s="20" t="s">
        <v>26</v>
      </c>
      <c r="S169" s="20" t="s">
        <v>32</v>
      </c>
      <c r="T169" s="20" t="s">
        <v>685</v>
      </c>
      <c r="U169" s="20" t="s">
        <v>3927</v>
      </c>
      <c r="V169" s="21"/>
      <c r="W169" s="21">
        <v>46295</v>
      </c>
      <c r="X169" s="20" t="s">
        <v>3836</v>
      </c>
      <c r="Y169" s="21">
        <v>46295</v>
      </c>
      <c r="Z169" s="20" t="s">
        <v>226</v>
      </c>
    </row>
    <row r="170" spans="1:26" x14ac:dyDescent="0.25">
      <c r="A170" s="9">
        <f t="shared" si="2"/>
        <v>163</v>
      </c>
      <c r="B170" s="19" t="s">
        <v>3893</v>
      </c>
      <c r="C170" s="20" t="s">
        <v>3829</v>
      </c>
      <c r="D170" s="20" t="s">
        <v>3933</v>
      </c>
      <c r="E170" s="20" t="s">
        <v>3934</v>
      </c>
      <c r="F170" s="20" t="s">
        <v>3934</v>
      </c>
      <c r="G170" s="20" t="s">
        <v>194</v>
      </c>
      <c r="H170" s="20" t="s">
        <v>26</v>
      </c>
      <c r="I170" s="21">
        <v>46290</v>
      </c>
      <c r="J170" s="20" t="s">
        <v>82</v>
      </c>
      <c r="K170" s="20" t="s">
        <v>28</v>
      </c>
      <c r="L170" s="20" t="s">
        <v>3935</v>
      </c>
      <c r="M170" s="20" t="s">
        <v>278</v>
      </c>
      <c r="N170" s="22" t="s">
        <v>250</v>
      </c>
      <c r="O170" s="20" t="s">
        <v>3847</v>
      </c>
      <c r="P170" s="20" t="s">
        <v>26</v>
      </c>
      <c r="Q170" s="20" t="s">
        <v>26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/>
      <c r="W170" s="21">
        <v>46290</v>
      </c>
      <c r="X170" s="20" t="s">
        <v>3836</v>
      </c>
      <c r="Y170" s="21">
        <v>46290</v>
      </c>
      <c r="Z170" s="20" t="s">
        <v>226</v>
      </c>
    </row>
    <row r="171" spans="1:26" x14ac:dyDescent="0.25">
      <c r="A171" s="9">
        <f t="shared" si="2"/>
        <v>164</v>
      </c>
      <c r="B171" s="19" t="s">
        <v>4270</v>
      </c>
      <c r="C171" s="20" t="s">
        <v>4283</v>
      </c>
      <c r="D171" s="20" t="s">
        <v>4288</v>
      </c>
      <c r="E171" s="20" t="s">
        <v>4289</v>
      </c>
      <c r="F171" s="20" t="s">
        <v>4290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28</v>
      </c>
      <c r="L171" s="20" t="s">
        <v>4280</v>
      </c>
      <c r="M171" s="20" t="s">
        <v>278</v>
      </c>
      <c r="N171" s="22" t="s">
        <v>250</v>
      </c>
      <c r="O171" s="20" t="s">
        <v>3847</v>
      </c>
      <c r="P171" s="20" t="s">
        <v>613</v>
      </c>
      <c r="Q171" s="20" t="s">
        <v>614</v>
      </c>
      <c r="R171" s="20" t="s">
        <v>26</v>
      </c>
      <c r="S171" s="20" t="s">
        <v>32</v>
      </c>
      <c r="T171" s="20" t="s">
        <v>195</v>
      </c>
      <c r="U171" s="20" t="s">
        <v>4281</v>
      </c>
      <c r="V171" s="21"/>
      <c r="W171" s="21">
        <v>46299</v>
      </c>
      <c r="X171" s="20" t="s">
        <v>3836</v>
      </c>
      <c r="Y171" s="21">
        <v>46300</v>
      </c>
      <c r="Z171" s="20" t="s">
        <v>4032</v>
      </c>
    </row>
    <row r="172" spans="1:26" x14ac:dyDescent="0.25">
      <c r="A172" s="9">
        <f t="shared" si="2"/>
        <v>165</v>
      </c>
      <c r="B172" s="19" t="s">
        <v>4270</v>
      </c>
      <c r="C172" s="20" t="s">
        <v>4283</v>
      </c>
      <c r="D172" s="20" t="s">
        <v>4291</v>
      </c>
      <c r="E172" s="20" t="s">
        <v>4289</v>
      </c>
      <c r="F172" s="20" t="s">
        <v>4290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58</v>
      </c>
      <c r="L172" s="20" t="s">
        <v>4280</v>
      </c>
      <c r="M172" s="20" t="s">
        <v>278</v>
      </c>
      <c r="N172" s="22" t="s">
        <v>250</v>
      </c>
      <c r="O172" s="20" t="s">
        <v>3847</v>
      </c>
      <c r="P172" s="20" t="s">
        <v>613</v>
      </c>
      <c r="Q172" s="20" t="s">
        <v>614</v>
      </c>
      <c r="R172" s="20" t="s">
        <v>26</v>
      </c>
      <c r="S172" s="20" t="s">
        <v>32</v>
      </c>
      <c r="T172" s="20" t="s">
        <v>195</v>
      </c>
      <c r="U172" s="20" t="s">
        <v>4281</v>
      </c>
      <c r="V172" s="21"/>
      <c r="W172" s="21">
        <v>46299</v>
      </c>
      <c r="X172" s="20" t="s">
        <v>3836</v>
      </c>
      <c r="Y172" s="21">
        <v>46300</v>
      </c>
      <c r="Z172" s="20" t="s">
        <v>4032</v>
      </c>
    </row>
    <row r="173" spans="1:26" x14ac:dyDescent="0.25">
      <c r="A173" s="9">
        <f t="shared" si="2"/>
        <v>166</v>
      </c>
      <c r="B173" s="19" t="s">
        <v>4249</v>
      </c>
      <c r="C173" s="20" t="s">
        <v>3829</v>
      </c>
      <c r="D173" s="20" t="s">
        <v>4301</v>
      </c>
      <c r="E173" s="20" t="s">
        <v>4302</v>
      </c>
      <c r="F173" s="20" t="s">
        <v>4303</v>
      </c>
      <c r="G173" s="20" t="s">
        <v>25</v>
      </c>
      <c r="H173" s="20" t="s">
        <v>26</v>
      </c>
      <c r="I173" s="21">
        <v>46297</v>
      </c>
      <c r="J173" s="20" t="s">
        <v>36</v>
      </c>
      <c r="K173" s="20" t="s">
        <v>28</v>
      </c>
      <c r="L173" s="20" t="s">
        <v>4304</v>
      </c>
      <c r="M173" s="20" t="s">
        <v>269</v>
      </c>
      <c r="N173" s="22" t="s">
        <v>250</v>
      </c>
      <c r="O173" s="20" t="s">
        <v>3847</v>
      </c>
      <c r="P173" s="20" t="s">
        <v>148</v>
      </c>
      <c r="Q173" s="20" t="s">
        <v>149</v>
      </c>
      <c r="R173" s="20" t="s">
        <v>69</v>
      </c>
      <c r="S173" s="20" t="s">
        <v>32</v>
      </c>
      <c r="T173" s="20" t="s">
        <v>195</v>
      </c>
      <c r="U173" s="20" t="s">
        <v>4305</v>
      </c>
      <c r="V173" s="21"/>
      <c r="W173" s="21">
        <v>46297</v>
      </c>
      <c r="X173" s="20" t="s">
        <v>3836</v>
      </c>
      <c r="Y173" s="21">
        <v>46297</v>
      </c>
      <c r="Z173" s="20" t="s">
        <v>226</v>
      </c>
    </row>
    <row r="174" spans="1:26" x14ac:dyDescent="0.25">
      <c r="A174" s="9">
        <f t="shared" si="2"/>
        <v>167</v>
      </c>
      <c r="B174" s="19" t="s">
        <v>4270</v>
      </c>
      <c r="C174" s="20" t="s">
        <v>4271</v>
      </c>
      <c r="D174" s="20" t="s">
        <v>4272</v>
      </c>
      <c r="E174" s="20" t="s">
        <v>4273</v>
      </c>
      <c r="F174" s="20" t="s">
        <v>4274</v>
      </c>
      <c r="G174" s="20" t="s">
        <v>25</v>
      </c>
      <c r="H174" s="20" t="s">
        <v>26</v>
      </c>
      <c r="I174" s="21">
        <v>46299</v>
      </c>
      <c r="J174" s="20" t="s">
        <v>36</v>
      </c>
      <c r="K174" s="20" t="s">
        <v>28</v>
      </c>
      <c r="L174" s="20" t="s">
        <v>4275</v>
      </c>
      <c r="M174" s="20" t="s">
        <v>776</v>
      </c>
      <c r="N174" s="22" t="s">
        <v>250</v>
      </c>
      <c r="O174" s="20" t="s">
        <v>3847</v>
      </c>
      <c r="P174" s="20" t="s">
        <v>148</v>
      </c>
      <c r="Q174" s="20" t="s">
        <v>149</v>
      </c>
      <c r="R174" s="20" t="s">
        <v>26</v>
      </c>
      <c r="S174" s="20" t="s">
        <v>32</v>
      </c>
      <c r="T174" s="20" t="s">
        <v>195</v>
      </c>
      <c r="U174" s="20" t="s">
        <v>4276</v>
      </c>
      <c r="V174" s="21"/>
      <c r="W174" s="21">
        <v>46299</v>
      </c>
      <c r="X174" s="20" t="s">
        <v>3836</v>
      </c>
      <c r="Y174" s="21">
        <v>46300</v>
      </c>
      <c r="Z174" s="20" t="s">
        <v>4032</v>
      </c>
    </row>
    <row r="175" spans="1:26" x14ac:dyDescent="0.25">
      <c r="A175" s="9">
        <f t="shared" si="2"/>
        <v>168</v>
      </c>
      <c r="B175" s="19" t="s">
        <v>4270</v>
      </c>
      <c r="C175" s="20" t="s">
        <v>4283</v>
      </c>
      <c r="D175" s="20" t="s">
        <v>4284</v>
      </c>
      <c r="E175" s="20" t="s">
        <v>4285</v>
      </c>
      <c r="F175" s="20" t="s">
        <v>4286</v>
      </c>
      <c r="G175" s="20" t="s">
        <v>25</v>
      </c>
      <c r="H175" s="20" t="s">
        <v>26</v>
      </c>
      <c r="I175" s="21">
        <v>46299</v>
      </c>
      <c r="J175" s="20" t="s">
        <v>36</v>
      </c>
      <c r="K175" s="20" t="s">
        <v>28</v>
      </c>
      <c r="L175" s="20" t="s">
        <v>4275</v>
      </c>
      <c r="M175" s="20" t="s">
        <v>776</v>
      </c>
      <c r="N175" s="22" t="s">
        <v>250</v>
      </c>
      <c r="O175" s="20" t="s">
        <v>3847</v>
      </c>
      <c r="P175" s="20" t="s">
        <v>148</v>
      </c>
      <c r="Q175" s="20" t="s">
        <v>149</v>
      </c>
      <c r="R175" s="20" t="s">
        <v>26</v>
      </c>
      <c r="S175" s="20" t="s">
        <v>32</v>
      </c>
      <c r="T175" s="20" t="s">
        <v>195</v>
      </c>
      <c r="U175" s="20" t="s">
        <v>4287</v>
      </c>
      <c r="V175" s="21"/>
      <c r="W175" s="21">
        <v>46299</v>
      </c>
      <c r="X175" s="20" t="s">
        <v>3836</v>
      </c>
      <c r="Y175" s="21">
        <v>46300</v>
      </c>
      <c r="Z175" s="20" t="s">
        <v>4032</v>
      </c>
    </row>
    <row r="176" spans="1:26" x14ac:dyDescent="0.25">
      <c r="A176" s="9">
        <f t="shared" si="2"/>
        <v>169</v>
      </c>
      <c r="B176" s="19" t="s">
        <v>4306</v>
      </c>
      <c r="C176" s="20" t="s">
        <v>3829</v>
      </c>
      <c r="D176" s="20" t="s">
        <v>4307</v>
      </c>
      <c r="E176" s="20" t="s">
        <v>4308</v>
      </c>
      <c r="F176" s="20" t="s">
        <v>4309</v>
      </c>
      <c r="G176" s="20" t="s">
        <v>25</v>
      </c>
      <c r="H176" s="20" t="s">
        <v>26</v>
      </c>
      <c r="I176" s="21">
        <v>46272</v>
      </c>
      <c r="J176" s="20" t="s">
        <v>82</v>
      </c>
      <c r="K176" s="20" t="s">
        <v>28</v>
      </c>
      <c r="L176" s="20" t="s">
        <v>4310</v>
      </c>
      <c r="M176" s="20" t="s">
        <v>279</v>
      </c>
      <c r="N176" s="22" t="s">
        <v>250</v>
      </c>
      <c r="O176" s="20" t="s">
        <v>3847</v>
      </c>
      <c r="P176" s="20" t="s">
        <v>148</v>
      </c>
      <c r="Q176" s="20" t="s">
        <v>149</v>
      </c>
      <c r="R176" s="20" t="s">
        <v>126</v>
      </c>
      <c r="S176" s="20" t="s">
        <v>32</v>
      </c>
      <c r="T176" s="20" t="s">
        <v>281</v>
      </c>
      <c r="U176" s="20" t="s">
        <v>4311</v>
      </c>
      <c r="V176" s="21"/>
      <c r="W176" s="21">
        <v>46272</v>
      </c>
      <c r="X176" s="20" t="s">
        <v>4312</v>
      </c>
      <c r="Y176" s="21">
        <v>46272</v>
      </c>
      <c r="Z176" s="20" t="s">
        <v>226</v>
      </c>
    </row>
    <row r="177" spans="1:26" x14ac:dyDescent="0.25">
      <c r="A177" s="9">
        <f t="shared" si="2"/>
        <v>170</v>
      </c>
      <c r="B177" s="19" t="s">
        <v>3893</v>
      </c>
      <c r="C177" s="20" t="s">
        <v>3829</v>
      </c>
      <c r="D177" s="20" t="s">
        <v>3936</v>
      </c>
      <c r="E177" s="20" t="s">
        <v>3937</v>
      </c>
      <c r="F177" s="20" t="s">
        <v>3937</v>
      </c>
      <c r="G177" s="20" t="s">
        <v>194</v>
      </c>
      <c r="H177" s="20" t="s">
        <v>26</v>
      </c>
      <c r="I177" s="21">
        <v>46290</v>
      </c>
      <c r="J177" s="20" t="s">
        <v>82</v>
      </c>
      <c r="K177" s="20" t="s">
        <v>28</v>
      </c>
      <c r="L177" s="20" t="s">
        <v>3906</v>
      </c>
      <c r="M177" s="20" t="s">
        <v>279</v>
      </c>
      <c r="N177" s="22" t="s">
        <v>250</v>
      </c>
      <c r="O177" s="20" t="s">
        <v>3847</v>
      </c>
      <c r="P177" s="20" t="s">
        <v>26</v>
      </c>
      <c r="Q177" s="20" t="s">
        <v>26</v>
      </c>
      <c r="R177" s="20" t="s">
        <v>26</v>
      </c>
      <c r="S177" s="20" t="s">
        <v>32</v>
      </c>
      <c r="T177" s="20" t="s">
        <v>195</v>
      </c>
      <c r="U177" s="20" t="s">
        <v>26</v>
      </c>
      <c r="V177" s="21"/>
      <c r="W177" s="21">
        <v>46290</v>
      </c>
      <c r="X177" s="20" t="s">
        <v>3836</v>
      </c>
      <c r="Y177" s="21">
        <v>46290</v>
      </c>
      <c r="Z177" s="20" t="s">
        <v>226</v>
      </c>
    </row>
    <row r="178" spans="1:26" x14ac:dyDescent="0.25">
      <c r="A178" s="9">
        <f t="shared" si="2"/>
        <v>171</v>
      </c>
      <c r="B178" s="19" t="s">
        <v>3828</v>
      </c>
      <c r="C178" s="20" t="s">
        <v>3829</v>
      </c>
      <c r="D178" s="20" t="s">
        <v>3938</v>
      </c>
      <c r="E178" s="20" t="s">
        <v>3939</v>
      </c>
      <c r="F178" s="20" t="s">
        <v>3940</v>
      </c>
      <c r="G178" s="20" t="s">
        <v>25</v>
      </c>
      <c r="H178" s="20" t="s">
        <v>26</v>
      </c>
      <c r="I178" s="21">
        <v>46295</v>
      </c>
      <c r="J178" s="20" t="s">
        <v>82</v>
      </c>
      <c r="K178" s="20" t="s">
        <v>28</v>
      </c>
      <c r="L178" s="20" t="s">
        <v>3941</v>
      </c>
      <c r="M178" s="20" t="s">
        <v>279</v>
      </c>
      <c r="N178" s="22" t="s">
        <v>250</v>
      </c>
      <c r="O178" s="20" t="s">
        <v>3847</v>
      </c>
      <c r="P178" s="20" t="s">
        <v>148</v>
      </c>
      <c r="Q178" s="20" t="s">
        <v>149</v>
      </c>
      <c r="R178" s="20" t="s">
        <v>26</v>
      </c>
      <c r="S178" s="20" t="s">
        <v>32</v>
      </c>
      <c r="T178" s="20" t="s">
        <v>66</v>
      </c>
      <c r="U178" s="20" t="s">
        <v>3942</v>
      </c>
      <c r="V178" s="21"/>
      <c r="W178" s="21">
        <v>46295</v>
      </c>
      <c r="X178" s="20" t="s">
        <v>3836</v>
      </c>
      <c r="Y178" s="21">
        <v>46295</v>
      </c>
      <c r="Z178" s="20" t="s">
        <v>226</v>
      </c>
    </row>
    <row r="179" spans="1:26" x14ac:dyDescent="0.25">
      <c r="A179" s="9">
        <f t="shared" si="2"/>
        <v>172</v>
      </c>
      <c r="B179" s="19" t="s">
        <v>4270</v>
      </c>
      <c r="C179" s="20" t="s">
        <v>4271</v>
      </c>
      <c r="D179" s="20" t="s">
        <v>4292</v>
      </c>
      <c r="E179" s="20" t="s">
        <v>4293</v>
      </c>
      <c r="F179" s="20" t="s">
        <v>4294</v>
      </c>
      <c r="G179" s="20" t="s">
        <v>25</v>
      </c>
      <c r="H179" s="20" t="s">
        <v>26</v>
      </c>
      <c r="I179" s="21">
        <v>46299</v>
      </c>
      <c r="J179" s="20" t="s">
        <v>36</v>
      </c>
      <c r="K179" s="20" t="s">
        <v>28</v>
      </c>
      <c r="L179" s="20" t="s">
        <v>4295</v>
      </c>
      <c r="M179" s="20" t="s">
        <v>279</v>
      </c>
      <c r="N179" s="22" t="s">
        <v>250</v>
      </c>
      <c r="O179" s="20" t="s">
        <v>3847</v>
      </c>
      <c r="P179" s="20" t="s">
        <v>148</v>
      </c>
      <c r="Q179" s="20" t="s">
        <v>149</v>
      </c>
      <c r="R179" s="20" t="s">
        <v>1235</v>
      </c>
      <c r="S179" s="20" t="s">
        <v>32</v>
      </c>
      <c r="T179" s="20" t="s">
        <v>73</v>
      </c>
      <c r="U179" s="20" t="s">
        <v>4296</v>
      </c>
      <c r="V179" s="21"/>
      <c r="W179" s="21">
        <v>46299</v>
      </c>
      <c r="X179" s="20" t="s">
        <v>3836</v>
      </c>
      <c r="Y179" s="21">
        <v>46300</v>
      </c>
      <c r="Z179" s="20" t="s">
        <v>4032</v>
      </c>
    </row>
    <row r="180" spans="1:26" x14ac:dyDescent="0.25">
      <c r="A180" s="9">
        <f t="shared" si="2"/>
        <v>173</v>
      </c>
      <c r="B180" s="19" t="s">
        <v>4270</v>
      </c>
      <c r="C180" s="20" t="s">
        <v>4271</v>
      </c>
      <c r="D180" s="20" t="s">
        <v>4277</v>
      </c>
      <c r="E180" s="20" t="s">
        <v>4278</v>
      </c>
      <c r="F180" s="20" t="s">
        <v>4279</v>
      </c>
      <c r="G180" s="20" t="s">
        <v>25</v>
      </c>
      <c r="H180" s="20" t="s">
        <v>26</v>
      </c>
      <c r="I180" s="21">
        <v>46299</v>
      </c>
      <c r="J180" s="20" t="s">
        <v>36</v>
      </c>
      <c r="K180" s="20" t="s">
        <v>28</v>
      </c>
      <c r="L180" s="20" t="s">
        <v>4280</v>
      </c>
      <c r="M180" s="20" t="s">
        <v>279</v>
      </c>
      <c r="N180" s="22" t="s">
        <v>250</v>
      </c>
      <c r="O180" s="20" t="s">
        <v>3847</v>
      </c>
      <c r="P180" s="20" t="s">
        <v>613</v>
      </c>
      <c r="Q180" s="20" t="s">
        <v>614</v>
      </c>
      <c r="R180" s="20" t="s">
        <v>26</v>
      </c>
      <c r="S180" s="20" t="s">
        <v>32</v>
      </c>
      <c r="T180" s="20" t="s">
        <v>195</v>
      </c>
      <c r="U180" s="20" t="s">
        <v>4281</v>
      </c>
      <c r="V180" s="21"/>
      <c r="W180" s="21">
        <v>46299</v>
      </c>
      <c r="X180" s="20" t="s">
        <v>3836</v>
      </c>
      <c r="Y180" s="21">
        <v>46300</v>
      </c>
      <c r="Z180" s="20" t="s">
        <v>4032</v>
      </c>
    </row>
    <row r="181" spans="1:26" x14ac:dyDescent="0.25">
      <c r="A181" s="9">
        <f t="shared" si="2"/>
        <v>174</v>
      </c>
      <c r="B181" s="19" t="s">
        <v>4270</v>
      </c>
      <c r="C181" s="20" t="s">
        <v>4271</v>
      </c>
      <c r="D181" s="20" t="s">
        <v>4282</v>
      </c>
      <c r="E181" s="20" t="s">
        <v>4278</v>
      </c>
      <c r="F181" s="20" t="s">
        <v>4279</v>
      </c>
      <c r="G181" s="20" t="s">
        <v>25</v>
      </c>
      <c r="H181" s="20" t="s">
        <v>26</v>
      </c>
      <c r="I181" s="21">
        <v>46299</v>
      </c>
      <c r="J181" s="20" t="s">
        <v>36</v>
      </c>
      <c r="K181" s="20" t="s">
        <v>58</v>
      </c>
      <c r="L181" s="20" t="s">
        <v>4280</v>
      </c>
      <c r="M181" s="20" t="s">
        <v>279</v>
      </c>
      <c r="N181" s="22" t="s">
        <v>250</v>
      </c>
      <c r="O181" s="20" t="s">
        <v>3847</v>
      </c>
      <c r="P181" s="20" t="s">
        <v>613</v>
      </c>
      <c r="Q181" s="20" t="s">
        <v>614</v>
      </c>
      <c r="R181" s="20" t="s">
        <v>26</v>
      </c>
      <c r="S181" s="20" t="s">
        <v>32</v>
      </c>
      <c r="T181" s="20" t="s">
        <v>195</v>
      </c>
      <c r="U181" s="20" t="s">
        <v>4281</v>
      </c>
      <c r="V181" s="21"/>
      <c r="W181" s="21">
        <v>46299</v>
      </c>
      <c r="X181" s="20" t="s">
        <v>3836</v>
      </c>
      <c r="Y181" s="21">
        <v>46300</v>
      </c>
      <c r="Z181" s="20" t="s">
        <v>4032</v>
      </c>
    </row>
    <row r="182" spans="1:26" x14ac:dyDescent="0.25">
      <c r="A182" s="9">
        <f t="shared" si="2"/>
        <v>175</v>
      </c>
      <c r="B182" s="19" t="s">
        <v>4270</v>
      </c>
      <c r="C182" s="20" t="s">
        <v>4283</v>
      </c>
      <c r="D182" s="20" t="s">
        <v>4297</v>
      </c>
      <c r="E182" s="20" t="s">
        <v>4298</v>
      </c>
      <c r="F182" s="20" t="s">
        <v>4299</v>
      </c>
      <c r="G182" s="20" t="s">
        <v>25</v>
      </c>
      <c r="H182" s="20" t="s">
        <v>26</v>
      </c>
      <c r="I182" s="21">
        <v>46299</v>
      </c>
      <c r="J182" s="20" t="s">
        <v>36</v>
      </c>
      <c r="K182" s="20" t="s">
        <v>28</v>
      </c>
      <c r="L182" s="20" t="s">
        <v>4295</v>
      </c>
      <c r="M182" s="20" t="s">
        <v>279</v>
      </c>
      <c r="N182" s="22" t="s">
        <v>250</v>
      </c>
      <c r="O182" s="20" t="s">
        <v>3847</v>
      </c>
      <c r="P182" s="20" t="s">
        <v>148</v>
      </c>
      <c r="Q182" s="20" t="s">
        <v>149</v>
      </c>
      <c r="R182" s="20" t="s">
        <v>1235</v>
      </c>
      <c r="S182" s="20" t="s">
        <v>32</v>
      </c>
      <c r="T182" s="20" t="s">
        <v>73</v>
      </c>
      <c r="U182" s="20" t="s">
        <v>4300</v>
      </c>
      <c r="V182" s="21"/>
      <c r="W182" s="21">
        <v>46299</v>
      </c>
      <c r="X182" s="20" t="s">
        <v>3836</v>
      </c>
      <c r="Y182" s="21">
        <v>46300</v>
      </c>
      <c r="Z182" s="20" t="s">
        <v>4032</v>
      </c>
    </row>
    <row r="183" spans="1:26" x14ac:dyDescent="0.25">
      <c r="A183" s="9">
        <f t="shared" si="2"/>
        <v>176</v>
      </c>
      <c r="B183" s="19" t="s">
        <v>3842</v>
      </c>
      <c r="C183" s="20" t="s">
        <v>3829</v>
      </c>
      <c r="D183" s="20" t="s">
        <v>3943</v>
      </c>
      <c r="E183" s="20" t="s">
        <v>3944</v>
      </c>
      <c r="F183" s="20" t="s">
        <v>3945</v>
      </c>
      <c r="G183" s="20" t="s">
        <v>273</v>
      </c>
      <c r="H183" s="20" t="s">
        <v>26</v>
      </c>
      <c r="I183" s="21">
        <v>46268</v>
      </c>
      <c r="J183" s="20" t="s">
        <v>82</v>
      </c>
      <c r="K183" s="20" t="s">
        <v>28</v>
      </c>
      <c r="L183" s="20" t="s">
        <v>3946</v>
      </c>
      <c r="M183" s="20" t="s">
        <v>261</v>
      </c>
      <c r="N183" s="22" t="s">
        <v>250</v>
      </c>
      <c r="O183" s="20" t="s">
        <v>3834</v>
      </c>
      <c r="P183" s="20" t="s">
        <v>148</v>
      </c>
      <c r="Q183" s="20" t="s">
        <v>149</v>
      </c>
      <c r="R183" s="20" t="s">
        <v>337</v>
      </c>
      <c r="S183" s="20" t="s">
        <v>32</v>
      </c>
      <c r="T183" s="20" t="s">
        <v>281</v>
      </c>
      <c r="U183" s="20" t="s">
        <v>3947</v>
      </c>
      <c r="V183" s="21"/>
      <c r="W183" s="21">
        <v>46268</v>
      </c>
      <c r="X183" s="20" t="s">
        <v>3836</v>
      </c>
      <c r="Y183" s="21">
        <v>46268</v>
      </c>
      <c r="Z183" s="20" t="s">
        <v>226</v>
      </c>
    </row>
    <row r="184" spans="1:26" x14ac:dyDescent="0.25">
      <c r="A184" s="9">
        <f t="shared" si="2"/>
        <v>177</v>
      </c>
      <c r="B184" s="19" t="s">
        <v>3842</v>
      </c>
      <c r="C184" s="20" t="s">
        <v>3829</v>
      </c>
      <c r="D184" s="20" t="s">
        <v>3948</v>
      </c>
      <c r="E184" s="20" t="s">
        <v>3949</v>
      </c>
      <c r="F184" s="20" t="s">
        <v>3949</v>
      </c>
      <c r="G184" s="20" t="s">
        <v>194</v>
      </c>
      <c r="H184" s="20" t="s">
        <v>26</v>
      </c>
      <c r="I184" s="21">
        <v>46023</v>
      </c>
      <c r="J184" s="20" t="s">
        <v>52</v>
      </c>
      <c r="K184" s="20" t="s">
        <v>28</v>
      </c>
      <c r="L184" s="20" t="s">
        <v>3950</v>
      </c>
      <c r="M184" s="20" t="s">
        <v>261</v>
      </c>
      <c r="N184" s="22" t="s">
        <v>250</v>
      </c>
      <c r="O184" s="20" t="s">
        <v>3847</v>
      </c>
      <c r="P184" s="20" t="s">
        <v>26</v>
      </c>
      <c r="Q184" s="20" t="s">
        <v>26</v>
      </c>
      <c r="R184" s="20" t="s">
        <v>26</v>
      </c>
      <c r="S184" s="20" t="s">
        <v>32</v>
      </c>
      <c r="T184" s="20" t="s">
        <v>195</v>
      </c>
      <c r="U184" s="20" t="s">
        <v>26</v>
      </c>
      <c r="V184" s="21"/>
      <c r="W184" s="21">
        <v>46023</v>
      </c>
      <c r="X184" s="20" t="s">
        <v>3951</v>
      </c>
      <c r="Y184" s="21">
        <v>46387</v>
      </c>
      <c r="Z184" s="20" t="s">
        <v>226</v>
      </c>
    </row>
    <row r="185" spans="1:26" x14ac:dyDescent="0.25">
      <c r="A185" s="9">
        <f t="shared" si="2"/>
        <v>178</v>
      </c>
      <c r="B185" s="19" t="s">
        <v>3842</v>
      </c>
      <c r="C185" s="20" t="s">
        <v>3829</v>
      </c>
      <c r="D185" s="20" t="s">
        <v>3952</v>
      </c>
      <c r="E185" s="20" t="s">
        <v>3953</v>
      </c>
      <c r="F185" s="20" t="s">
        <v>3953</v>
      </c>
      <c r="G185" s="20" t="s">
        <v>194</v>
      </c>
      <c r="H185" s="20" t="s">
        <v>26</v>
      </c>
      <c r="I185" s="21">
        <v>46023</v>
      </c>
      <c r="J185" s="20" t="s">
        <v>36</v>
      </c>
      <c r="K185" s="20" t="s">
        <v>28</v>
      </c>
      <c r="L185" s="20" t="s">
        <v>3954</v>
      </c>
      <c r="M185" s="20" t="s">
        <v>681</v>
      </c>
      <c r="N185" s="22" t="s">
        <v>250</v>
      </c>
      <c r="O185" s="20" t="s">
        <v>3847</v>
      </c>
      <c r="P185" s="20" t="s">
        <v>26</v>
      </c>
      <c r="Q185" s="20" t="s">
        <v>26</v>
      </c>
      <c r="R185" s="20" t="s">
        <v>26</v>
      </c>
      <c r="S185" s="20" t="s">
        <v>32</v>
      </c>
      <c r="T185" s="20" t="s">
        <v>195</v>
      </c>
      <c r="U185" s="20" t="s">
        <v>26</v>
      </c>
      <c r="V185" s="21"/>
      <c r="W185" s="21">
        <v>46023</v>
      </c>
      <c r="X185" s="20" t="s">
        <v>3955</v>
      </c>
      <c r="Y185" s="21">
        <v>46387</v>
      </c>
      <c r="Z185" s="20" t="s">
        <v>226</v>
      </c>
    </row>
    <row r="186" spans="1:26" x14ac:dyDescent="0.25">
      <c r="A186" s="9">
        <f t="shared" si="2"/>
        <v>179</v>
      </c>
      <c r="B186" s="19" t="s">
        <v>3893</v>
      </c>
      <c r="C186" s="20" t="s">
        <v>3829</v>
      </c>
      <c r="D186" s="20" t="s">
        <v>3956</v>
      </c>
      <c r="E186" s="20" t="s">
        <v>3957</v>
      </c>
      <c r="F186" s="20" t="s">
        <v>3957</v>
      </c>
      <c r="G186" s="20" t="s">
        <v>194</v>
      </c>
      <c r="H186" s="20" t="s">
        <v>26</v>
      </c>
      <c r="I186" s="21">
        <v>46290</v>
      </c>
      <c r="J186" s="20" t="s">
        <v>52</v>
      </c>
      <c r="K186" s="20" t="s">
        <v>28</v>
      </c>
      <c r="L186" s="20" t="s">
        <v>3958</v>
      </c>
      <c r="M186" s="20" t="s">
        <v>681</v>
      </c>
      <c r="N186" s="22" t="s">
        <v>250</v>
      </c>
      <c r="O186" s="20" t="s">
        <v>3847</v>
      </c>
      <c r="P186" s="20" t="s">
        <v>26</v>
      </c>
      <c r="Q186" s="20" t="s">
        <v>26</v>
      </c>
      <c r="R186" s="20" t="s">
        <v>26</v>
      </c>
      <c r="S186" s="20" t="s">
        <v>32</v>
      </c>
      <c r="T186" s="20" t="s">
        <v>195</v>
      </c>
      <c r="U186" s="20" t="s">
        <v>26</v>
      </c>
      <c r="V186" s="21"/>
      <c r="W186" s="21">
        <v>46290</v>
      </c>
      <c r="X186" s="20" t="s">
        <v>3836</v>
      </c>
      <c r="Y186" s="21">
        <v>46290</v>
      </c>
      <c r="Z186" s="20" t="s">
        <v>226</v>
      </c>
    </row>
    <row r="187" spans="1:26" x14ac:dyDescent="0.25">
      <c r="A187" s="9">
        <f t="shared" si="2"/>
        <v>180</v>
      </c>
      <c r="B187" s="19" t="s">
        <v>3893</v>
      </c>
      <c r="C187" s="20" t="s">
        <v>3829</v>
      </c>
      <c r="D187" s="20" t="s">
        <v>3959</v>
      </c>
      <c r="E187" s="20" t="s">
        <v>3960</v>
      </c>
      <c r="F187" s="20" t="s">
        <v>3960</v>
      </c>
      <c r="G187" s="20" t="s">
        <v>194</v>
      </c>
      <c r="H187" s="20" t="s">
        <v>26</v>
      </c>
      <c r="I187" s="21">
        <v>46290</v>
      </c>
      <c r="J187" s="20" t="s">
        <v>52</v>
      </c>
      <c r="K187" s="20" t="s">
        <v>28</v>
      </c>
      <c r="L187" s="20" t="s">
        <v>3958</v>
      </c>
      <c r="M187" s="20" t="s">
        <v>681</v>
      </c>
      <c r="N187" s="22" t="s">
        <v>250</v>
      </c>
      <c r="O187" s="20" t="s">
        <v>3847</v>
      </c>
      <c r="P187" s="20" t="s">
        <v>26</v>
      </c>
      <c r="Q187" s="20" t="s">
        <v>26</v>
      </c>
      <c r="R187" s="20" t="s">
        <v>26</v>
      </c>
      <c r="S187" s="20" t="s">
        <v>32</v>
      </c>
      <c r="T187" s="20" t="s">
        <v>195</v>
      </c>
      <c r="U187" s="20" t="s">
        <v>26</v>
      </c>
      <c r="V187" s="21"/>
      <c r="W187" s="21">
        <v>46290</v>
      </c>
      <c r="X187" s="20" t="s">
        <v>3836</v>
      </c>
      <c r="Y187" s="21">
        <v>46290</v>
      </c>
      <c r="Z187" s="20" t="s">
        <v>226</v>
      </c>
    </row>
    <row r="188" spans="1:26" x14ac:dyDescent="0.25">
      <c r="A188" s="9">
        <f t="shared" si="2"/>
        <v>181</v>
      </c>
      <c r="B188" s="19" t="s">
        <v>4249</v>
      </c>
      <c r="C188" s="20" t="s">
        <v>3829</v>
      </c>
      <c r="D188" s="20" t="s">
        <v>4313</v>
      </c>
      <c r="E188" s="20" t="s">
        <v>4314</v>
      </c>
      <c r="F188" s="20" t="s">
        <v>4315</v>
      </c>
      <c r="G188" s="20" t="s">
        <v>25</v>
      </c>
      <c r="H188" s="20" t="s">
        <v>26</v>
      </c>
      <c r="I188" s="21">
        <v>46297</v>
      </c>
      <c r="J188" s="20" t="s">
        <v>52</v>
      </c>
      <c r="K188" s="20" t="s">
        <v>28</v>
      </c>
      <c r="L188" s="20" t="s">
        <v>4316</v>
      </c>
      <c r="M188" s="20" t="s">
        <v>681</v>
      </c>
      <c r="N188" s="22" t="s">
        <v>250</v>
      </c>
      <c r="O188" s="20" t="s">
        <v>3847</v>
      </c>
      <c r="P188" s="20" t="s">
        <v>148</v>
      </c>
      <c r="Q188" s="20" t="s">
        <v>149</v>
      </c>
      <c r="R188" s="20" t="s">
        <v>4317</v>
      </c>
      <c r="S188" s="20" t="s">
        <v>32</v>
      </c>
      <c r="T188" s="20" t="s">
        <v>195</v>
      </c>
      <c r="U188" s="20" t="s">
        <v>4318</v>
      </c>
      <c r="V188" s="21"/>
      <c r="W188" s="21">
        <v>46297</v>
      </c>
      <c r="X188" s="20" t="s">
        <v>3836</v>
      </c>
      <c r="Y188" s="21">
        <v>46297</v>
      </c>
      <c r="Z188" s="20" t="s">
        <v>226</v>
      </c>
    </row>
    <row r="189" spans="1:26" x14ac:dyDescent="0.25">
      <c r="A189" s="9">
        <f t="shared" si="2"/>
        <v>182</v>
      </c>
      <c r="B189" s="19" t="s">
        <v>4249</v>
      </c>
      <c r="C189" s="20" t="s">
        <v>3829</v>
      </c>
      <c r="D189" s="20" t="s">
        <v>4324</v>
      </c>
      <c r="E189" s="20" t="s">
        <v>4325</v>
      </c>
      <c r="F189" s="20" t="s">
        <v>4326</v>
      </c>
      <c r="G189" s="20" t="s">
        <v>25</v>
      </c>
      <c r="H189" s="20" t="s">
        <v>26</v>
      </c>
      <c r="I189" s="21">
        <v>46297</v>
      </c>
      <c r="J189" s="20" t="s">
        <v>52</v>
      </c>
      <c r="K189" s="20" t="s">
        <v>28</v>
      </c>
      <c r="L189" s="20" t="s">
        <v>4327</v>
      </c>
      <c r="M189" s="20" t="s">
        <v>681</v>
      </c>
      <c r="N189" s="22" t="s">
        <v>250</v>
      </c>
      <c r="O189" s="20" t="s">
        <v>3847</v>
      </c>
      <c r="P189" s="20" t="s">
        <v>148</v>
      </c>
      <c r="Q189" s="20" t="s">
        <v>149</v>
      </c>
      <c r="R189" s="20" t="s">
        <v>4317</v>
      </c>
      <c r="S189" s="20" t="s">
        <v>32</v>
      </c>
      <c r="T189" s="20" t="s">
        <v>195</v>
      </c>
      <c r="U189" s="20" t="s">
        <v>4328</v>
      </c>
      <c r="V189" s="21"/>
      <c r="W189" s="21">
        <v>46297</v>
      </c>
      <c r="X189" s="20" t="s">
        <v>3836</v>
      </c>
      <c r="Y189" s="21">
        <v>46297</v>
      </c>
      <c r="Z189" s="20" t="s">
        <v>226</v>
      </c>
    </row>
    <row r="190" spans="1:26" x14ac:dyDescent="0.25">
      <c r="A190" s="9">
        <f t="shared" si="2"/>
        <v>183</v>
      </c>
      <c r="B190" s="19" t="s">
        <v>4270</v>
      </c>
      <c r="C190" s="20" t="s">
        <v>4271</v>
      </c>
      <c r="D190" s="20" t="s">
        <v>4339</v>
      </c>
      <c r="E190" s="20" t="s">
        <v>4340</v>
      </c>
      <c r="F190" s="20" t="s">
        <v>4341</v>
      </c>
      <c r="G190" s="20" t="s">
        <v>273</v>
      </c>
      <c r="H190" s="20" t="s">
        <v>26</v>
      </c>
      <c r="I190" s="21">
        <v>46299</v>
      </c>
      <c r="J190" s="20" t="s">
        <v>36</v>
      </c>
      <c r="K190" s="20" t="s">
        <v>28</v>
      </c>
      <c r="L190" s="20" t="s">
        <v>4343</v>
      </c>
      <c r="M190" s="20" t="s">
        <v>681</v>
      </c>
      <c r="N190" s="22" t="s">
        <v>250</v>
      </c>
      <c r="O190" s="20" t="s">
        <v>3834</v>
      </c>
      <c r="P190" s="20" t="s">
        <v>214</v>
      </c>
      <c r="Q190" s="20" t="s">
        <v>215</v>
      </c>
      <c r="R190" s="20" t="s">
        <v>26</v>
      </c>
      <c r="S190" s="20" t="s">
        <v>32</v>
      </c>
      <c r="T190" s="20" t="s">
        <v>685</v>
      </c>
      <c r="U190" s="20" t="s">
        <v>4345</v>
      </c>
      <c r="V190" s="21"/>
      <c r="W190" s="21">
        <v>46299</v>
      </c>
      <c r="X190" s="20" t="s">
        <v>3836</v>
      </c>
      <c r="Y190" s="21">
        <v>46300</v>
      </c>
      <c r="Z190" s="20" t="s">
        <v>4032</v>
      </c>
    </row>
    <row r="191" spans="1:26" x14ac:dyDescent="0.25">
      <c r="A191" s="9">
        <f t="shared" si="2"/>
        <v>184</v>
      </c>
      <c r="B191" s="19" t="s">
        <v>4270</v>
      </c>
      <c r="C191" s="20" t="s">
        <v>3829</v>
      </c>
      <c r="D191" s="20" t="s">
        <v>4346</v>
      </c>
      <c r="E191" s="20" t="s">
        <v>4347</v>
      </c>
      <c r="F191" s="20" t="s">
        <v>4348</v>
      </c>
      <c r="G191" s="20" t="s">
        <v>25</v>
      </c>
      <c r="H191" s="20" t="s">
        <v>26</v>
      </c>
      <c r="I191" s="21">
        <v>46299</v>
      </c>
      <c r="J191" s="20" t="s">
        <v>52</v>
      </c>
      <c r="K191" s="20" t="s">
        <v>28</v>
      </c>
      <c r="L191" s="20" t="s">
        <v>4349</v>
      </c>
      <c r="M191" s="20" t="s">
        <v>681</v>
      </c>
      <c r="N191" s="22" t="s">
        <v>250</v>
      </c>
      <c r="O191" s="20" t="s">
        <v>3847</v>
      </c>
      <c r="P191" s="20" t="s">
        <v>214</v>
      </c>
      <c r="Q191" s="20" t="s">
        <v>215</v>
      </c>
      <c r="R191" s="20" t="s">
        <v>2505</v>
      </c>
      <c r="S191" s="20" t="s">
        <v>32</v>
      </c>
      <c r="T191" s="20" t="s">
        <v>195</v>
      </c>
      <c r="U191" s="20" t="s">
        <v>4350</v>
      </c>
      <c r="V191" s="21"/>
      <c r="W191" s="21">
        <v>46299</v>
      </c>
      <c r="X191" s="20" t="s">
        <v>3836</v>
      </c>
      <c r="Y191" s="21">
        <v>46300</v>
      </c>
      <c r="Z191" s="20" t="s">
        <v>4032</v>
      </c>
    </row>
    <row r="192" spans="1:26" x14ac:dyDescent="0.25">
      <c r="A192" s="9">
        <f t="shared" si="2"/>
        <v>185</v>
      </c>
      <c r="B192" s="19" t="s">
        <v>3842</v>
      </c>
      <c r="C192" s="20" t="s">
        <v>3829</v>
      </c>
      <c r="D192" s="20" t="s">
        <v>3961</v>
      </c>
      <c r="E192" s="20" t="s">
        <v>3962</v>
      </c>
      <c r="F192" s="20" t="s">
        <v>3963</v>
      </c>
      <c r="G192" s="20" t="s">
        <v>273</v>
      </c>
      <c r="H192" s="20" t="s">
        <v>26</v>
      </c>
      <c r="I192" s="21">
        <v>46268</v>
      </c>
      <c r="J192" s="20" t="s">
        <v>82</v>
      </c>
      <c r="K192" s="20" t="s">
        <v>28</v>
      </c>
      <c r="L192" s="20" t="s">
        <v>3964</v>
      </c>
      <c r="M192" s="20" t="s">
        <v>270</v>
      </c>
      <c r="N192" s="22" t="s">
        <v>250</v>
      </c>
      <c r="O192" s="20" t="s">
        <v>3834</v>
      </c>
      <c r="P192" s="20" t="s">
        <v>148</v>
      </c>
      <c r="Q192" s="20" t="s">
        <v>149</v>
      </c>
      <c r="R192" s="20" t="s">
        <v>26</v>
      </c>
      <c r="S192" s="20" t="s">
        <v>32</v>
      </c>
      <c r="T192" s="20" t="s">
        <v>281</v>
      </c>
      <c r="U192" s="20" t="s">
        <v>3965</v>
      </c>
      <c r="V192" s="21"/>
      <c r="W192" s="21">
        <v>46268</v>
      </c>
      <c r="X192" s="20" t="s">
        <v>3836</v>
      </c>
      <c r="Y192" s="21">
        <v>46268</v>
      </c>
      <c r="Z192" s="20" t="s">
        <v>226</v>
      </c>
    </row>
    <row r="193" spans="1:26" x14ac:dyDescent="0.25">
      <c r="A193" s="9">
        <f t="shared" si="2"/>
        <v>186</v>
      </c>
      <c r="B193" s="19" t="s">
        <v>3842</v>
      </c>
      <c r="C193" s="20" t="s">
        <v>3829</v>
      </c>
      <c r="D193" s="20" t="s">
        <v>3966</v>
      </c>
      <c r="E193" s="20" t="s">
        <v>3962</v>
      </c>
      <c r="F193" s="20" t="s">
        <v>3963</v>
      </c>
      <c r="G193" s="20" t="s">
        <v>273</v>
      </c>
      <c r="H193" s="20" t="s">
        <v>26</v>
      </c>
      <c r="I193" s="21">
        <v>46268</v>
      </c>
      <c r="J193" s="20" t="s">
        <v>82</v>
      </c>
      <c r="K193" s="20" t="s">
        <v>58</v>
      </c>
      <c r="L193" s="20" t="s">
        <v>3964</v>
      </c>
      <c r="M193" s="20" t="s">
        <v>270</v>
      </c>
      <c r="N193" s="22" t="s">
        <v>250</v>
      </c>
      <c r="O193" s="20" t="s">
        <v>3834</v>
      </c>
      <c r="P193" s="20" t="s">
        <v>148</v>
      </c>
      <c r="Q193" s="20" t="s">
        <v>149</v>
      </c>
      <c r="R193" s="20" t="s">
        <v>26</v>
      </c>
      <c r="S193" s="20" t="s">
        <v>32</v>
      </c>
      <c r="T193" s="20" t="s">
        <v>281</v>
      </c>
      <c r="U193" s="20" t="s">
        <v>3965</v>
      </c>
      <c r="V193" s="21"/>
      <c r="W193" s="21">
        <v>46268</v>
      </c>
      <c r="X193" s="20" t="s">
        <v>3836</v>
      </c>
      <c r="Y193" s="21">
        <v>46268</v>
      </c>
      <c r="Z193" s="20" t="s">
        <v>226</v>
      </c>
    </row>
    <row r="194" spans="1:26" x14ac:dyDescent="0.25">
      <c r="A194" s="9">
        <f t="shared" si="2"/>
        <v>187</v>
      </c>
      <c r="B194" s="19" t="s">
        <v>3842</v>
      </c>
      <c r="C194" s="20" t="s">
        <v>3829</v>
      </c>
      <c r="D194" s="20" t="s">
        <v>3967</v>
      </c>
      <c r="E194" s="20" t="s">
        <v>3962</v>
      </c>
      <c r="F194" s="20" t="s">
        <v>3963</v>
      </c>
      <c r="G194" s="20" t="s">
        <v>273</v>
      </c>
      <c r="H194" s="20" t="s">
        <v>26</v>
      </c>
      <c r="I194" s="21">
        <v>46268</v>
      </c>
      <c r="J194" s="20" t="s">
        <v>82</v>
      </c>
      <c r="K194" s="20" t="s">
        <v>59</v>
      </c>
      <c r="L194" s="20" t="s">
        <v>3964</v>
      </c>
      <c r="M194" s="20" t="s">
        <v>270</v>
      </c>
      <c r="N194" s="22" t="s">
        <v>250</v>
      </c>
      <c r="O194" s="20" t="s">
        <v>3834</v>
      </c>
      <c r="P194" s="20" t="s">
        <v>148</v>
      </c>
      <c r="Q194" s="20" t="s">
        <v>149</v>
      </c>
      <c r="R194" s="20" t="s">
        <v>26</v>
      </c>
      <c r="S194" s="20" t="s">
        <v>32</v>
      </c>
      <c r="T194" s="20" t="s">
        <v>281</v>
      </c>
      <c r="U194" s="20" t="s">
        <v>3965</v>
      </c>
      <c r="V194" s="21"/>
      <c r="W194" s="21">
        <v>46268</v>
      </c>
      <c r="X194" s="20" t="s">
        <v>3836</v>
      </c>
      <c r="Y194" s="21">
        <v>46268</v>
      </c>
      <c r="Z194" s="20" t="s">
        <v>226</v>
      </c>
    </row>
    <row r="195" spans="1:26" x14ac:dyDescent="0.25">
      <c r="A195" s="9">
        <f t="shared" si="2"/>
        <v>188</v>
      </c>
      <c r="B195" s="19" t="s">
        <v>3842</v>
      </c>
      <c r="C195" s="20" t="s">
        <v>3829</v>
      </c>
      <c r="D195" s="20" t="s">
        <v>3968</v>
      </c>
      <c r="E195" s="20" t="s">
        <v>3962</v>
      </c>
      <c r="F195" s="20" t="s">
        <v>3963</v>
      </c>
      <c r="G195" s="20" t="s">
        <v>273</v>
      </c>
      <c r="H195" s="20" t="s">
        <v>26</v>
      </c>
      <c r="I195" s="21">
        <v>46268</v>
      </c>
      <c r="J195" s="20" t="s">
        <v>82</v>
      </c>
      <c r="K195" s="20" t="s">
        <v>684</v>
      </c>
      <c r="L195" s="20" t="s">
        <v>3964</v>
      </c>
      <c r="M195" s="20" t="s">
        <v>270</v>
      </c>
      <c r="N195" s="22" t="s">
        <v>250</v>
      </c>
      <c r="O195" s="20" t="s">
        <v>3834</v>
      </c>
      <c r="P195" s="20" t="s">
        <v>148</v>
      </c>
      <c r="Q195" s="20" t="s">
        <v>149</v>
      </c>
      <c r="R195" s="20" t="s">
        <v>26</v>
      </c>
      <c r="S195" s="20" t="s">
        <v>32</v>
      </c>
      <c r="T195" s="20" t="s">
        <v>281</v>
      </c>
      <c r="U195" s="20" t="s">
        <v>3965</v>
      </c>
      <c r="V195" s="21"/>
      <c r="W195" s="21">
        <v>46268</v>
      </c>
      <c r="X195" s="20" t="s">
        <v>3836</v>
      </c>
      <c r="Y195" s="21">
        <v>46268</v>
      </c>
      <c r="Z195" s="20" t="s">
        <v>226</v>
      </c>
    </row>
    <row r="196" spans="1:26" x14ac:dyDescent="0.25">
      <c r="A196" s="9">
        <f t="shared" si="2"/>
        <v>189</v>
      </c>
      <c r="B196" s="19" t="s">
        <v>3842</v>
      </c>
      <c r="C196" s="20" t="s">
        <v>3829</v>
      </c>
      <c r="D196" s="20" t="s">
        <v>3969</v>
      </c>
      <c r="E196" s="20" t="s">
        <v>3962</v>
      </c>
      <c r="F196" s="20" t="s">
        <v>3963</v>
      </c>
      <c r="G196" s="20" t="s">
        <v>273</v>
      </c>
      <c r="H196" s="20" t="s">
        <v>26</v>
      </c>
      <c r="I196" s="21">
        <v>46268</v>
      </c>
      <c r="J196" s="20" t="s">
        <v>82</v>
      </c>
      <c r="K196" s="20" t="s">
        <v>557</v>
      </c>
      <c r="L196" s="20" t="s">
        <v>3964</v>
      </c>
      <c r="M196" s="20" t="s">
        <v>270</v>
      </c>
      <c r="N196" s="22" t="s">
        <v>250</v>
      </c>
      <c r="O196" s="20" t="s">
        <v>3834</v>
      </c>
      <c r="P196" s="20" t="s">
        <v>148</v>
      </c>
      <c r="Q196" s="20" t="s">
        <v>149</v>
      </c>
      <c r="R196" s="20" t="s">
        <v>26</v>
      </c>
      <c r="S196" s="20" t="s">
        <v>32</v>
      </c>
      <c r="T196" s="20" t="s">
        <v>281</v>
      </c>
      <c r="U196" s="20" t="s">
        <v>3965</v>
      </c>
      <c r="V196" s="21"/>
      <c r="W196" s="21">
        <v>46268</v>
      </c>
      <c r="X196" s="20" t="s">
        <v>3836</v>
      </c>
      <c r="Y196" s="21">
        <v>46268</v>
      </c>
      <c r="Z196" s="20" t="s">
        <v>226</v>
      </c>
    </row>
    <row r="197" spans="1:26" x14ac:dyDescent="0.25">
      <c r="A197" s="9">
        <f t="shared" si="2"/>
        <v>190</v>
      </c>
      <c r="B197" s="19" t="s">
        <v>3970</v>
      </c>
      <c r="C197" s="20" t="s">
        <v>3829</v>
      </c>
      <c r="D197" s="20" t="s">
        <v>3971</v>
      </c>
      <c r="E197" s="20" t="s">
        <v>3972</v>
      </c>
      <c r="F197" s="20" t="s">
        <v>3973</v>
      </c>
      <c r="G197" s="20" t="s">
        <v>273</v>
      </c>
      <c r="H197" s="20" t="s">
        <v>26</v>
      </c>
      <c r="I197" s="21">
        <v>46290</v>
      </c>
      <c r="J197" s="20" t="s">
        <v>82</v>
      </c>
      <c r="K197" s="20" t="s">
        <v>28</v>
      </c>
      <c r="L197" s="20" t="s">
        <v>3974</v>
      </c>
      <c r="M197" s="20" t="s">
        <v>270</v>
      </c>
      <c r="N197" s="22" t="s">
        <v>250</v>
      </c>
      <c r="O197" s="20" t="s">
        <v>3834</v>
      </c>
      <c r="P197" s="20" t="s">
        <v>148</v>
      </c>
      <c r="Q197" s="20" t="s">
        <v>149</v>
      </c>
      <c r="R197" s="20" t="s">
        <v>337</v>
      </c>
      <c r="S197" s="20" t="s">
        <v>32</v>
      </c>
      <c r="T197" s="20" t="s">
        <v>281</v>
      </c>
      <c r="U197" s="20" t="s">
        <v>3975</v>
      </c>
      <c r="V197" s="21"/>
      <c r="W197" s="21">
        <v>46290</v>
      </c>
      <c r="X197" s="20" t="s">
        <v>3836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4329</v>
      </c>
      <c r="C198" s="20" t="s">
        <v>3829</v>
      </c>
      <c r="D198" s="20" t="s">
        <v>4330</v>
      </c>
      <c r="E198" s="20" t="s">
        <v>4331</v>
      </c>
      <c r="F198" s="20" t="s">
        <v>4332</v>
      </c>
      <c r="G198" s="20" t="s">
        <v>25</v>
      </c>
      <c r="H198" s="20" t="s">
        <v>26</v>
      </c>
      <c r="I198" s="21">
        <v>46290</v>
      </c>
      <c r="J198" s="20" t="s">
        <v>82</v>
      </c>
      <c r="K198" s="20" t="s">
        <v>28</v>
      </c>
      <c r="L198" s="20" t="s">
        <v>4333</v>
      </c>
      <c r="M198" s="20" t="s">
        <v>270</v>
      </c>
      <c r="N198" s="22" t="s">
        <v>250</v>
      </c>
      <c r="O198" s="20" t="s">
        <v>3847</v>
      </c>
      <c r="P198" s="20" t="s">
        <v>148</v>
      </c>
      <c r="Q198" s="20" t="s">
        <v>149</v>
      </c>
      <c r="R198" s="20" t="s">
        <v>126</v>
      </c>
      <c r="S198" s="20" t="s">
        <v>32</v>
      </c>
      <c r="T198" s="20" t="s">
        <v>281</v>
      </c>
      <c r="U198" s="20" t="s">
        <v>4311</v>
      </c>
      <c r="V198" s="21"/>
      <c r="W198" s="21">
        <v>46290</v>
      </c>
      <c r="X198" s="20" t="s">
        <v>3836</v>
      </c>
      <c r="Y198" s="21">
        <v>46290</v>
      </c>
      <c r="Z198" s="20" t="s">
        <v>226</v>
      </c>
    </row>
    <row r="199" spans="1:26" x14ac:dyDescent="0.25">
      <c r="A199" s="9">
        <f t="shared" si="2"/>
        <v>192</v>
      </c>
      <c r="B199" s="19" t="s">
        <v>3893</v>
      </c>
      <c r="C199" s="20" t="s">
        <v>3829</v>
      </c>
      <c r="D199" s="20" t="s">
        <v>3976</v>
      </c>
      <c r="E199" s="20" t="s">
        <v>3977</v>
      </c>
      <c r="F199" s="20" t="s">
        <v>3977</v>
      </c>
      <c r="G199" s="20" t="s">
        <v>194</v>
      </c>
      <c r="H199" s="20" t="s">
        <v>26</v>
      </c>
      <c r="I199" s="21">
        <v>46290</v>
      </c>
      <c r="J199" s="20" t="s">
        <v>82</v>
      </c>
      <c r="K199" s="20" t="s">
        <v>28</v>
      </c>
      <c r="L199" s="20" t="s">
        <v>3978</v>
      </c>
      <c r="M199" s="20" t="s">
        <v>270</v>
      </c>
      <c r="N199" s="22" t="s">
        <v>250</v>
      </c>
      <c r="O199" s="20" t="s">
        <v>3847</v>
      </c>
      <c r="P199" s="20" t="s">
        <v>26</v>
      </c>
      <c r="Q199" s="20" t="s">
        <v>26</v>
      </c>
      <c r="R199" s="20" t="s">
        <v>26</v>
      </c>
      <c r="S199" s="20" t="s">
        <v>32</v>
      </c>
      <c r="T199" s="20" t="s">
        <v>195</v>
      </c>
      <c r="U199" s="20" t="s">
        <v>26</v>
      </c>
      <c r="V199" s="21"/>
      <c r="W199" s="21">
        <v>46290</v>
      </c>
      <c r="X199" s="20" t="s">
        <v>3836</v>
      </c>
      <c r="Y199" s="21">
        <v>46290</v>
      </c>
      <c r="Z199" s="20" t="s">
        <v>226</v>
      </c>
    </row>
    <row r="200" spans="1:26" x14ac:dyDescent="0.25">
      <c r="A200" s="9">
        <f t="shared" si="2"/>
        <v>193</v>
      </c>
      <c r="B200" s="19" t="s">
        <v>3893</v>
      </c>
      <c r="C200" s="20" t="s">
        <v>3829</v>
      </c>
      <c r="D200" s="20" t="s">
        <v>3979</v>
      </c>
      <c r="E200" s="20" t="s">
        <v>3977</v>
      </c>
      <c r="F200" s="20" t="s">
        <v>3977</v>
      </c>
      <c r="G200" s="20" t="s">
        <v>194</v>
      </c>
      <c r="H200" s="20" t="s">
        <v>26</v>
      </c>
      <c r="I200" s="21">
        <v>46290</v>
      </c>
      <c r="J200" s="20" t="s">
        <v>82</v>
      </c>
      <c r="K200" s="20" t="s">
        <v>58</v>
      </c>
      <c r="L200" s="20" t="s">
        <v>3978</v>
      </c>
      <c r="M200" s="20" t="s">
        <v>270</v>
      </c>
      <c r="N200" s="22" t="s">
        <v>250</v>
      </c>
      <c r="O200" s="20" t="s">
        <v>3847</v>
      </c>
      <c r="P200" s="20" t="s">
        <v>26</v>
      </c>
      <c r="Q200" s="20" t="s">
        <v>26</v>
      </c>
      <c r="R200" s="20" t="s">
        <v>26</v>
      </c>
      <c r="S200" s="20" t="s">
        <v>32</v>
      </c>
      <c r="T200" s="20" t="s">
        <v>195</v>
      </c>
      <c r="U200" s="20" t="s">
        <v>26</v>
      </c>
      <c r="V200" s="21"/>
      <c r="W200" s="21">
        <v>46290</v>
      </c>
      <c r="X200" s="20" t="s">
        <v>3836</v>
      </c>
      <c r="Y200" s="21">
        <v>46290</v>
      </c>
      <c r="Z200" s="20" t="s">
        <v>226</v>
      </c>
    </row>
    <row r="201" spans="1:26" x14ac:dyDescent="0.25">
      <c r="A201" s="9">
        <f t="shared" si="2"/>
        <v>194</v>
      </c>
      <c r="B201" s="19" t="s">
        <v>3828</v>
      </c>
      <c r="C201" s="20" t="s">
        <v>3829</v>
      </c>
      <c r="D201" s="20" t="s">
        <v>3980</v>
      </c>
      <c r="E201" s="20" t="s">
        <v>3981</v>
      </c>
      <c r="F201" s="20" t="s">
        <v>3982</v>
      </c>
      <c r="G201" s="20" t="s">
        <v>273</v>
      </c>
      <c r="H201" s="20" t="s">
        <v>26</v>
      </c>
      <c r="I201" s="21">
        <v>46295</v>
      </c>
      <c r="J201" s="20" t="s">
        <v>82</v>
      </c>
      <c r="K201" s="20" t="s">
        <v>28</v>
      </c>
      <c r="L201" s="20" t="s">
        <v>3983</v>
      </c>
      <c r="M201" s="20" t="s">
        <v>266</v>
      </c>
      <c r="N201" s="22" t="s">
        <v>250</v>
      </c>
      <c r="O201" s="20" t="s">
        <v>3834</v>
      </c>
      <c r="P201" s="20" t="s">
        <v>148</v>
      </c>
      <c r="Q201" s="20" t="s">
        <v>149</v>
      </c>
      <c r="R201" s="20" t="s">
        <v>337</v>
      </c>
      <c r="S201" s="20" t="s">
        <v>32</v>
      </c>
      <c r="T201" s="20" t="s">
        <v>281</v>
      </c>
      <c r="U201" s="20" t="s">
        <v>3984</v>
      </c>
      <c r="V201" s="21"/>
      <c r="W201" s="21">
        <v>46295</v>
      </c>
      <c r="X201" s="20" t="s">
        <v>3836</v>
      </c>
      <c r="Y201" s="21">
        <v>46295</v>
      </c>
      <c r="Z201" s="20" t="s">
        <v>226</v>
      </c>
    </row>
    <row r="202" spans="1:26" x14ac:dyDescent="0.25">
      <c r="A202" s="9">
        <f t="shared" ref="A202:A210" si="3">A201+1</f>
        <v>195</v>
      </c>
      <c r="B202" s="19" t="s">
        <v>3828</v>
      </c>
      <c r="C202" s="20" t="s">
        <v>3829</v>
      </c>
      <c r="D202" s="20" t="s">
        <v>3985</v>
      </c>
      <c r="E202" s="20" t="s">
        <v>3986</v>
      </c>
      <c r="F202" s="20" t="s">
        <v>3987</v>
      </c>
      <c r="G202" s="20" t="s">
        <v>273</v>
      </c>
      <c r="H202" s="20" t="s">
        <v>26</v>
      </c>
      <c r="I202" s="21">
        <v>46295</v>
      </c>
      <c r="J202" s="20" t="s">
        <v>82</v>
      </c>
      <c r="K202" s="20" t="s">
        <v>28</v>
      </c>
      <c r="L202" s="20" t="s">
        <v>3988</v>
      </c>
      <c r="M202" s="20" t="s">
        <v>266</v>
      </c>
      <c r="N202" s="22" t="s">
        <v>250</v>
      </c>
      <c r="O202" s="20" t="s">
        <v>3834</v>
      </c>
      <c r="P202" s="20" t="s">
        <v>41</v>
      </c>
      <c r="Q202" s="20" t="s">
        <v>42</v>
      </c>
      <c r="R202" s="20" t="s">
        <v>26</v>
      </c>
      <c r="S202" s="20" t="s">
        <v>32</v>
      </c>
      <c r="T202" s="20" t="s">
        <v>685</v>
      </c>
      <c r="U202" s="20" t="s">
        <v>3989</v>
      </c>
      <c r="V202" s="21"/>
      <c r="W202" s="21">
        <v>46295</v>
      </c>
      <c r="X202" s="20" t="s">
        <v>3836</v>
      </c>
      <c r="Y202" s="21">
        <v>46295</v>
      </c>
      <c r="Z202" s="20" t="s">
        <v>226</v>
      </c>
    </row>
    <row r="203" spans="1:26" x14ac:dyDescent="0.25">
      <c r="A203" s="9">
        <f t="shared" si="3"/>
        <v>196</v>
      </c>
      <c r="B203" s="19" t="s">
        <v>4249</v>
      </c>
      <c r="C203" s="20" t="s">
        <v>3829</v>
      </c>
      <c r="D203" s="20" t="s">
        <v>4319</v>
      </c>
      <c r="E203" s="20" t="s">
        <v>4320</v>
      </c>
      <c r="F203" s="20" t="s">
        <v>4321</v>
      </c>
      <c r="G203" s="20" t="s">
        <v>273</v>
      </c>
      <c r="H203" s="20" t="s">
        <v>26</v>
      </c>
      <c r="I203" s="21">
        <v>46297</v>
      </c>
      <c r="J203" s="20" t="s">
        <v>82</v>
      </c>
      <c r="K203" s="20" t="s">
        <v>28</v>
      </c>
      <c r="L203" s="20" t="s">
        <v>4322</v>
      </c>
      <c r="M203" s="20" t="s">
        <v>266</v>
      </c>
      <c r="N203" s="22" t="s">
        <v>250</v>
      </c>
      <c r="O203" s="20" t="s">
        <v>3834</v>
      </c>
      <c r="P203" s="20" t="s">
        <v>41</v>
      </c>
      <c r="Q203" s="20" t="s">
        <v>42</v>
      </c>
      <c r="R203" s="20" t="s">
        <v>26</v>
      </c>
      <c r="S203" s="20" t="s">
        <v>32</v>
      </c>
      <c r="T203" s="20" t="s">
        <v>685</v>
      </c>
      <c r="U203" s="20" t="s">
        <v>4323</v>
      </c>
      <c r="V203" s="21"/>
      <c r="W203" s="21">
        <v>46297</v>
      </c>
      <c r="X203" s="20" t="s">
        <v>3836</v>
      </c>
      <c r="Y203" s="21">
        <v>46297</v>
      </c>
      <c r="Z203" s="20" t="s">
        <v>226</v>
      </c>
    </row>
    <row r="204" spans="1:26" x14ac:dyDescent="0.25">
      <c r="A204" s="9">
        <f t="shared" si="3"/>
        <v>197</v>
      </c>
      <c r="B204" s="19" t="s">
        <v>3828</v>
      </c>
      <c r="C204" s="20" t="s">
        <v>3829</v>
      </c>
      <c r="D204" s="20" t="s">
        <v>3990</v>
      </c>
      <c r="E204" s="20" t="s">
        <v>3991</v>
      </c>
      <c r="F204" s="20" t="s">
        <v>3992</v>
      </c>
      <c r="G204" s="20" t="s">
        <v>25</v>
      </c>
      <c r="H204" s="20" t="s">
        <v>26</v>
      </c>
      <c r="I204" s="21">
        <v>46295</v>
      </c>
      <c r="J204" s="20" t="s">
        <v>82</v>
      </c>
      <c r="K204" s="20" t="s">
        <v>28</v>
      </c>
      <c r="L204" s="20" t="s">
        <v>3993</v>
      </c>
      <c r="M204" s="20" t="s">
        <v>3818</v>
      </c>
      <c r="N204" s="22" t="s">
        <v>250</v>
      </c>
      <c r="O204" s="20" t="s">
        <v>3847</v>
      </c>
      <c r="P204" s="20" t="s">
        <v>148</v>
      </c>
      <c r="Q204" s="20" t="s">
        <v>149</v>
      </c>
      <c r="R204" s="20" t="s">
        <v>337</v>
      </c>
      <c r="S204" s="20" t="s">
        <v>32</v>
      </c>
      <c r="T204" s="20" t="s">
        <v>195</v>
      </c>
      <c r="U204" s="20" t="s">
        <v>3994</v>
      </c>
      <c r="V204" s="21">
        <v>46268</v>
      </c>
      <c r="W204" s="21">
        <v>46295</v>
      </c>
      <c r="X204" s="20" t="s">
        <v>3836</v>
      </c>
      <c r="Y204" s="21">
        <v>46295</v>
      </c>
      <c r="Z204" s="20" t="s">
        <v>226</v>
      </c>
    </row>
    <row r="205" spans="1:26" x14ac:dyDescent="0.25">
      <c r="A205" s="9">
        <f t="shared" si="3"/>
        <v>198</v>
      </c>
      <c r="B205" s="19" t="s">
        <v>3842</v>
      </c>
      <c r="C205" s="20" t="s">
        <v>3829</v>
      </c>
      <c r="D205" s="20" t="s">
        <v>3995</v>
      </c>
      <c r="E205" s="20" t="s">
        <v>3996</v>
      </c>
      <c r="F205" s="20" t="s">
        <v>3997</v>
      </c>
      <c r="G205" s="20" t="s">
        <v>273</v>
      </c>
      <c r="H205" s="20" t="s">
        <v>26</v>
      </c>
      <c r="I205" s="21">
        <v>46268</v>
      </c>
      <c r="J205" s="20" t="s">
        <v>82</v>
      </c>
      <c r="K205" s="20" t="s">
        <v>28</v>
      </c>
      <c r="L205" s="20" t="s">
        <v>3998</v>
      </c>
      <c r="M205" s="20" t="s">
        <v>3823</v>
      </c>
      <c r="N205" s="22" t="s">
        <v>250</v>
      </c>
      <c r="O205" s="20" t="s">
        <v>3834</v>
      </c>
      <c r="P205" s="20" t="s">
        <v>148</v>
      </c>
      <c r="Q205" s="20" t="s">
        <v>149</v>
      </c>
      <c r="R205" s="20" t="s">
        <v>26</v>
      </c>
      <c r="S205" s="20" t="s">
        <v>32</v>
      </c>
      <c r="T205" s="20" t="s">
        <v>685</v>
      </c>
      <c r="U205" s="20" t="s">
        <v>3999</v>
      </c>
      <c r="V205" s="21">
        <v>46272</v>
      </c>
      <c r="W205" s="21">
        <v>46268</v>
      </c>
      <c r="X205" s="20" t="s">
        <v>3836</v>
      </c>
      <c r="Y205" s="21">
        <v>46268</v>
      </c>
      <c r="Z205" s="20" t="s">
        <v>226</v>
      </c>
    </row>
    <row r="206" spans="1:26" x14ac:dyDescent="0.25">
      <c r="A206" s="9">
        <f t="shared" si="3"/>
        <v>199</v>
      </c>
      <c r="B206" s="19" t="s">
        <v>3842</v>
      </c>
      <c r="C206" s="20" t="s">
        <v>3829</v>
      </c>
      <c r="D206" s="20" t="s">
        <v>4000</v>
      </c>
      <c r="E206" s="20" t="s">
        <v>3996</v>
      </c>
      <c r="F206" s="20" t="s">
        <v>3997</v>
      </c>
      <c r="G206" s="20" t="s">
        <v>273</v>
      </c>
      <c r="H206" s="20" t="s">
        <v>26</v>
      </c>
      <c r="I206" s="21">
        <v>46268</v>
      </c>
      <c r="J206" s="20" t="s">
        <v>27</v>
      </c>
      <c r="K206" s="20" t="s">
        <v>58</v>
      </c>
      <c r="L206" s="20" t="s">
        <v>3998</v>
      </c>
      <c r="M206" s="20" t="s">
        <v>3823</v>
      </c>
      <c r="N206" s="22" t="s">
        <v>250</v>
      </c>
      <c r="O206" s="20" t="s">
        <v>3834</v>
      </c>
      <c r="P206" s="20" t="s">
        <v>148</v>
      </c>
      <c r="Q206" s="20" t="s">
        <v>149</v>
      </c>
      <c r="R206" s="20" t="s">
        <v>26</v>
      </c>
      <c r="S206" s="20" t="s">
        <v>32</v>
      </c>
      <c r="T206" s="20" t="s">
        <v>685</v>
      </c>
      <c r="U206" s="20" t="s">
        <v>3999</v>
      </c>
      <c r="V206" s="21">
        <v>46272</v>
      </c>
      <c r="W206" s="21">
        <v>46268</v>
      </c>
      <c r="X206" s="20" t="s">
        <v>3836</v>
      </c>
      <c r="Y206" s="21">
        <v>46268</v>
      </c>
      <c r="Z206" s="20" t="s">
        <v>226</v>
      </c>
    </row>
    <row r="207" spans="1:26" x14ac:dyDescent="0.25">
      <c r="A207" s="9">
        <f t="shared" si="3"/>
        <v>200</v>
      </c>
      <c r="B207" s="19" t="s">
        <v>3842</v>
      </c>
      <c r="C207" s="20" t="s">
        <v>3829</v>
      </c>
      <c r="D207" s="20" t="s">
        <v>3995</v>
      </c>
      <c r="E207" s="20" t="s">
        <v>3996</v>
      </c>
      <c r="F207" s="20" t="s">
        <v>3997</v>
      </c>
      <c r="G207" s="20" t="s">
        <v>273</v>
      </c>
      <c r="H207" s="20" t="s">
        <v>26</v>
      </c>
      <c r="I207" s="21">
        <v>46268</v>
      </c>
      <c r="J207" s="20" t="s">
        <v>82</v>
      </c>
      <c r="K207" s="20" t="s">
        <v>28</v>
      </c>
      <c r="L207" s="20" t="s">
        <v>3998</v>
      </c>
      <c r="M207" s="20" t="s">
        <v>3823</v>
      </c>
      <c r="N207" s="22" t="s">
        <v>250</v>
      </c>
      <c r="O207" s="20" t="s">
        <v>3834</v>
      </c>
      <c r="P207" s="20" t="s">
        <v>148</v>
      </c>
      <c r="Q207" s="20" t="s">
        <v>149</v>
      </c>
      <c r="R207" s="20" t="s">
        <v>26</v>
      </c>
      <c r="S207" s="20" t="s">
        <v>32</v>
      </c>
      <c r="T207" s="20" t="s">
        <v>685</v>
      </c>
      <c r="U207" s="20" t="s">
        <v>3999</v>
      </c>
      <c r="V207" s="21">
        <v>46272</v>
      </c>
      <c r="W207" s="21">
        <v>46268</v>
      </c>
      <c r="X207" s="20" t="s">
        <v>3836</v>
      </c>
      <c r="Y207" s="21">
        <v>46268</v>
      </c>
      <c r="Z207" s="20" t="s">
        <v>226</v>
      </c>
    </row>
    <row r="208" spans="1:26" x14ac:dyDescent="0.25">
      <c r="A208" s="9">
        <f t="shared" si="3"/>
        <v>201</v>
      </c>
      <c r="B208" s="19" t="s">
        <v>3842</v>
      </c>
      <c r="C208" s="20" t="s">
        <v>3829</v>
      </c>
      <c r="D208" s="20" t="s">
        <v>4000</v>
      </c>
      <c r="E208" s="20" t="s">
        <v>3996</v>
      </c>
      <c r="F208" s="20" t="s">
        <v>3997</v>
      </c>
      <c r="G208" s="20" t="s">
        <v>273</v>
      </c>
      <c r="H208" s="20" t="s">
        <v>26</v>
      </c>
      <c r="I208" s="21">
        <v>46268</v>
      </c>
      <c r="J208" s="20" t="s">
        <v>27</v>
      </c>
      <c r="K208" s="20" t="s">
        <v>58</v>
      </c>
      <c r="L208" s="20" t="s">
        <v>3998</v>
      </c>
      <c r="M208" s="20" t="s">
        <v>3823</v>
      </c>
      <c r="N208" s="22" t="s">
        <v>250</v>
      </c>
      <c r="O208" s="20" t="s">
        <v>3834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3999</v>
      </c>
      <c r="V208" s="21">
        <v>46272</v>
      </c>
      <c r="W208" s="21">
        <v>46268</v>
      </c>
      <c r="X208" s="20" t="s">
        <v>3836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4270</v>
      </c>
      <c r="C209" s="20" t="s">
        <v>4271</v>
      </c>
      <c r="D209" s="20" t="s">
        <v>4339</v>
      </c>
      <c r="E209" s="20" t="s">
        <v>4340</v>
      </c>
      <c r="F209" s="20" t="s">
        <v>4341</v>
      </c>
      <c r="G209" s="20" t="s">
        <v>273</v>
      </c>
      <c r="H209" s="20" t="s">
        <v>26</v>
      </c>
      <c r="I209" s="21">
        <v>46102</v>
      </c>
      <c r="J209" s="20" t="s">
        <v>4342</v>
      </c>
      <c r="K209" s="20" t="s">
        <v>28</v>
      </c>
      <c r="L209" s="20" t="s">
        <v>4343</v>
      </c>
      <c r="M209" s="20" t="s">
        <v>4344</v>
      </c>
      <c r="N209" s="22" t="s">
        <v>250</v>
      </c>
      <c r="O209" s="20" t="s">
        <v>3834</v>
      </c>
      <c r="P209" s="20" t="s">
        <v>214</v>
      </c>
      <c r="Q209" s="20" t="s">
        <v>215</v>
      </c>
      <c r="R209" s="20" t="s">
        <v>26</v>
      </c>
      <c r="S209" s="20" t="s">
        <v>255</v>
      </c>
      <c r="T209" s="20" t="s">
        <v>685</v>
      </c>
      <c r="U209" s="20" t="s">
        <v>4345</v>
      </c>
      <c r="V209" s="21"/>
      <c r="W209" s="21">
        <v>46102</v>
      </c>
      <c r="X209" s="20" t="s">
        <v>34</v>
      </c>
      <c r="Y209" s="21">
        <v>46282</v>
      </c>
      <c r="Z209" s="20" t="s">
        <v>34</v>
      </c>
    </row>
    <row r="210" spans="1:26" x14ac:dyDescent="0.25">
      <c r="A210" s="9">
        <f t="shared" si="3"/>
        <v>203</v>
      </c>
      <c r="B210" s="19" t="s">
        <v>4270</v>
      </c>
      <c r="C210" s="20" t="s">
        <v>3829</v>
      </c>
      <c r="D210" s="20" t="s">
        <v>4346</v>
      </c>
      <c r="E210" s="20" t="s">
        <v>4347</v>
      </c>
      <c r="F210" s="20" t="s">
        <v>4348</v>
      </c>
      <c r="G210" s="20" t="s">
        <v>25</v>
      </c>
      <c r="H210" s="20" t="s">
        <v>26</v>
      </c>
      <c r="I210" s="21">
        <v>46266</v>
      </c>
      <c r="J210" s="20" t="s">
        <v>4317</v>
      </c>
      <c r="K210" s="20" t="s">
        <v>28</v>
      </c>
      <c r="L210" s="20" t="s">
        <v>4349</v>
      </c>
      <c r="M210" s="20" t="s">
        <v>4344</v>
      </c>
      <c r="N210" s="22" t="s">
        <v>250</v>
      </c>
      <c r="O210" s="20" t="s">
        <v>3847</v>
      </c>
      <c r="P210" s="20" t="s">
        <v>214</v>
      </c>
      <c r="Q210" s="20" t="s">
        <v>215</v>
      </c>
      <c r="R210" s="20" t="s">
        <v>2505</v>
      </c>
      <c r="S210" s="20" t="s">
        <v>255</v>
      </c>
      <c r="T210" s="20" t="s">
        <v>195</v>
      </c>
      <c r="U210" s="20" t="s">
        <v>4350</v>
      </c>
      <c r="V210" s="21"/>
      <c r="W210" s="21">
        <v>46266</v>
      </c>
      <c r="X210" s="20" t="s">
        <v>34</v>
      </c>
      <c r="Y210" s="21">
        <v>46326</v>
      </c>
      <c r="Z210" s="20" t="s">
        <v>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1147"/>
  <sheetViews>
    <sheetView topLeftCell="M1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3002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3005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3006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3007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3008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3009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3010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3011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3012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3013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3014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3015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17" t="e">
        <f>VLOOKUP(F19,[2]Wait!$H$225:$I$260,2,0)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3016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17" t="e">
        <f>VLOOKUP(F20,[2]Wait!$H$225:$I$260,2,0)</f>
        <v>#N/A</v>
      </c>
      <c r="AB20" s="5"/>
      <c r="AC20" s="6"/>
    </row>
    <row r="21" spans="1:29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3017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17" t="e">
        <f>VLOOKUP(F21,[2]Wait!$H$225:$I$260,2,0)</f>
        <v>#N/A</v>
      </c>
      <c r="AB21" s="5"/>
      <c r="AC21" s="6"/>
    </row>
    <row r="22" spans="1:29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3018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17" t="e">
        <f>VLOOKUP(F22,[2]Wait!$H$225:$I$260,2,0)</f>
        <v>#N/A</v>
      </c>
      <c r="AB22" s="5"/>
      <c r="AC22" s="6"/>
    </row>
    <row r="23" spans="1:29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3019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17" t="e">
        <f>VLOOKUP(F23,[2]Wait!$H$225:$I$260,2,0)</f>
        <v>#N/A</v>
      </c>
      <c r="AB23" s="5"/>
      <c r="AC23" s="6"/>
    </row>
    <row r="24" spans="1:29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3020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17" t="e">
        <f>VLOOKUP(F24,[2]Wait!$H$225:$I$260,2,0)</f>
        <v>#N/A</v>
      </c>
      <c r="AB24" s="5"/>
      <c r="AC24" s="6"/>
    </row>
    <row r="25" spans="1:29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3021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  <c r="AA25" s="17" t="e">
        <f>VLOOKUP(F25,[2]Wait!$H$225:$I$260,2,0)</f>
        <v>#N/A</v>
      </c>
    </row>
    <row r="26" spans="1:29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3022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  <c r="AA26" s="17" t="e">
        <f>VLOOKUP(F26,[2]Wait!$H$225:$I$260,2,0)</f>
        <v>#N/A</v>
      </c>
    </row>
    <row r="27" spans="1:29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3023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  <c r="AA27" s="17" t="e">
        <f>VLOOKUP(F27,[2]Wait!$H$225:$I$260,2,0)</f>
        <v>#N/A</v>
      </c>
    </row>
    <row r="28" spans="1:29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3024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  <c r="AA28" s="17" t="e">
        <f>VLOOKUP(F28,[2]Wait!$H$225:$I$260,2,0)</f>
        <v>#N/A</v>
      </c>
    </row>
    <row r="29" spans="1:29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3025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  <c r="AA29" s="17" t="e">
        <f>VLOOKUP(F29,[2]Wait!$H$225:$I$260,2,0)</f>
        <v>#N/A</v>
      </c>
    </row>
    <row r="30" spans="1:29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3026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  <c r="AA30" s="17" t="e">
        <f>VLOOKUP(F30,[2]Wait!$H$225:$I$260,2,0)</f>
        <v>#N/A</v>
      </c>
    </row>
    <row r="31" spans="1:29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3027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  <c r="AA31" s="17" t="e">
        <f>VLOOKUP(F31,[2]Wait!$H$225:$I$260,2,0)</f>
        <v>#N/A</v>
      </c>
    </row>
    <row r="32" spans="1:29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3028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  <c r="AA32" s="17" t="e">
        <f>VLOOKUP(F32,[2]Wait!$H$225:$I$260,2,0)</f>
        <v>#N/A</v>
      </c>
    </row>
    <row r="33" spans="1:27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3029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  <c r="AA33" s="17" t="e">
        <f>VLOOKUP(F33,[2]Wait!$H$225:$I$260,2,0)</f>
        <v>#N/A</v>
      </c>
    </row>
    <row r="34" spans="1:27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3029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  <c r="AA34" s="17" t="e">
        <f>VLOOKUP(F34,[2]Wait!$H$225:$I$260,2,0)</f>
        <v>#N/A</v>
      </c>
    </row>
    <row r="35" spans="1:27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3030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  <c r="AA35" s="17" t="e">
        <f>VLOOKUP(F35,[2]Wait!$H$225:$I$260,2,0)</f>
        <v>#N/A</v>
      </c>
    </row>
    <row r="36" spans="1:27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3031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  <c r="AA36" s="17" t="e">
        <f>VLOOKUP(F36,[2]Wait!$H$225:$I$260,2,0)</f>
        <v>#N/A</v>
      </c>
    </row>
    <row r="37" spans="1:27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3031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  <c r="AA37" s="17" t="e">
        <f>VLOOKUP(F37,[2]Wait!$H$225:$I$260,2,0)</f>
        <v>#N/A</v>
      </c>
    </row>
    <row r="38" spans="1:27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3032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  <c r="AA38" s="17" t="e">
        <f>VLOOKUP(F38,[2]Wait!$H$225:$I$260,2,0)</f>
        <v>#N/A</v>
      </c>
    </row>
    <row r="39" spans="1:27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3033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  <c r="AA39" s="17" t="e">
        <f>VLOOKUP(F39,[2]Wait!$H$225:$I$260,2,0)</f>
        <v>#N/A</v>
      </c>
    </row>
    <row r="40" spans="1:27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3034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  <c r="AA40" s="17" t="e">
        <f>VLOOKUP(F40,[2]Wait!$H$225:$I$260,2,0)</f>
        <v>#N/A</v>
      </c>
    </row>
    <row r="41" spans="1:27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3035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  <c r="AA41" s="17" t="e">
        <f>VLOOKUP(F41,[2]Wait!$H$225:$I$260,2,0)</f>
        <v>#N/A</v>
      </c>
    </row>
    <row r="42" spans="1:27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3036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  <c r="AA42" s="17" t="e">
        <f>VLOOKUP(F42,[2]Wait!$H$225:$I$260,2,0)</f>
        <v>#N/A</v>
      </c>
    </row>
    <row r="43" spans="1:27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3037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  <c r="AA43" s="17" t="e">
        <f>VLOOKUP(F43,[2]Wait!$H$225:$I$260,2,0)</f>
        <v>#N/A</v>
      </c>
    </row>
    <row r="44" spans="1:27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3038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  <c r="AA44" s="17" t="e">
        <f>VLOOKUP(F44,[2]Wait!$H$225:$I$260,2,0)</f>
        <v>#N/A</v>
      </c>
    </row>
    <row r="45" spans="1:27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3039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  <c r="AA45" s="17" t="e">
        <f>VLOOKUP(F45,[2]Wait!$H$225:$I$260,2,0)</f>
        <v>#N/A</v>
      </c>
    </row>
    <row r="46" spans="1:27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3040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  <c r="AA46" s="17" t="e">
        <f>VLOOKUP(F46,[2]Wait!$H$225:$I$260,2,0)</f>
        <v>#N/A</v>
      </c>
    </row>
    <row r="47" spans="1:27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3041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  <c r="AA47" s="17" t="e">
        <f>VLOOKUP(F47,[2]Wait!$H$225:$I$260,2,0)</f>
        <v>#N/A</v>
      </c>
    </row>
    <row r="48" spans="1:27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3042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  <c r="AA48" s="17" t="e">
        <f>VLOOKUP(F48,[2]Wait!$H$225:$I$260,2,0)</f>
        <v>#N/A</v>
      </c>
    </row>
    <row r="49" spans="1:27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3043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  <c r="AA49" s="17" t="e">
        <f>VLOOKUP(F49,[2]Wait!$H$225:$I$260,2,0)</f>
        <v>#N/A</v>
      </c>
    </row>
    <row r="50" spans="1:27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3044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  <c r="AA50" s="17" t="e">
        <f>VLOOKUP(F50,[2]Wait!$H$225:$I$260,2,0)</f>
        <v>#N/A</v>
      </c>
    </row>
    <row r="51" spans="1:27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3045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  <c r="AA51" s="17" t="e">
        <f>VLOOKUP(F51,[2]Wait!$H$225:$I$260,2,0)</f>
        <v>#N/A</v>
      </c>
    </row>
    <row r="52" spans="1:27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3046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  <c r="AA52" s="17" t="e">
        <f>VLOOKUP(F52,[2]Wait!$H$225:$I$260,2,0)</f>
        <v>#N/A</v>
      </c>
    </row>
    <row r="53" spans="1:27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3047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  <c r="AA53" s="17" t="e">
        <f>VLOOKUP(F53,[2]Wait!$H$225:$I$260,2,0)</f>
        <v>#N/A</v>
      </c>
    </row>
    <row r="54" spans="1:27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3048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  <c r="AA54" s="17" t="e">
        <f>VLOOKUP(F54,[2]Wait!$H$225:$I$260,2,0)</f>
        <v>#N/A</v>
      </c>
    </row>
    <row r="55" spans="1:27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3049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  <c r="AA55" s="17" t="e">
        <f>VLOOKUP(F55,[2]Wait!$H$225:$I$260,2,0)</f>
        <v>#N/A</v>
      </c>
    </row>
    <row r="56" spans="1:27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3050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  <c r="AA56" s="17" t="e">
        <f>VLOOKUP(F56,[2]Wait!$H$225:$I$260,2,0)</f>
        <v>#N/A</v>
      </c>
    </row>
    <row r="57" spans="1:27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3051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  <c r="AA57" s="17" t="e">
        <f>VLOOKUP(F57,[2]Wait!$H$225:$I$260,2,0)</f>
        <v>#N/A</v>
      </c>
    </row>
    <row r="58" spans="1:27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3052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  <c r="AA58" s="17" t="e">
        <f>VLOOKUP(F58,[2]Wait!$H$225:$I$260,2,0)</f>
        <v>#N/A</v>
      </c>
    </row>
    <row r="59" spans="1:27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3053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  <c r="AA59" s="17" t="e">
        <f>VLOOKUP(F59,[2]Wait!$H$225:$I$260,2,0)</f>
        <v>#N/A</v>
      </c>
    </row>
    <row r="60" spans="1:27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3054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  <c r="AA60" s="17" t="e">
        <f>VLOOKUP(F60,[2]Wait!$H$225:$I$260,2,0)</f>
        <v>#N/A</v>
      </c>
    </row>
    <row r="61" spans="1:27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3055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  <c r="AA61" s="17" t="e">
        <f>VLOOKUP(F61,[2]Wait!$H$225:$I$260,2,0)</f>
        <v>#N/A</v>
      </c>
    </row>
    <row r="62" spans="1:27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3056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  <c r="AA62" s="17" t="e">
        <f>VLOOKUP(F62,[2]Wait!$H$225:$I$260,2,0)</f>
        <v>#N/A</v>
      </c>
    </row>
    <row r="63" spans="1:27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3057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  <c r="AA63" s="17" t="e">
        <f>VLOOKUP(F63,[2]Wait!$H$225:$I$260,2,0)</f>
        <v>#N/A</v>
      </c>
    </row>
    <row r="64" spans="1:27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3058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  <c r="AA64" s="17" t="e">
        <f>VLOOKUP(F64,[2]Wait!$H$225:$I$260,2,0)</f>
        <v>#N/A</v>
      </c>
    </row>
    <row r="65" spans="1:29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3059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  <c r="AA65" s="17" t="e">
        <f>VLOOKUP(F65,[2]Wait!$H$225:$I$260,2,0)</f>
        <v>#N/A</v>
      </c>
    </row>
    <row r="66" spans="1:29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3060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  <c r="AA66" s="17" t="e">
        <f>VLOOKUP(F66,[2]Wait!$H$225:$I$260,2,0)</f>
        <v>#N/A</v>
      </c>
    </row>
    <row r="67" spans="1:29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3060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  <c r="AA67" s="17" t="e">
        <f>VLOOKUP(F67,[2]Wait!$H$225:$I$260,2,0)</f>
        <v>#N/A</v>
      </c>
    </row>
    <row r="68" spans="1:29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3060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17" t="e">
        <f>VLOOKUP(F68,[2]Wait!$H$225:$I$260,2,0)</f>
        <v>#N/A</v>
      </c>
      <c r="AB68" s="24"/>
      <c r="AC68" s="25"/>
    </row>
    <row r="69" spans="1:29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3061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17" t="e">
        <f>VLOOKUP(F69,[2]Wait!$H$225:$I$260,2,0)</f>
        <v>#N/A</v>
      </c>
      <c r="AB69" s="24"/>
      <c r="AC69" s="25"/>
    </row>
    <row r="70" spans="1:29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3062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17" t="e">
        <f>VLOOKUP(F70,[2]Wait!$H$225:$I$260,2,0)</f>
        <v>#N/A</v>
      </c>
      <c r="AB70" s="24"/>
      <c r="AC70" s="25"/>
    </row>
    <row r="71" spans="1:29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3063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17" t="e">
        <f>VLOOKUP(F71,[2]Wait!$H$225:$I$260,2,0)</f>
        <v>#N/A</v>
      </c>
      <c r="AB71" s="24"/>
      <c r="AC71" s="25"/>
    </row>
    <row r="72" spans="1:29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3064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  <c r="AA72" s="17" t="e">
        <f>VLOOKUP(F72,[2]Wait!$H$225:$I$260,2,0)</f>
        <v>#N/A</v>
      </c>
    </row>
    <row r="73" spans="1:29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3065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  <c r="AA73" s="17" t="e">
        <f>VLOOKUP(F73,[2]Wait!$H$225:$I$260,2,0)</f>
        <v>#N/A</v>
      </c>
    </row>
    <row r="74" spans="1:29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3066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  <c r="AA74" s="17" t="e">
        <f>VLOOKUP(F74,[2]Wait!$H$225:$I$260,2,0)</f>
        <v>#N/A</v>
      </c>
    </row>
    <row r="75" spans="1:29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3067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  <c r="AA75" s="17" t="e">
        <f>VLOOKUP(F75,[2]Wait!$H$225:$I$260,2,0)</f>
        <v>#N/A</v>
      </c>
    </row>
    <row r="76" spans="1:29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3068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  <c r="AA76" s="17" t="e">
        <f>VLOOKUP(F76,[2]Wait!$H$225:$I$260,2,0)</f>
        <v>#N/A</v>
      </c>
    </row>
    <row r="77" spans="1:29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3069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  <c r="AA77" s="17" t="e">
        <f>VLOOKUP(F77,[2]Wait!$H$225:$I$260,2,0)</f>
        <v>#N/A</v>
      </c>
    </row>
    <row r="78" spans="1:29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3070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  <c r="AA78" s="17" t="e">
        <f>VLOOKUP(F78,[2]Wait!$H$225:$I$260,2,0)</f>
        <v>#N/A</v>
      </c>
    </row>
    <row r="79" spans="1:29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3071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  <c r="AA79" s="17" t="e">
        <f>VLOOKUP(F79,[2]Wait!$H$225:$I$260,2,0)</f>
        <v>#N/A</v>
      </c>
    </row>
    <row r="80" spans="1:29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3072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  <c r="AA80" s="17" t="e">
        <f>VLOOKUP(F80,[2]Wait!$H$225:$I$260,2,0)</f>
        <v>#N/A</v>
      </c>
    </row>
    <row r="81" spans="1:29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3073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  <c r="AA81" s="17" t="e">
        <f>VLOOKUP(F81,[2]Wait!$H$225:$I$260,2,0)</f>
        <v>#N/A</v>
      </c>
    </row>
    <row r="82" spans="1:29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3074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  <c r="AA82" s="17" t="e">
        <f>VLOOKUP(F82,[2]Wait!$H$225:$I$260,2,0)</f>
        <v>#N/A</v>
      </c>
    </row>
    <row r="83" spans="1:29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3075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  <c r="AA83" s="17" t="e">
        <f>VLOOKUP(F83,[2]Wait!$H$225:$I$260,2,0)</f>
        <v>#N/A</v>
      </c>
    </row>
    <row r="84" spans="1:29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  <c r="AA84" s="17" t="e">
        <f>VLOOKUP(F84,[2]Wait!$H$225:$I$260,2,0)</f>
        <v>#N/A</v>
      </c>
    </row>
    <row r="85" spans="1:29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46275</v>
      </c>
      <c r="W85" s="16">
        <v>46272</v>
      </c>
      <c r="X85" s="15" t="s">
        <v>1051</v>
      </c>
      <c r="Y85" s="16">
        <v>46279</v>
      </c>
      <c r="Z85" s="15" t="s">
        <v>1052</v>
      </c>
      <c r="AA85" s="17" t="e">
        <f>VLOOKUP(F85,[2]Wait!$H$225:$I$260,2,0)</f>
        <v>#N/A</v>
      </c>
    </row>
    <row r="86" spans="1:29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  <c r="AA86" s="17" t="e">
        <f>VLOOKUP(F86,[2]Wait!$H$225:$I$260,2,0)</f>
        <v>#N/A</v>
      </c>
    </row>
    <row r="87" spans="1:29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  <c r="AA87" s="17" t="e">
        <f>VLOOKUP(F87,[2]Wait!$H$225:$I$260,2,0)</f>
        <v>#N/A</v>
      </c>
    </row>
    <row r="88" spans="1:29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  <c r="AA88" s="17" t="e">
        <f>VLOOKUP(F88,[2]Wait!$H$225:$I$260,2,0)</f>
        <v>#N/A</v>
      </c>
    </row>
    <row r="89" spans="1:29" x14ac:dyDescent="0.25">
      <c r="A89" s="23">
        <f t="shared" si="1"/>
        <v>82</v>
      </c>
      <c r="B89" s="15" t="s">
        <v>926</v>
      </c>
      <c r="C89" s="15" t="s">
        <v>927</v>
      </c>
      <c r="D89" s="15" t="s">
        <v>2345</v>
      </c>
      <c r="E89" s="15" t="s">
        <v>2346</v>
      </c>
      <c r="F89" s="15" t="s">
        <v>2346</v>
      </c>
      <c r="G89" s="15" t="s">
        <v>194</v>
      </c>
      <c r="H89" s="15" t="s">
        <v>26</v>
      </c>
      <c r="I89" s="16">
        <v>46280</v>
      </c>
      <c r="J89" s="15" t="s">
        <v>225</v>
      </c>
      <c r="K89" s="15" t="s">
        <v>28</v>
      </c>
      <c r="L89" s="15" t="s">
        <v>2347</v>
      </c>
      <c r="M89" s="15" t="s">
        <v>931</v>
      </c>
      <c r="N89" s="15" t="s">
        <v>29</v>
      </c>
      <c r="O89" s="15" t="s">
        <v>1044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26</v>
      </c>
      <c r="V89" s="16">
        <v>46279</v>
      </c>
      <c r="W89" s="16">
        <v>46258</v>
      </c>
      <c r="X89" s="15" t="s">
        <v>34</v>
      </c>
      <c r="Y89" s="16">
        <v>46274</v>
      </c>
      <c r="Z89" s="15" t="s">
        <v>57</v>
      </c>
      <c r="AA89" s="17" t="e">
        <f>VLOOKUP(F89,[2]Wait!$H$225:$I$260,2,0)</f>
        <v>#N/A</v>
      </c>
    </row>
    <row r="90" spans="1:29" x14ac:dyDescent="0.25">
      <c r="A90" s="23">
        <f t="shared" si="1"/>
        <v>83</v>
      </c>
      <c r="B90" s="15" t="s">
        <v>926</v>
      </c>
      <c r="C90" s="15" t="s">
        <v>927</v>
      </c>
      <c r="D90" s="15" t="s">
        <v>2385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110</v>
      </c>
      <c r="K90" s="15" t="s">
        <v>28</v>
      </c>
      <c r="L90" s="15" t="s">
        <v>2386</v>
      </c>
      <c r="M90" s="15" t="s">
        <v>1059</v>
      </c>
      <c r="N90" s="15" t="s">
        <v>29</v>
      </c>
      <c r="O90" s="15" t="s">
        <v>949</v>
      </c>
      <c r="P90" s="15" t="s">
        <v>26</v>
      </c>
      <c r="Q90" s="15" t="s">
        <v>26</v>
      </c>
      <c r="R90" s="15" t="s">
        <v>253</v>
      </c>
      <c r="S90" s="15" t="s">
        <v>32</v>
      </c>
      <c r="T90" s="15" t="s">
        <v>136</v>
      </c>
      <c r="U90" s="15" t="s">
        <v>2387</v>
      </c>
      <c r="V90" s="16">
        <v>46285</v>
      </c>
      <c r="W90" s="16">
        <v>46263</v>
      </c>
      <c r="X90" s="15" t="s">
        <v>39</v>
      </c>
      <c r="Y90" s="16">
        <v>46263</v>
      </c>
      <c r="Z90" s="15" t="s">
        <v>39</v>
      </c>
      <c r="AA90" s="17" t="e">
        <f>VLOOKUP(F90,[2]Wait!$H$225:$I$260,2,0)</f>
        <v>#N/A</v>
      </c>
    </row>
    <row r="91" spans="1:29" x14ac:dyDescent="0.25">
      <c r="A91" s="23">
        <f t="shared" si="1"/>
        <v>84</v>
      </c>
      <c r="B91" s="15" t="s">
        <v>926</v>
      </c>
      <c r="C91" s="15" t="s">
        <v>927</v>
      </c>
      <c r="D91" s="15" t="s">
        <v>2391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63</v>
      </c>
      <c r="K91" s="15" t="s">
        <v>28</v>
      </c>
      <c r="L91" s="15" t="s">
        <v>2392</v>
      </c>
      <c r="M91" s="15" t="s">
        <v>1059</v>
      </c>
      <c r="N91" s="15" t="s">
        <v>29</v>
      </c>
      <c r="O91" s="15" t="s">
        <v>946</v>
      </c>
      <c r="P91" s="15" t="s">
        <v>26</v>
      </c>
      <c r="Q91" s="15" t="s">
        <v>26</v>
      </c>
      <c r="R91" s="15" t="s">
        <v>37</v>
      </c>
      <c r="S91" s="15" t="s">
        <v>32</v>
      </c>
      <c r="T91" s="15" t="s">
        <v>78</v>
      </c>
      <c r="U91" s="15" t="s">
        <v>2393</v>
      </c>
      <c r="V91" s="16">
        <v>46288</v>
      </c>
      <c r="W91" s="16">
        <v>46259</v>
      </c>
      <c r="X91" s="15" t="s">
        <v>39</v>
      </c>
      <c r="Y91" s="16">
        <v>46259</v>
      </c>
      <c r="Z91" s="15" t="s">
        <v>39</v>
      </c>
      <c r="AA91" s="17" t="e">
        <f>VLOOKUP(F91,[2]Wait!$H$225:$I$260,2,0)</f>
        <v>#N/A</v>
      </c>
    </row>
    <row r="92" spans="1:29" x14ac:dyDescent="0.25">
      <c r="A92" s="23">
        <f t="shared" si="1"/>
        <v>85</v>
      </c>
      <c r="B92" s="15" t="s">
        <v>926</v>
      </c>
      <c r="C92" s="15" t="s">
        <v>927</v>
      </c>
      <c r="D92" s="15" t="s">
        <v>2394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46289</v>
      </c>
      <c r="J92" s="15" t="s">
        <v>110</v>
      </c>
      <c r="K92" s="15" t="s">
        <v>28</v>
      </c>
      <c r="L92" s="15" t="s">
        <v>2395</v>
      </c>
      <c r="M92" s="15" t="s">
        <v>1059</v>
      </c>
      <c r="N92" s="15" t="s">
        <v>29</v>
      </c>
      <c r="O92" s="15" t="s">
        <v>949</v>
      </c>
      <c r="P92" s="15" t="s">
        <v>26</v>
      </c>
      <c r="Q92" s="15" t="s">
        <v>26</v>
      </c>
      <c r="R92" s="15" t="s">
        <v>253</v>
      </c>
      <c r="S92" s="15" t="s">
        <v>32</v>
      </c>
      <c r="T92" s="15" t="s">
        <v>136</v>
      </c>
      <c r="U92" s="15" t="s">
        <v>2396</v>
      </c>
      <c r="V92" s="16">
        <v>46285</v>
      </c>
      <c r="W92" s="16">
        <v>46263</v>
      </c>
      <c r="X92" s="15" t="s">
        <v>39</v>
      </c>
      <c r="Y92" s="16">
        <v>46263</v>
      </c>
      <c r="Z92" s="15" t="s">
        <v>39</v>
      </c>
      <c r="AA92" s="17" t="e">
        <f>VLOOKUP(F92,[2]Wait!$H$225:$I$260,2,0)</f>
        <v>#N/A</v>
      </c>
    </row>
    <row r="93" spans="1:29" x14ac:dyDescent="0.25">
      <c r="A93" s="23">
        <f t="shared" si="1"/>
        <v>86</v>
      </c>
      <c r="B93" s="15" t="s">
        <v>926</v>
      </c>
      <c r="C93" s="15" t="s">
        <v>927</v>
      </c>
      <c r="D93" s="15" t="s">
        <v>1061</v>
      </c>
      <c r="E93" s="15" t="s">
        <v>26</v>
      </c>
      <c r="F93" s="15" t="s">
        <v>3079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28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  <c r="AA93" s="17" t="e">
        <f>VLOOKUP(F93,[2]Wait!$H$225:$I$260,2,0)</f>
        <v>#N/A</v>
      </c>
    </row>
    <row r="94" spans="1:29" x14ac:dyDescent="0.25">
      <c r="A94" s="23">
        <f t="shared" si="1"/>
        <v>87</v>
      </c>
      <c r="B94" s="15" t="s">
        <v>926</v>
      </c>
      <c r="C94" s="15" t="s">
        <v>927</v>
      </c>
      <c r="D94" s="15" t="s">
        <v>1062</v>
      </c>
      <c r="E94" s="15" t="s">
        <v>26</v>
      </c>
      <c r="F94" s="15" t="s">
        <v>3079</v>
      </c>
      <c r="G94" s="15" t="s">
        <v>35</v>
      </c>
      <c r="H94" s="15" t="s">
        <v>26</v>
      </c>
      <c r="I94" s="16">
        <v>46277</v>
      </c>
      <c r="J94" s="15" t="s">
        <v>82</v>
      </c>
      <c r="K94" s="15" t="s">
        <v>58</v>
      </c>
      <c r="L94" s="15" t="s">
        <v>708</v>
      </c>
      <c r="M94" s="15" t="s">
        <v>1059</v>
      </c>
      <c r="N94" s="15" t="s">
        <v>29</v>
      </c>
      <c r="O94" s="15" t="s">
        <v>949</v>
      </c>
      <c r="P94" s="15" t="s">
        <v>30</v>
      </c>
      <c r="Q94" s="15" t="s">
        <v>31</v>
      </c>
      <c r="R94" s="15" t="s">
        <v>121</v>
      </c>
      <c r="S94" s="15" t="s">
        <v>32</v>
      </c>
      <c r="T94" s="15" t="s">
        <v>78</v>
      </c>
      <c r="U94" s="15" t="s">
        <v>709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7" t="e">
        <f>VLOOKUP(F94,[2]Wait!$H$225:$I$260,2,0)</f>
        <v>#N/A</v>
      </c>
      <c r="AB94" s="1"/>
      <c r="AC94" s="18"/>
    </row>
    <row r="95" spans="1:29" x14ac:dyDescent="0.25">
      <c r="A95" s="23">
        <f t="shared" si="1"/>
        <v>88</v>
      </c>
      <c r="B95" s="15" t="s">
        <v>926</v>
      </c>
      <c r="C95" s="15" t="s">
        <v>927</v>
      </c>
      <c r="D95" s="15" t="s">
        <v>1069</v>
      </c>
      <c r="E95" s="15" t="s">
        <v>26</v>
      </c>
      <c r="F95" s="15" t="s">
        <v>3080</v>
      </c>
      <c r="G95" s="15" t="s">
        <v>35</v>
      </c>
      <c r="H95" s="15" t="s">
        <v>74</v>
      </c>
      <c r="I95" s="16">
        <v>46275</v>
      </c>
      <c r="J95" s="15" t="s">
        <v>36</v>
      </c>
      <c r="K95" s="15" t="s">
        <v>28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46275</v>
      </c>
      <c r="W95" s="16">
        <v>46254</v>
      </c>
      <c r="X95" s="15" t="s">
        <v>34</v>
      </c>
      <c r="Y95" s="16">
        <v>46254</v>
      </c>
      <c r="Z95" s="15" t="s">
        <v>57</v>
      </c>
      <c r="AA95" s="17" t="e">
        <f>VLOOKUP(F95,[2]Wait!$H$225:$I$260,2,0)</f>
        <v>#N/A</v>
      </c>
      <c r="AB95" s="3"/>
    </row>
    <row r="96" spans="1:29" x14ac:dyDescent="0.25">
      <c r="A96" s="23">
        <f t="shared" si="1"/>
        <v>89</v>
      </c>
      <c r="B96" s="15" t="s">
        <v>926</v>
      </c>
      <c r="C96" s="15" t="s">
        <v>927</v>
      </c>
      <c r="D96" s="15" t="s">
        <v>1071</v>
      </c>
      <c r="E96" s="15" t="s">
        <v>26</v>
      </c>
      <c r="F96" s="15" t="s">
        <v>3080</v>
      </c>
      <c r="G96" s="15" t="s">
        <v>35</v>
      </c>
      <c r="H96" s="15" t="s">
        <v>74</v>
      </c>
      <c r="I96" s="16">
        <v>46275</v>
      </c>
      <c r="J96" s="15" t="s">
        <v>63</v>
      </c>
      <c r="K96" s="15" t="s">
        <v>58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>
        <v>46270</v>
      </c>
      <c r="W96" s="16">
        <v>46254</v>
      </c>
      <c r="X96" s="15" t="s">
        <v>34</v>
      </c>
      <c r="Y96" s="16">
        <v>46254</v>
      </c>
      <c r="Z96" s="15" t="s">
        <v>57</v>
      </c>
      <c r="AA96" s="17" t="e">
        <f>VLOOKUP(F96,[2]Wait!$H$225:$I$260,2,0)</f>
        <v>#N/A</v>
      </c>
      <c r="AB96" s="1"/>
    </row>
    <row r="97" spans="1:28" x14ac:dyDescent="0.25">
      <c r="A97" s="23">
        <f t="shared" si="1"/>
        <v>90</v>
      </c>
      <c r="B97" s="15" t="s">
        <v>926</v>
      </c>
      <c r="C97" s="15" t="s">
        <v>927</v>
      </c>
      <c r="D97" s="15" t="s">
        <v>1072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46275</v>
      </c>
      <c r="J97" s="15" t="s">
        <v>36</v>
      </c>
      <c r="K97" s="15" t="s">
        <v>59</v>
      </c>
      <c r="L97" s="15" t="s">
        <v>264</v>
      </c>
      <c r="M97" s="15" t="s">
        <v>1059</v>
      </c>
      <c r="N97" s="15" t="s">
        <v>29</v>
      </c>
      <c r="O97" s="15" t="s">
        <v>1070</v>
      </c>
      <c r="P97" s="15" t="s">
        <v>41</v>
      </c>
      <c r="Q97" s="15" t="s">
        <v>42</v>
      </c>
      <c r="R97" s="15" t="s">
        <v>135</v>
      </c>
      <c r="S97" s="15" t="s">
        <v>32</v>
      </c>
      <c r="T97" s="15" t="s">
        <v>78</v>
      </c>
      <c r="U97" s="15" t="s">
        <v>265</v>
      </c>
      <c r="V97" s="16"/>
      <c r="W97" s="16">
        <v>46254</v>
      </c>
      <c r="X97" s="15" t="s">
        <v>34</v>
      </c>
      <c r="Y97" s="16">
        <v>46254</v>
      </c>
      <c r="Z97" s="15" t="s">
        <v>57</v>
      </c>
      <c r="AA97" s="17" t="e">
        <f>VLOOKUP(F97,[2]Wait!$H$225:$I$260,2,0)</f>
        <v>#N/A</v>
      </c>
      <c r="AB97" s="3"/>
    </row>
    <row r="98" spans="1:28" x14ac:dyDescent="0.25">
      <c r="A98" s="23">
        <f t="shared" si="1"/>
        <v>91</v>
      </c>
      <c r="B98" s="15" t="s">
        <v>926</v>
      </c>
      <c r="C98" s="15" t="s">
        <v>927</v>
      </c>
      <c r="D98" s="15" t="s">
        <v>1073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46274</v>
      </c>
      <c r="J98" s="15" t="s">
        <v>63</v>
      </c>
      <c r="K98" s="15" t="s">
        <v>28</v>
      </c>
      <c r="L98" s="15" t="s">
        <v>570</v>
      </c>
      <c r="M98" s="15" t="s">
        <v>1074</v>
      </c>
      <c r="N98" s="15" t="s">
        <v>29</v>
      </c>
      <c r="O98" s="15" t="s">
        <v>946</v>
      </c>
      <c r="P98" s="15" t="s">
        <v>41</v>
      </c>
      <c r="Q98" s="15" t="s">
        <v>42</v>
      </c>
      <c r="R98" s="15" t="s">
        <v>77</v>
      </c>
      <c r="S98" s="15" t="s">
        <v>32</v>
      </c>
      <c r="T98" s="15" t="s">
        <v>78</v>
      </c>
      <c r="U98" s="15" t="s">
        <v>571</v>
      </c>
      <c r="V98" s="16">
        <v>46274</v>
      </c>
      <c r="W98" s="16">
        <v>46259</v>
      </c>
      <c r="X98" s="15" t="s">
        <v>39</v>
      </c>
      <c r="Y98" s="16">
        <v>46259</v>
      </c>
      <c r="Z98" s="15" t="s">
        <v>39</v>
      </c>
      <c r="AA98" s="17" t="e">
        <f>VLOOKUP(F98,[2]Wait!$H$225:$I$260,2,0)</f>
        <v>#N/A</v>
      </c>
      <c r="AB98" s="1"/>
    </row>
    <row r="99" spans="1:28" x14ac:dyDescent="0.25">
      <c r="A99" s="23">
        <f t="shared" si="1"/>
        <v>92</v>
      </c>
      <c r="B99" s="15" t="s">
        <v>926</v>
      </c>
      <c r="C99" s="15" t="s">
        <v>927</v>
      </c>
      <c r="D99" s="15" t="s">
        <v>1075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1076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1078</v>
      </c>
      <c r="V99" s="16">
        <v>46277</v>
      </c>
      <c r="W99" s="16">
        <v>46261</v>
      </c>
      <c r="X99" s="15" t="s">
        <v>39</v>
      </c>
      <c r="Y99" s="16">
        <v>46261</v>
      </c>
      <c r="Z99" s="15" t="s">
        <v>39</v>
      </c>
      <c r="AA99" s="17" t="e">
        <f>VLOOKUP(F99,[2]Wait!$H$225:$I$260,2,0)</f>
        <v>#N/A</v>
      </c>
    </row>
    <row r="100" spans="1:28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1079</v>
      </c>
      <c r="E100" s="15" t="s">
        <v>26</v>
      </c>
      <c r="F100" s="15" t="s">
        <v>3083</v>
      </c>
      <c r="G100" s="15" t="s">
        <v>35</v>
      </c>
      <c r="H100" s="15" t="s">
        <v>74</v>
      </c>
      <c r="I100" s="16">
        <v>46277</v>
      </c>
      <c r="J100" s="15" t="s">
        <v>63</v>
      </c>
      <c r="K100" s="15" t="s">
        <v>28</v>
      </c>
      <c r="L100" s="15" t="s">
        <v>1080</v>
      </c>
      <c r="M100" s="15" t="s">
        <v>1077</v>
      </c>
      <c r="N100" s="15" t="s">
        <v>29</v>
      </c>
      <c r="O100" s="15" t="s">
        <v>939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78</v>
      </c>
      <c r="U100" s="15" t="s">
        <v>943</v>
      </c>
      <c r="V100" s="16">
        <v>46279</v>
      </c>
      <c r="W100" s="16">
        <v>46261</v>
      </c>
      <c r="X100" s="15" t="s">
        <v>39</v>
      </c>
      <c r="Y100" s="16">
        <v>46261</v>
      </c>
      <c r="Z100" s="15" t="s">
        <v>39</v>
      </c>
      <c r="AA100" s="17" t="e">
        <f>VLOOKUP(F100,[2]Wait!$H$225:$I$260,2,0)</f>
        <v>#N/A</v>
      </c>
    </row>
    <row r="101" spans="1:28" x14ac:dyDescent="0.25">
      <c r="A101" s="23">
        <f t="shared" si="1"/>
        <v>94</v>
      </c>
      <c r="B101" s="15" t="s">
        <v>926</v>
      </c>
      <c r="C101" s="15" t="s">
        <v>927</v>
      </c>
      <c r="D101" s="15" t="s">
        <v>1339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1340</v>
      </c>
      <c r="M101" s="15" t="s">
        <v>1077</v>
      </c>
      <c r="N101" s="15" t="s">
        <v>29</v>
      </c>
      <c r="O101" s="15" t="s">
        <v>961</v>
      </c>
      <c r="P101" s="15" t="s">
        <v>26</v>
      </c>
      <c r="Q101" s="15" t="s">
        <v>26</v>
      </c>
      <c r="R101" s="15" t="s">
        <v>72</v>
      </c>
      <c r="S101" s="15" t="s">
        <v>32</v>
      </c>
      <c r="T101" s="15" t="s">
        <v>71</v>
      </c>
      <c r="U101" s="15" t="s">
        <v>947</v>
      </c>
      <c r="V101" s="16">
        <v>46279</v>
      </c>
      <c r="W101" s="16">
        <v>46267</v>
      </c>
      <c r="X101" s="15" t="s">
        <v>39</v>
      </c>
      <c r="Y101" s="16">
        <v>46267</v>
      </c>
      <c r="Z101" s="15" t="s">
        <v>39</v>
      </c>
      <c r="AA101" s="17" t="e">
        <f>VLOOKUP(F101,[2]Wait!$H$225:$I$260,2,0)</f>
        <v>#N/A</v>
      </c>
    </row>
    <row r="102" spans="1:28" x14ac:dyDescent="0.25">
      <c r="A102" s="23">
        <f t="shared" si="1"/>
        <v>95</v>
      </c>
      <c r="B102" s="15" t="s">
        <v>926</v>
      </c>
      <c r="C102" s="15" t="s">
        <v>927</v>
      </c>
      <c r="D102" s="15" t="s">
        <v>2858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46277</v>
      </c>
      <c r="J102" s="15" t="s">
        <v>110</v>
      </c>
      <c r="K102" s="15" t="s">
        <v>28</v>
      </c>
      <c r="L102" s="15" t="s">
        <v>2859</v>
      </c>
      <c r="M102" s="15" t="s">
        <v>1077</v>
      </c>
      <c r="N102" s="15" t="s">
        <v>29</v>
      </c>
      <c r="O102" s="15" t="s">
        <v>949</v>
      </c>
      <c r="P102" s="15" t="s">
        <v>214</v>
      </c>
      <c r="Q102" s="15" t="s">
        <v>215</v>
      </c>
      <c r="R102" s="15" t="s">
        <v>126</v>
      </c>
      <c r="S102" s="15" t="s">
        <v>32</v>
      </c>
      <c r="T102" s="15" t="s">
        <v>136</v>
      </c>
      <c r="U102" s="15" t="s">
        <v>2861</v>
      </c>
      <c r="V102" s="16">
        <v>46276</v>
      </c>
      <c r="W102" s="16">
        <v>46263</v>
      </c>
      <c r="X102" s="15" t="s">
        <v>39</v>
      </c>
      <c r="Y102" s="16">
        <v>46263</v>
      </c>
      <c r="Z102" s="15" t="s">
        <v>39</v>
      </c>
      <c r="AA102" s="17" t="e">
        <f>VLOOKUP(F102,[2]Wait!$H$225:$I$260,2,0)</f>
        <v>#N/A</v>
      </c>
    </row>
    <row r="103" spans="1:28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1633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46281</v>
      </c>
      <c r="J103" s="15" t="s">
        <v>36</v>
      </c>
      <c r="K103" s="15" t="s">
        <v>28</v>
      </c>
      <c r="L103" s="15" t="s">
        <v>1634</v>
      </c>
      <c r="M103" s="15" t="s">
        <v>1077</v>
      </c>
      <c r="N103" s="15" t="s">
        <v>29</v>
      </c>
      <c r="O103" s="15" t="s">
        <v>946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70</v>
      </c>
      <c r="U103" s="15" t="s">
        <v>958</v>
      </c>
      <c r="V103" s="16">
        <v>46279</v>
      </c>
      <c r="W103" s="16">
        <v>46259</v>
      </c>
      <c r="X103" s="15" t="s">
        <v>39</v>
      </c>
      <c r="Y103" s="16">
        <v>46259</v>
      </c>
      <c r="Z103" s="15" t="s">
        <v>39</v>
      </c>
      <c r="AA103" s="17" t="e">
        <f>VLOOKUP(F103,[2]Wait!$H$225:$I$260,2,0)</f>
        <v>#N/A</v>
      </c>
    </row>
    <row r="104" spans="1:28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1081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46280</v>
      </c>
      <c r="J104" s="15" t="s">
        <v>36</v>
      </c>
      <c r="K104" s="15" t="s">
        <v>28</v>
      </c>
      <c r="L104" s="15" t="s">
        <v>1082</v>
      </c>
      <c r="M104" s="15" t="s">
        <v>1077</v>
      </c>
      <c r="N104" s="15" t="s">
        <v>29</v>
      </c>
      <c r="O104" s="15" t="s">
        <v>961</v>
      </c>
      <c r="P104" s="15" t="s">
        <v>26</v>
      </c>
      <c r="Q104" s="15" t="s">
        <v>26</v>
      </c>
      <c r="R104" s="15" t="s">
        <v>69</v>
      </c>
      <c r="S104" s="15" t="s">
        <v>32</v>
      </c>
      <c r="T104" s="15" t="s">
        <v>71</v>
      </c>
      <c r="U104" s="15" t="s">
        <v>958</v>
      </c>
      <c r="V104" s="16">
        <v>46279</v>
      </c>
      <c r="W104" s="16">
        <v>46267</v>
      </c>
      <c r="X104" s="15" t="s">
        <v>39</v>
      </c>
      <c r="Y104" s="16">
        <v>46267</v>
      </c>
      <c r="Z104" s="15" t="s">
        <v>39</v>
      </c>
      <c r="AA104" s="17" t="e">
        <f>VLOOKUP(F104,[2]Wait!$H$225:$I$260,2,0)</f>
        <v>#N/A</v>
      </c>
    </row>
    <row r="105" spans="1:28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1916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46289</v>
      </c>
      <c r="J105" s="15" t="s">
        <v>63</v>
      </c>
      <c r="K105" s="15" t="s">
        <v>28</v>
      </c>
      <c r="L105" s="15" t="s">
        <v>1917</v>
      </c>
      <c r="M105" s="15" t="s">
        <v>1077</v>
      </c>
      <c r="N105" s="15" t="s">
        <v>29</v>
      </c>
      <c r="O105" s="15" t="s">
        <v>949</v>
      </c>
      <c r="P105" s="15" t="s">
        <v>30</v>
      </c>
      <c r="Q105" s="15" t="s">
        <v>31</v>
      </c>
      <c r="R105" s="15" t="s">
        <v>37</v>
      </c>
      <c r="S105" s="15" t="s">
        <v>32</v>
      </c>
      <c r="T105" s="15" t="s">
        <v>78</v>
      </c>
      <c r="U105" s="15" t="s">
        <v>1918</v>
      </c>
      <c r="V105" s="16">
        <v>46287</v>
      </c>
      <c r="W105" s="16">
        <v>46263</v>
      </c>
      <c r="X105" s="15" t="s">
        <v>39</v>
      </c>
      <c r="Y105" s="16">
        <v>46263</v>
      </c>
      <c r="Z105" s="15" t="s">
        <v>39</v>
      </c>
      <c r="AA105" s="17" t="e">
        <f>VLOOKUP(F105,[2]Wait!$H$225:$I$260,2,0)</f>
        <v>#N/A</v>
      </c>
    </row>
    <row r="106" spans="1:28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1083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46273</v>
      </c>
      <c r="J106" s="15" t="s">
        <v>36</v>
      </c>
      <c r="K106" s="15" t="s">
        <v>28</v>
      </c>
      <c r="L106" s="15" t="s">
        <v>768</v>
      </c>
      <c r="M106" s="15" t="s">
        <v>1077</v>
      </c>
      <c r="N106" s="15" t="s">
        <v>29</v>
      </c>
      <c r="O106" s="15" t="s">
        <v>949</v>
      </c>
      <c r="P106" s="15" t="s">
        <v>41</v>
      </c>
      <c r="Q106" s="15" t="s">
        <v>42</v>
      </c>
      <c r="R106" s="15" t="s">
        <v>77</v>
      </c>
      <c r="S106" s="15" t="s">
        <v>32</v>
      </c>
      <c r="T106" s="15" t="s">
        <v>78</v>
      </c>
      <c r="U106" s="15" t="s">
        <v>769</v>
      </c>
      <c r="V106" s="16">
        <v>46273</v>
      </c>
      <c r="W106" s="16">
        <v>46263</v>
      </c>
      <c r="X106" s="15" t="s">
        <v>39</v>
      </c>
      <c r="Y106" s="16">
        <v>46263</v>
      </c>
      <c r="Z106" s="15" t="s">
        <v>39</v>
      </c>
      <c r="AA106" s="17" t="e">
        <f>VLOOKUP(F106,[2]Wait!$H$225:$I$260,2,0)</f>
        <v>#N/A</v>
      </c>
    </row>
    <row r="107" spans="1:28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1084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46274</v>
      </c>
      <c r="J107" s="15" t="s">
        <v>36</v>
      </c>
      <c r="K107" s="15" t="s">
        <v>28</v>
      </c>
      <c r="L107" s="15" t="s">
        <v>399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77</v>
      </c>
      <c r="S107" s="15" t="s">
        <v>32</v>
      </c>
      <c r="T107" s="15" t="s">
        <v>78</v>
      </c>
      <c r="U107" s="15" t="s">
        <v>400</v>
      </c>
      <c r="V107" s="16">
        <v>46272</v>
      </c>
      <c r="W107" s="16">
        <v>46263</v>
      </c>
      <c r="X107" s="15" t="s">
        <v>39</v>
      </c>
      <c r="Y107" s="16">
        <v>46263</v>
      </c>
      <c r="Z107" s="15" t="s">
        <v>39</v>
      </c>
      <c r="AA107" s="17" t="e">
        <f>VLOOKUP(F107,[2]Wait!$H$225:$I$260,2,0)</f>
        <v>#N/A</v>
      </c>
    </row>
    <row r="108" spans="1:28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1085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1086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  <c r="AA108" s="17" t="e">
        <f>VLOOKUP(F108,[2]Wait!$H$225:$I$260,2,0)</f>
        <v>#N/A</v>
      </c>
    </row>
    <row r="109" spans="1:28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1088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46280</v>
      </c>
      <c r="J109" s="15" t="s">
        <v>36</v>
      </c>
      <c r="K109" s="15" t="s">
        <v>28</v>
      </c>
      <c r="L109" s="15" t="s">
        <v>1089</v>
      </c>
      <c r="M109" s="15" t="s">
        <v>1077</v>
      </c>
      <c r="N109" s="15" t="s">
        <v>29</v>
      </c>
      <c r="O109" s="15" t="s">
        <v>949</v>
      </c>
      <c r="P109" s="15" t="s">
        <v>30</v>
      </c>
      <c r="Q109" s="15" t="s">
        <v>31</v>
      </c>
      <c r="R109" s="15" t="s">
        <v>285</v>
      </c>
      <c r="S109" s="15" t="s">
        <v>32</v>
      </c>
      <c r="T109" s="15" t="s">
        <v>66</v>
      </c>
      <c r="U109" s="15" t="s">
        <v>1087</v>
      </c>
      <c r="V109" s="16">
        <v>46279</v>
      </c>
      <c r="W109" s="16">
        <v>46263</v>
      </c>
      <c r="X109" s="15" t="s">
        <v>39</v>
      </c>
      <c r="Y109" s="16">
        <v>46263</v>
      </c>
      <c r="Z109" s="15" t="s">
        <v>39</v>
      </c>
      <c r="AA109" s="17" t="e">
        <f>VLOOKUP(F109,[2]Wait!$H$225:$I$260,2,0)</f>
        <v>#N/A</v>
      </c>
    </row>
    <row r="110" spans="1:28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1090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46271</v>
      </c>
      <c r="J110" s="15" t="s">
        <v>36</v>
      </c>
      <c r="K110" s="15" t="s">
        <v>28</v>
      </c>
      <c r="L110" s="15" t="s">
        <v>1091</v>
      </c>
      <c r="M110" s="15" t="s">
        <v>1077</v>
      </c>
      <c r="N110" s="15" t="s">
        <v>29</v>
      </c>
      <c r="O110" s="15" t="s">
        <v>939</v>
      </c>
      <c r="P110" s="15" t="s">
        <v>30</v>
      </c>
      <c r="Q110" s="15" t="s">
        <v>31</v>
      </c>
      <c r="R110" s="15" t="s">
        <v>69</v>
      </c>
      <c r="S110" s="15" t="s">
        <v>32</v>
      </c>
      <c r="T110" s="15" t="s">
        <v>78</v>
      </c>
      <c r="U110" s="15" t="s">
        <v>1092</v>
      </c>
      <c r="V110" s="16">
        <v>46272</v>
      </c>
      <c r="W110" s="16">
        <v>46261</v>
      </c>
      <c r="X110" s="15" t="s">
        <v>39</v>
      </c>
      <c r="Y110" s="16">
        <v>46261</v>
      </c>
      <c r="Z110" s="15" t="s">
        <v>39</v>
      </c>
      <c r="AA110" s="17" t="e">
        <f>VLOOKUP(F110,[2]Wait!$H$225:$I$260,2,0)</f>
        <v>#N/A</v>
      </c>
    </row>
    <row r="111" spans="1:28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1097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46273</v>
      </c>
      <c r="J111" s="15" t="s">
        <v>27</v>
      </c>
      <c r="K111" s="15" t="s">
        <v>28</v>
      </c>
      <c r="L111" s="15" t="s">
        <v>1098</v>
      </c>
      <c r="M111" s="15" t="s">
        <v>1077</v>
      </c>
      <c r="N111" s="15" t="s">
        <v>29</v>
      </c>
      <c r="O111" s="15" t="s">
        <v>946</v>
      </c>
      <c r="P111" s="15" t="s">
        <v>26</v>
      </c>
      <c r="Q111" s="15" t="s">
        <v>26</v>
      </c>
      <c r="R111" s="15" t="s">
        <v>121</v>
      </c>
      <c r="S111" s="15" t="s">
        <v>32</v>
      </c>
      <c r="T111" s="15" t="s">
        <v>33</v>
      </c>
      <c r="U111" s="15" t="s">
        <v>1099</v>
      </c>
      <c r="V111" s="16">
        <v>46273</v>
      </c>
      <c r="W111" s="16">
        <v>46259</v>
      </c>
      <c r="X111" s="15" t="s">
        <v>39</v>
      </c>
      <c r="Y111" s="16">
        <v>46259</v>
      </c>
      <c r="Z111" s="15" t="s">
        <v>39</v>
      </c>
      <c r="AA111" s="17" t="e">
        <f>VLOOKUP(F111,[2]Wait!$H$225:$I$260,2,0)</f>
        <v>#N/A</v>
      </c>
    </row>
    <row r="112" spans="1:28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1638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46289</v>
      </c>
      <c r="J112" s="15" t="s">
        <v>63</v>
      </c>
      <c r="K112" s="15" t="s">
        <v>28</v>
      </c>
      <c r="L112" s="15" t="s">
        <v>771</v>
      </c>
      <c r="M112" s="15" t="s">
        <v>1077</v>
      </c>
      <c r="N112" s="15" t="s">
        <v>29</v>
      </c>
      <c r="O112" s="15" t="s">
        <v>946</v>
      </c>
      <c r="P112" s="15" t="s">
        <v>41</v>
      </c>
      <c r="Q112" s="15" t="s">
        <v>42</v>
      </c>
      <c r="R112" s="15" t="s">
        <v>37</v>
      </c>
      <c r="S112" s="15" t="s">
        <v>32</v>
      </c>
      <c r="T112" s="15" t="s">
        <v>78</v>
      </c>
      <c r="U112" s="15" t="s">
        <v>772</v>
      </c>
      <c r="V112" s="16">
        <v>46275</v>
      </c>
      <c r="W112" s="16">
        <v>46259</v>
      </c>
      <c r="X112" s="15" t="s">
        <v>39</v>
      </c>
      <c r="Y112" s="16">
        <v>46259</v>
      </c>
      <c r="Z112" s="15" t="s">
        <v>39</v>
      </c>
      <c r="AA112" s="17" t="e">
        <f>VLOOKUP(F112,[2]Wait!$H$225:$I$260,2,0)</f>
        <v>#N/A</v>
      </c>
    </row>
    <row r="113" spans="1:27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1100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82</v>
      </c>
      <c r="K113" s="15" t="s">
        <v>28</v>
      </c>
      <c r="L113" s="15" t="s">
        <v>1101</v>
      </c>
      <c r="M113" s="15" t="s">
        <v>1077</v>
      </c>
      <c r="N113" s="15" t="s">
        <v>29</v>
      </c>
      <c r="O113" s="15" t="s">
        <v>949</v>
      </c>
      <c r="P113" s="15" t="s">
        <v>30</v>
      </c>
      <c r="Q113" s="15" t="s">
        <v>31</v>
      </c>
      <c r="R113" s="15" t="s">
        <v>126</v>
      </c>
      <c r="S113" s="15" t="s">
        <v>32</v>
      </c>
      <c r="T113" s="15" t="s">
        <v>55</v>
      </c>
      <c r="U113" s="15" t="s">
        <v>1102</v>
      </c>
      <c r="V113" s="16">
        <v>46274</v>
      </c>
      <c r="W113" s="16">
        <v>46263</v>
      </c>
      <c r="X113" s="15" t="s">
        <v>39</v>
      </c>
      <c r="Y113" s="16">
        <v>46263</v>
      </c>
      <c r="Z113" s="15" t="s">
        <v>39</v>
      </c>
      <c r="AA113" s="17" t="e">
        <f>VLOOKUP(F113,[2]Wait!$H$225:$I$260,2,0)</f>
        <v>#N/A</v>
      </c>
    </row>
    <row r="114" spans="1:27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1103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52</v>
      </c>
      <c r="K114" s="15" t="s">
        <v>28</v>
      </c>
      <c r="L114" s="15" t="s">
        <v>775</v>
      </c>
      <c r="M114" s="15" t="s">
        <v>1077</v>
      </c>
      <c r="N114" s="15" t="s">
        <v>29</v>
      </c>
      <c r="O114" s="15" t="s">
        <v>946</v>
      </c>
      <c r="P114" s="15" t="s">
        <v>26</v>
      </c>
      <c r="Q114" s="15" t="s">
        <v>26</v>
      </c>
      <c r="R114" s="15" t="s">
        <v>54</v>
      </c>
      <c r="S114" s="15" t="s">
        <v>32</v>
      </c>
      <c r="T114" s="15" t="s">
        <v>549</v>
      </c>
      <c r="U114" s="15" t="s">
        <v>56</v>
      </c>
      <c r="V114" s="16">
        <v>46272</v>
      </c>
      <c r="W114" s="16">
        <v>46259</v>
      </c>
      <c r="X114" s="15" t="s">
        <v>39</v>
      </c>
      <c r="Y114" s="16">
        <v>46259</v>
      </c>
      <c r="Z114" s="15" t="s">
        <v>39</v>
      </c>
      <c r="AA114" s="17" t="e">
        <f>VLOOKUP(F114,[2]Wait!$H$225:$I$260,2,0)</f>
        <v>#N/A</v>
      </c>
    </row>
    <row r="115" spans="1:27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1104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46272</v>
      </c>
      <c r="J115" s="15" t="s">
        <v>63</v>
      </c>
      <c r="K115" s="15" t="s">
        <v>28</v>
      </c>
      <c r="L115" s="15" t="s">
        <v>1105</v>
      </c>
      <c r="M115" s="15" t="s">
        <v>1077</v>
      </c>
      <c r="N115" s="15" t="s">
        <v>29</v>
      </c>
      <c r="O115" s="15" t="s">
        <v>946</v>
      </c>
      <c r="P115" s="15" t="s">
        <v>41</v>
      </c>
      <c r="Q115" s="15" t="s">
        <v>42</v>
      </c>
      <c r="R115" s="15" t="s">
        <v>77</v>
      </c>
      <c r="S115" s="15" t="s">
        <v>32</v>
      </c>
      <c r="T115" s="15" t="s">
        <v>33</v>
      </c>
      <c r="U115" s="15" t="s">
        <v>1106</v>
      </c>
      <c r="V115" s="16">
        <v>46275</v>
      </c>
      <c r="W115" s="16">
        <v>46259</v>
      </c>
      <c r="X115" s="15" t="s">
        <v>39</v>
      </c>
      <c r="Y115" s="16">
        <v>46259</v>
      </c>
      <c r="Z115" s="15" t="s">
        <v>39</v>
      </c>
      <c r="AA115" s="17" t="e">
        <f>VLOOKUP(F115,[2]Wait!$H$225:$I$260,2,0)</f>
        <v>#N/A</v>
      </c>
    </row>
    <row r="116" spans="1:27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2139</v>
      </c>
      <c r="E116" s="15" t="s">
        <v>26</v>
      </c>
      <c r="F116" s="15" t="s">
        <v>3099</v>
      </c>
      <c r="G116" s="15" t="s">
        <v>35</v>
      </c>
      <c r="H116" s="15" t="s">
        <v>26</v>
      </c>
      <c r="I116" s="16">
        <v>46295</v>
      </c>
      <c r="J116" s="15" t="s">
        <v>36</v>
      </c>
      <c r="K116" s="15" t="s">
        <v>28</v>
      </c>
      <c r="L116" s="15" t="s">
        <v>2140</v>
      </c>
      <c r="M116" s="15" t="s">
        <v>1077</v>
      </c>
      <c r="N116" s="15" t="s">
        <v>29</v>
      </c>
      <c r="O116" s="15" t="s">
        <v>946</v>
      </c>
      <c r="P116" s="15" t="s">
        <v>26</v>
      </c>
      <c r="Q116" s="15" t="s">
        <v>26</v>
      </c>
      <c r="R116" s="15" t="s">
        <v>72</v>
      </c>
      <c r="S116" s="15" t="s">
        <v>32</v>
      </c>
      <c r="T116" s="15" t="s">
        <v>78</v>
      </c>
      <c r="U116" s="15" t="s">
        <v>2136</v>
      </c>
      <c r="V116" s="16">
        <v>46295</v>
      </c>
      <c r="W116" s="16">
        <v>46259</v>
      </c>
      <c r="X116" s="15" t="s">
        <v>39</v>
      </c>
      <c r="Y116" s="16">
        <v>46259</v>
      </c>
      <c r="Z116" s="15" t="s">
        <v>39</v>
      </c>
      <c r="AA116" s="17" t="e">
        <f>VLOOKUP(F116,[2]Wait!$H$225:$I$260,2,0)</f>
        <v>#N/A</v>
      </c>
    </row>
    <row r="117" spans="1:27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2146</v>
      </c>
      <c r="E117" s="15" t="s">
        <v>26</v>
      </c>
      <c r="F117" s="15" t="s">
        <v>3100</v>
      </c>
      <c r="G117" s="15" t="s">
        <v>35</v>
      </c>
      <c r="H117" s="15" t="s">
        <v>74</v>
      </c>
      <c r="I117" s="16">
        <v>46295</v>
      </c>
      <c r="J117" s="15" t="s">
        <v>63</v>
      </c>
      <c r="K117" s="15" t="s">
        <v>28</v>
      </c>
      <c r="L117" s="15" t="s">
        <v>611</v>
      </c>
      <c r="M117" s="15" t="s">
        <v>1077</v>
      </c>
      <c r="N117" s="15" t="s">
        <v>29</v>
      </c>
      <c r="O117" s="15" t="s">
        <v>939</v>
      </c>
      <c r="P117" s="15" t="s">
        <v>41</v>
      </c>
      <c r="Q117" s="15" t="s">
        <v>42</v>
      </c>
      <c r="R117" s="15" t="s">
        <v>72</v>
      </c>
      <c r="S117" s="15" t="s">
        <v>32</v>
      </c>
      <c r="T117" s="15" t="s">
        <v>78</v>
      </c>
      <c r="U117" s="15" t="s">
        <v>610</v>
      </c>
      <c r="V117" s="16">
        <v>46295</v>
      </c>
      <c r="W117" s="16">
        <v>46261</v>
      </c>
      <c r="X117" s="15" t="s">
        <v>39</v>
      </c>
      <c r="Y117" s="16">
        <v>46261</v>
      </c>
      <c r="Z117" s="15" t="s">
        <v>39</v>
      </c>
      <c r="AA117" s="17" t="e">
        <f>VLOOKUP(F117,[2]Wait!$H$225:$I$260,2,0)</f>
        <v>#N/A</v>
      </c>
    </row>
    <row r="118" spans="1:27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1107</v>
      </c>
      <c r="E118" s="15" t="s">
        <v>26</v>
      </c>
      <c r="F118" s="15" t="s">
        <v>3101</v>
      </c>
      <c r="G118" s="15" t="s">
        <v>35</v>
      </c>
      <c r="H118" s="15" t="s">
        <v>26</v>
      </c>
      <c r="I118" s="16">
        <v>46280</v>
      </c>
      <c r="J118" s="15" t="s">
        <v>110</v>
      </c>
      <c r="K118" s="15" t="s">
        <v>28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  <c r="AA118" s="17" t="e">
        <f>VLOOKUP(F118,[2]Wait!$H$225:$I$260,2,0)</f>
        <v>#N/A</v>
      </c>
    </row>
    <row r="119" spans="1:27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1111</v>
      </c>
      <c r="E119" s="15" t="s">
        <v>26</v>
      </c>
      <c r="F119" s="15" t="s">
        <v>3101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58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46275</v>
      </c>
      <c r="W119" s="16">
        <v>46254</v>
      </c>
      <c r="X119" s="15" t="s">
        <v>34</v>
      </c>
      <c r="Y119" s="16">
        <v>46254</v>
      </c>
      <c r="Z119" s="15" t="s">
        <v>57</v>
      </c>
      <c r="AA119" s="17" t="e">
        <f>VLOOKUP(F119,[2]Wait!$H$225:$I$260,2,0)</f>
        <v>#N/A</v>
      </c>
    </row>
    <row r="120" spans="1:27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1112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27</v>
      </c>
      <c r="K120" s="15" t="s">
        <v>59</v>
      </c>
      <c r="L120" s="15" t="s">
        <v>1108</v>
      </c>
      <c r="M120" s="15" t="s">
        <v>1109</v>
      </c>
      <c r="N120" s="15" t="s">
        <v>29</v>
      </c>
      <c r="O120" s="15" t="s">
        <v>949</v>
      </c>
      <c r="P120" s="15" t="s">
        <v>30</v>
      </c>
      <c r="Q120" s="15" t="s">
        <v>31</v>
      </c>
      <c r="R120" s="15" t="s">
        <v>37</v>
      </c>
      <c r="S120" s="15" t="s">
        <v>32</v>
      </c>
      <c r="T120" s="15" t="s">
        <v>136</v>
      </c>
      <c r="U120" s="15" t="s">
        <v>1110</v>
      </c>
      <c r="V120" s="16">
        <v>46276</v>
      </c>
      <c r="W120" s="16">
        <v>46254</v>
      </c>
      <c r="X120" s="15" t="s">
        <v>34</v>
      </c>
      <c r="Y120" s="16">
        <v>46254</v>
      </c>
      <c r="Z120" s="15" t="s">
        <v>57</v>
      </c>
      <c r="AA120" s="17" t="e">
        <f>VLOOKUP(F120,[2]Wait!$H$225:$I$260,2,0)</f>
        <v>#N/A</v>
      </c>
    </row>
    <row r="121" spans="1:27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1113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46280</v>
      </c>
      <c r="J121" s="15" t="s">
        <v>36</v>
      </c>
      <c r="K121" s="15" t="s">
        <v>28</v>
      </c>
      <c r="L121" s="15" t="s">
        <v>1114</v>
      </c>
      <c r="M121" s="15" t="s">
        <v>1109</v>
      </c>
      <c r="N121" s="15" t="s">
        <v>29</v>
      </c>
      <c r="O121" s="15" t="s">
        <v>961</v>
      </c>
      <c r="P121" s="15" t="s">
        <v>26</v>
      </c>
      <c r="Q121" s="15" t="s">
        <v>26</v>
      </c>
      <c r="R121" s="15" t="s">
        <v>43</v>
      </c>
      <c r="S121" s="15" t="s">
        <v>32</v>
      </c>
      <c r="T121" s="15" t="s">
        <v>33</v>
      </c>
      <c r="U121" s="15" t="s">
        <v>1115</v>
      </c>
      <c r="V121" s="16">
        <v>46278</v>
      </c>
      <c r="W121" s="16">
        <v>46267</v>
      </c>
      <c r="X121" s="15" t="s">
        <v>39</v>
      </c>
      <c r="Y121" s="16">
        <v>46267</v>
      </c>
      <c r="Z121" s="15" t="s">
        <v>39</v>
      </c>
      <c r="AA121" s="17" t="e">
        <f>VLOOKUP(F121,[2]Wait!$H$225:$I$260,2,0)</f>
        <v>#N/A</v>
      </c>
    </row>
    <row r="122" spans="1:27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1671</v>
      </c>
      <c r="E122" s="15" t="s">
        <v>26</v>
      </c>
      <c r="F122" s="15" t="s">
        <v>3103</v>
      </c>
      <c r="G122" s="15" t="s">
        <v>35</v>
      </c>
      <c r="H122" s="15" t="s">
        <v>26</v>
      </c>
      <c r="I122" s="16">
        <v>46272</v>
      </c>
      <c r="J122" s="15" t="s">
        <v>63</v>
      </c>
      <c r="K122" s="15" t="s">
        <v>28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>
        <v>46270</v>
      </c>
      <c r="W122" s="16">
        <v>46254</v>
      </c>
      <c r="X122" s="15" t="s">
        <v>34</v>
      </c>
      <c r="Y122" s="16">
        <v>46254</v>
      </c>
      <c r="Z122" s="15" t="s">
        <v>57</v>
      </c>
      <c r="AA122" s="17" t="e">
        <f>VLOOKUP(F122,[2]Wait!$H$225:$I$260,2,0)</f>
        <v>#N/A</v>
      </c>
    </row>
    <row r="123" spans="1:27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1675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46272</v>
      </c>
      <c r="J123" s="15" t="s">
        <v>36</v>
      </c>
      <c r="K123" s="15" t="s">
        <v>58</v>
      </c>
      <c r="L123" s="15" t="s">
        <v>1672</v>
      </c>
      <c r="M123" s="15" t="s">
        <v>1121</v>
      </c>
      <c r="N123" s="15" t="s">
        <v>29</v>
      </c>
      <c r="O123" s="15" t="s">
        <v>939</v>
      </c>
      <c r="P123" s="15" t="s">
        <v>30</v>
      </c>
      <c r="Q123" s="15" t="s">
        <v>31</v>
      </c>
      <c r="R123" s="15" t="s">
        <v>37</v>
      </c>
      <c r="S123" s="15" t="s">
        <v>32</v>
      </c>
      <c r="T123" s="15" t="s">
        <v>66</v>
      </c>
      <c r="U123" s="15" t="s">
        <v>1674</v>
      </c>
      <c r="V123" s="16"/>
      <c r="W123" s="16">
        <v>46254</v>
      </c>
      <c r="X123" s="15" t="s">
        <v>34</v>
      </c>
      <c r="Y123" s="16">
        <v>46254</v>
      </c>
      <c r="Z123" s="15" t="s">
        <v>57</v>
      </c>
      <c r="AA123" s="17" t="e">
        <f>VLOOKUP(F123,[2]Wait!$H$225:$I$260,2,0)</f>
        <v>#N/A</v>
      </c>
    </row>
    <row r="124" spans="1:27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1120</v>
      </c>
      <c r="E124" s="15" t="s">
        <v>26</v>
      </c>
      <c r="F124" s="15" t="s">
        <v>3104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28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  <c r="AA124" s="17" t="e">
        <f>VLOOKUP(F124,[2]Wait!$H$225:$I$260,2,0)</f>
        <v>#N/A</v>
      </c>
    </row>
    <row r="125" spans="1:27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1122</v>
      </c>
      <c r="E125" s="15" t="s">
        <v>26</v>
      </c>
      <c r="F125" s="15" t="s">
        <v>3104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58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>
        <v>46273</v>
      </c>
      <c r="W125" s="16">
        <v>46254</v>
      </c>
      <c r="X125" s="15" t="s">
        <v>34</v>
      </c>
      <c r="Y125" s="16">
        <v>46254</v>
      </c>
      <c r="Z125" s="15" t="s">
        <v>57</v>
      </c>
      <c r="AA125" s="17" t="e">
        <f>VLOOKUP(F125,[2]Wait!$H$225:$I$260,2,0)</f>
        <v>#N/A</v>
      </c>
    </row>
    <row r="126" spans="1:27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1123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46273</v>
      </c>
      <c r="J126" s="15" t="s">
        <v>36</v>
      </c>
      <c r="K126" s="15" t="s">
        <v>59</v>
      </c>
      <c r="L126" s="15" t="s">
        <v>190</v>
      </c>
      <c r="M126" s="15" t="s">
        <v>1121</v>
      </c>
      <c r="N126" s="15" t="s">
        <v>29</v>
      </c>
      <c r="O126" s="15" t="s">
        <v>955</v>
      </c>
      <c r="P126" s="15" t="s">
        <v>30</v>
      </c>
      <c r="Q126" s="15" t="s">
        <v>31</v>
      </c>
      <c r="R126" s="15" t="s">
        <v>95</v>
      </c>
      <c r="S126" s="15" t="s">
        <v>32</v>
      </c>
      <c r="T126" s="15" t="s">
        <v>78</v>
      </c>
      <c r="U126" s="15" t="s">
        <v>191</v>
      </c>
      <c r="V126" s="16"/>
      <c r="W126" s="16">
        <v>46254</v>
      </c>
      <c r="X126" s="15" t="s">
        <v>34</v>
      </c>
      <c r="Y126" s="16">
        <v>46254</v>
      </c>
      <c r="Z126" s="15" t="s">
        <v>57</v>
      </c>
      <c r="AA126" s="17" t="e">
        <f>VLOOKUP(F126,[2]Wait!$H$225:$I$260,2,0)</f>
        <v>#N/A</v>
      </c>
    </row>
    <row r="127" spans="1:27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1124</v>
      </c>
      <c r="E127" s="15" t="s">
        <v>26</v>
      </c>
      <c r="F127" s="15" t="s">
        <v>3105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28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  <c r="AA127" s="17" t="e">
        <f>VLOOKUP(F127,[2]Wait!$H$225:$I$260,2,0)</f>
        <v>#N/A</v>
      </c>
    </row>
    <row r="128" spans="1:27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1125</v>
      </c>
      <c r="E128" s="15" t="s">
        <v>26</v>
      </c>
      <c r="F128" s="15" t="s">
        <v>3105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58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46275</v>
      </c>
      <c r="W128" s="16">
        <v>46254</v>
      </c>
      <c r="X128" s="15" t="s">
        <v>34</v>
      </c>
      <c r="Y128" s="16">
        <v>46254</v>
      </c>
      <c r="Z128" s="15" t="s">
        <v>57</v>
      </c>
      <c r="AA128" s="17" t="e">
        <f>VLOOKUP(F128,[2]Wait!$H$225:$I$260,2,0)</f>
        <v>#N/A</v>
      </c>
    </row>
    <row r="129" spans="1:27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1126</v>
      </c>
      <c r="E129" s="15" t="s">
        <v>26</v>
      </c>
      <c r="F129" s="15" t="s">
        <v>3105</v>
      </c>
      <c r="G129" s="15" t="s">
        <v>35</v>
      </c>
      <c r="H129" s="15" t="s">
        <v>26</v>
      </c>
      <c r="I129" s="16">
        <v>46277</v>
      </c>
      <c r="J129" s="15" t="s">
        <v>36</v>
      </c>
      <c r="K129" s="15" t="s">
        <v>59</v>
      </c>
      <c r="L129" s="15" t="s">
        <v>728</v>
      </c>
      <c r="M129" s="15" t="s">
        <v>1121</v>
      </c>
      <c r="N129" s="15" t="s">
        <v>29</v>
      </c>
      <c r="O129" s="15" t="s">
        <v>961</v>
      </c>
      <c r="P129" s="15" t="s">
        <v>30</v>
      </c>
      <c r="Q129" s="15" t="s">
        <v>31</v>
      </c>
      <c r="R129" s="15" t="s">
        <v>121</v>
      </c>
      <c r="S129" s="15" t="s">
        <v>32</v>
      </c>
      <c r="T129" s="15" t="s">
        <v>78</v>
      </c>
      <c r="U129" s="15" t="s">
        <v>729</v>
      </c>
      <c r="V129" s="16">
        <v>46277</v>
      </c>
      <c r="W129" s="16">
        <v>46254</v>
      </c>
      <c r="X129" s="15" t="s">
        <v>34</v>
      </c>
      <c r="Y129" s="16">
        <v>46254</v>
      </c>
      <c r="Z129" s="15" t="s">
        <v>57</v>
      </c>
      <c r="AA129" s="17" t="e">
        <f>VLOOKUP(F129,[2]Wait!$H$225:$I$260,2,0)</f>
        <v>#N/A</v>
      </c>
    </row>
    <row r="130" spans="1:27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1127</v>
      </c>
      <c r="E130" s="15" t="s">
        <v>26</v>
      </c>
      <c r="F130" s="15" t="s">
        <v>3106</v>
      </c>
      <c r="G130" s="15" t="s">
        <v>35</v>
      </c>
      <c r="H130" s="15" t="s">
        <v>74</v>
      </c>
      <c r="I130" s="16">
        <v>46275</v>
      </c>
      <c r="J130" s="15" t="s">
        <v>63</v>
      </c>
      <c r="K130" s="15" t="s">
        <v>28</v>
      </c>
      <c r="L130" s="15" t="s">
        <v>605</v>
      </c>
      <c r="M130" s="15" t="s">
        <v>1121</v>
      </c>
      <c r="N130" s="15" t="s">
        <v>29</v>
      </c>
      <c r="O130" s="15" t="s">
        <v>939</v>
      </c>
      <c r="P130" s="15" t="s">
        <v>41</v>
      </c>
      <c r="Q130" s="15" t="s">
        <v>42</v>
      </c>
      <c r="R130" s="15" t="s">
        <v>603</v>
      </c>
      <c r="S130" s="15" t="s">
        <v>32</v>
      </c>
      <c r="T130" s="15" t="s">
        <v>78</v>
      </c>
      <c r="U130" s="15" t="s">
        <v>604</v>
      </c>
      <c r="V130" s="16">
        <v>46278</v>
      </c>
      <c r="W130" s="16">
        <v>46261</v>
      </c>
      <c r="X130" s="15" t="s">
        <v>39</v>
      </c>
      <c r="Y130" s="16">
        <v>46261</v>
      </c>
      <c r="Z130" s="15" t="s">
        <v>39</v>
      </c>
      <c r="AA130" s="17" t="e">
        <f>VLOOKUP(F130,[2]Wait!$H$225:$I$260,2,0)</f>
        <v>#N/A</v>
      </c>
    </row>
    <row r="131" spans="1:27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2436</v>
      </c>
      <c r="E131" s="15" t="s">
        <v>26</v>
      </c>
      <c r="F131" s="15" t="s">
        <v>3107</v>
      </c>
      <c r="G131" s="15" t="s">
        <v>35</v>
      </c>
      <c r="H131" s="15" t="s">
        <v>26</v>
      </c>
      <c r="I131" s="16">
        <v>46295</v>
      </c>
      <c r="J131" s="15" t="s">
        <v>196</v>
      </c>
      <c r="K131" s="15" t="s">
        <v>28</v>
      </c>
      <c r="L131" s="15" t="s">
        <v>2437</v>
      </c>
      <c r="M131" s="15" t="s">
        <v>1121</v>
      </c>
      <c r="N131" s="15" t="s">
        <v>29</v>
      </c>
      <c r="O131" s="15" t="s">
        <v>946</v>
      </c>
      <c r="P131" s="15" t="s">
        <v>26</v>
      </c>
      <c r="Q131" s="15" t="s">
        <v>26</v>
      </c>
      <c r="R131" s="15" t="s">
        <v>72</v>
      </c>
      <c r="S131" s="15" t="s">
        <v>32</v>
      </c>
      <c r="T131" s="15" t="s">
        <v>70</v>
      </c>
      <c r="U131" s="15" t="s">
        <v>2435</v>
      </c>
      <c r="V131" s="16">
        <v>46295</v>
      </c>
      <c r="W131" s="16">
        <v>46259</v>
      </c>
      <c r="X131" s="15" t="s">
        <v>39</v>
      </c>
      <c r="Y131" s="16">
        <v>46259</v>
      </c>
      <c r="Z131" s="15" t="s">
        <v>39</v>
      </c>
      <c r="AA131" s="17" t="e">
        <f>VLOOKUP(F131,[2]Wait!$H$225:$I$260,2,0)</f>
        <v>#N/A</v>
      </c>
    </row>
    <row r="132" spans="1:27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1128</v>
      </c>
      <c r="E132" s="15" t="s">
        <v>1129</v>
      </c>
      <c r="F132" s="15" t="s">
        <v>1129</v>
      </c>
      <c r="G132" s="15" t="s">
        <v>194</v>
      </c>
      <c r="H132" s="15" t="s">
        <v>26</v>
      </c>
      <c r="I132" s="16">
        <v>46270</v>
      </c>
      <c r="J132" s="15" t="s">
        <v>36</v>
      </c>
      <c r="K132" s="15" t="s">
        <v>28</v>
      </c>
      <c r="L132" s="15" t="s">
        <v>1130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63</v>
      </c>
      <c r="T132" s="15" t="s">
        <v>195</v>
      </c>
      <c r="U132" s="15" t="s">
        <v>26</v>
      </c>
      <c r="V132" s="16">
        <v>46275</v>
      </c>
      <c r="W132" s="16">
        <v>46258</v>
      </c>
      <c r="X132" s="15" t="s">
        <v>34</v>
      </c>
      <c r="Y132" s="16">
        <v>46274</v>
      </c>
      <c r="Z132" s="15" t="s">
        <v>57</v>
      </c>
      <c r="AA132" s="17" t="e">
        <f>VLOOKUP(F132,[2]Wait!$H$225:$I$260,2,0)</f>
        <v>#N/A</v>
      </c>
    </row>
    <row r="133" spans="1:27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1131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28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46272</v>
      </c>
      <c r="W133" s="16">
        <v>46269</v>
      </c>
      <c r="X133" s="15" t="s">
        <v>1134</v>
      </c>
      <c r="Y133" s="16">
        <v>46276</v>
      </c>
      <c r="Z133" s="15" t="s">
        <v>1135</v>
      </c>
      <c r="AA133" s="17" t="e">
        <f>VLOOKUP(F133,[2]Wait!$H$225:$I$260,2,0)</f>
        <v>#N/A</v>
      </c>
    </row>
    <row r="134" spans="1:27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1136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58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46273</v>
      </c>
      <c r="W134" s="16">
        <v>46269</v>
      </c>
      <c r="X134" s="15" t="s">
        <v>1134</v>
      </c>
      <c r="Y134" s="16">
        <v>46276</v>
      </c>
      <c r="Z134" s="15" t="s">
        <v>1135</v>
      </c>
      <c r="AA134" s="17" t="e">
        <f>VLOOKUP(F134,[2]Wait!$H$225:$I$260,2,0)</f>
        <v>#N/A</v>
      </c>
    </row>
    <row r="135" spans="1:27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1137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59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>
        <v>46272</v>
      </c>
      <c r="W135" s="16">
        <v>46269</v>
      </c>
      <c r="X135" s="15" t="s">
        <v>1134</v>
      </c>
      <c r="Y135" s="16">
        <v>46276</v>
      </c>
      <c r="Z135" s="15" t="s">
        <v>1135</v>
      </c>
      <c r="AA135" s="17" t="e">
        <f>VLOOKUP(F135,[2]Wait!$H$225:$I$260,2,0)</f>
        <v>#N/A</v>
      </c>
    </row>
    <row r="136" spans="1:27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1138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27</v>
      </c>
      <c r="K136" s="15" t="s">
        <v>684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/>
      <c r="W136" s="16">
        <v>46269</v>
      </c>
      <c r="X136" s="15" t="s">
        <v>1134</v>
      </c>
      <c r="Y136" s="16">
        <v>46276</v>
      </c>
      <c r="Z136" s="15" t="s">
        <v>1135</v>
      </c>
      <c r="AA136" s="17" t="e">
        <f>VLOOKUP(F136,[2]Wait!$H$225:$I$260,2,0)</f>
        <v>#N/A</v>
      </c>
    </row>
    <row r="137" spans="1:27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1139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557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  <c r="AA137" s="17" t="e">
        <f>VLOOKUP(F137,[2]Wait!$H$225:$I$260,2,0)</f>
        <v>#N/A</v>
      </c>
    </row>
    <row r="138" spans="1:27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1140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1141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  <c r="AA138" s="17" t="e">
        <f>VLOOKUP(F138,[2]Wait!$H$225:$I$260,2,0)</f>
        <v>#N/A</v>
      </c>
    </row>
    <row r="139" spans="1:27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1142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1143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>
        <v>46272</v>
      </c>
      <c r="W139" s="16">
        <v>46269</v>
      </c>
      <c r="X139" s="15" t="s">
        <v>1134</v>
      </c>
      <c r="Y139" s="16">
        <v>46276</v>
      </c>
      <c r="Z139" s="15" t="s">
        <v>1135</v>
      </c>
      <c r="AA139" s="17" t="e">
        <f>VLOOKUP(F139,[2]Wait!$H$225:$I$260,2,0)</f>
        <v>#N/A</v>
      </c>
    </row>
    <row r="140" spans="1:27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1144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110</v>
      </c>
      <c r="K140" s="15" t="s">
        <v>1145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  <c r="AA140" s="17" t="e">
        <f>VLOOKUP(F140,[2]Wait!$H$225:$I$260,2,0)</f>
        <v>#N/A</v>
      </c>
    </row>
    <row r="141" spans="1:27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1146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1147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/>
      <c r="W141" s="16">
        <v>46269</v>
      </c>
      <c r="X141" s="15" t="s">
        <v>1134</v>
      </c>
      <c r="Y141" s="16">
        <v>46276</v>
      </c>
      <c r="Z141" s="15" t="s">
        <v>1135</v>
      </c>
      <c r="AA141" s="17" t="e">
        <f>VLOOKUP(F141,[2]Wait!$H$225:$I$260,2,0)</f>
        <v>#N/A</v>
      </c>
    </row>
    <row r="142" spans="1:27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1148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27</v>
      </c>
      <c r="K142" s="15" t="s">
        <v>1149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46273</v>
      </c>
      <c r="W142" s="16">
        <v>46269</v>
      </c>
      <c r="X142" s="15" t="s">
        <v>1134</v>
      </c>
      <c r="Y142" s="16">
        <v>46276</v>
      </c>
      <c r="Z142" s="15" t="s">
        <v>1135</v>
      </c>
      <c r="AA142" s="17" t="e">
        <f>VLOOKUP(F142,[2]Wait!$H$225:$I$260,2,0)</f>
        <v>#N/A</v>
      </c>
    </row>
    <row r="143" spans="1:27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1150</v>
      </c>
      <c r="E143" s="15" t="s">
        <v>1132</v>
      </c>
      <c r="F143" s="15" t="s">
        <v>1132</v>
      </c>
      <c r="G143" s="15" t="s">
        <v>194</v>
      </c>
      <c r="H143" s="15" t="s">
        <v>26</v>
      </c>
      <c r="I143" s="16">
        <v>46275</v>
      </c>
      <c r="J143" s="15" t="s">
        <v>683</v>
      </c>
      <c r="K143" s="15" t="s">
        <v>1151</v>
      </c>
      <c r="L143" s="15" t="s">
        <v>1133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27</v>
      </c>
      <c r="T143" s="15" t="s">
        <v>195</v>
      </c>
      <c r="U143" s="15" t="s">
        <v>26</v>
      </c>
      <c r="V143" s="16">
        <v>46274</v>
      </c>
      <c r="W143" s="16">
        <v>46269</v>
      </c>
      <c r="X143" s="15" t="s">
        <v>1134</v>
      </c>
      <c r="Y143" s="16">
        <v>46276</v>
      </c>
      <c r="Z143" s="15" t="s">
        <v>1135</v>
      </c>
      <c r="AA143" s="17" t="e">
        <f>VLOOKUP(F143,[2]Wait!$H$225:$I$260,2,0)</f>
        <v>#N/A</v>
      </c>
    </row>
    <row r="144" spans="1:27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1152</v>
      </c>
      <c r="E144" s="15" t="s">
        <v>1153</v>
      </c>
      <c r="F144" s="15" t="s">
        <v>1153</v>
      </c>
      <c r="G144" s="15" t="s">
        <v>194</v>
      </c>
      <c r="H144" s="15" t="s">
        <v>26</v>
      </c>
      <c r="I144" s="16">
        <v>46280</v>
      </c>
      <c r="J144" s="15" t="s">
        <v>36</v>
      </c>
      <c r="K144" s="15" t="s">
        <v>28</v>
      </c>
      <c r="L144" s="15" t="s">
        <v>1154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26</v>
      </c>
      <c r="V144" s="16">
        <v>46279</v>
      </c>
      <c r="W144" s="16">
        <v>46258</v>
      </c>
      <c r="X144" s="15" t="s">
        <v>34</v>
      </c>
      <c r="Y144" s="16">
        <v>46274</v>
      </c>
      <c r="Z144" s="15" t="s">
        <v>57</v>
      </c>
      <c r="AA144" s="17" t="e">
        <f>VLOOKUP(F144,[2]Wait!$H$225:$I$260,2,0)</f>
        <v>#N/A</v>
      </c>
    </row>
    <row r="145" spans="1:27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1368</v>
      </c>
      <c r="E145" s="15" t="s">
        <v>1369</v>
      </c>
      <c r="F145" s="15" t="s">
        <v>1369</v>
      </c>
      <c r="G145" s="15" t="s">
        <v>194</v>
      </c>
      <c r="H145" s="15" t="s">
        <v>26</v>
      </c>
      <c r="I145" s="16">
        <v>46276</v>
      </c>
      <c r="J145" s="15" t="s">
        <v>27</v>
      </c>
      <c r="K145" s="15" t="s">
        <v>28</v>
      </c>
      <c r="L145" s="15" t="s">
        <v>1370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46276</v>
      </c>
      <c r="W145" s="16">
        <v>46276</v>
      </c>
      <c r="X145" s="15" t="s">
        <v>922</v>
      </c>
      <c r="Y145" s="16">
        <v>46276</v>
      </c>
      <c r="Z145" s="15" t="s">
        <v>226</v>
      </c>
      <c r="AA145" s="17" t="e">
        <f>VLOOKUP(F145,[2]Wait!$H$225:$I$260,2,0)</f>
        <v>#N/A</v>
      </c>
    </row>
    <row r="146" spans="1:27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2958</v>
      </c>
      <c r="E146" s="15" t="s">
        <v>2959</v>
      </c>
      <c r="F146" s="15" t="s">
        <v>2959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2960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  <c r="AA146" s="17" t="e">
        <f>VLOOKUP(F146,[2]Wait!$H$225:$I$260,2,0)</f>
        <v>#N/A</v>
      </c>
    </row>
    <row r="147" spans="1:27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2961</v>
      </c>
      <c r="E147" s="15" t="s">
        <v>2962</v>
      </c>
      <c r="F147" s="15" t="s">
        <v>2962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2963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46289</v>
      </c>
      <c r="W147" s="16">
        <v>46258</v>
      </c>
      <c r="X147" s="15" t="s">
        <v>34</v>
      </c>
      <c r="Y147" s="16">
        <v>46274</v>
      </c>
      <c r="Z147" s="15" t="s">
        <v>57</v>
      </c>
      <c r="AA147" s="17" t="e">
        <f>VLOOKUP(F147,[2]Wait!$H$225:$I$260,2,0)</f>
        <v>#N/A</v>
      </c>
    </row>
    <row r="148" spans="1:27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2980</v>
      </c>
      <c r="E148" s="15" t="s">
        <v>2981</v>
      </c>
      <c r="F148" s="15" t="s">
        <v>2981</v>
      </c>
      <c r="G148" s="15" t="s">
        <v>194</v>
      </c>
      <c r="H148" s="15" t="s">
        <v>26</v>
      </c>
      <c r="I148" s="16">
        <v>46289</v>
      </c>
      <c r="J148" s="15" t="s">
        <v>36</v>
      </c>
      <c r="K148" s="15" t="s">
        <v>28</v>
      </c>
      <c r="L148" s="15" t="s">
        <v>2982</v>
      </c>
      <c r="M148" s="15" t="s">
        <v>1121</v>
      </c>
      <c r="N148" s="15" t="s">
        <v>29</v>
      </c>
      <c r="O148" s="15" t="s">
        <v>1044</v>
      </c>
      <c r="P148" s="15" t="s">
        <v>26</v>
      </c>
      <c r="Q148" s="15" t="s">
        <v>26</v>
      </c>
      <c r="R148" s="15" t="s">
        <v>26</v>
      </c>
      <c r="S148" s="15" t="s">
        <v>63</v>
      </c>
      <c r="T148" s="15" t="s">
        <v>195</v>
      </c>
      <c r="U148" s="15" t="s">
        <v>26</v>
      </c>
      <c r="V148" s="16">
        <v>46290</v>
      </c>
      <c r="W148" s="16">
        <v>46258</v>
      </c>
      <c r="X148" s="15" t="s">
        <v>34</v>
      </c>
      <c r="Y148" s="16">
        <v>46274</v>
      </c>
      <c r="Z148" s="15" t="s">
        <v>57</v>
      </c>
      <c r="AA148" s="17" t="e">
        <f>VLOOKUP(F148,[2]Wait!$H$225:$I$260,2,0)</f>
        <v>#N/A</v>
      </c>
    </row>
    <row r="149" spans="1:27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1155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46272</v>
      </c>
      <c r="J149" s="15" t="s">
        <v>63</v>
      </c>
      <c r="K149" s="15" t="s">
        <v>28</v>
      </c>
      <c r="L149" s="15" t="s">
        <v>816</v>
      </c>
      <c r="M149" s="15" t="s">
        <v>1156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77</v>
      </c>
      <c r="S149" s="15" t="s">
        <v>32</v>
      </c>
      <c r="T149" s="15" t="s">
        <v>33</v>
      </c>
      <c r="U149" s="15" t="s">
        <v>817</v>
      </c>
      <c r="V149" s="16">
        <v>46274</v>
      </c>
      <c r="W149" s="16">
        <v>46261</v>
      </c>
      <c r="X149" s="15" t="s">
        <v>39</v>
      </c>
      <c r="Y149" s="16">
        <v>46261</v>
      </c>
      <c r="Z149" s="15" t="s">
        <v>39</v>
      </c>
      <c r="AA149" s="17" t="e">
        <f>VLOOKUP(F149,[2]Wait!$H$225:$I$260,2,0)</f>
        <v>#N/A</v>
      </c>
    </row>
    <row r="150" spans="1:27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1157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46275</v>
      </c>
      <c r="J150" s="15" t="s">
        <v>63</v>
      </c>
      <c r="K150" s="15" t="s">
        <v>28</v>
      </c>
      <c r="L150" s="15" t="s">
        <v>1158</v>
      </c>
      <c r="M150" s="15" t="s">
        <v>1159</v>
      </c>
      <c r="N150" s="15" t="s">
        <v>29</v>
      </c>
      <c r="O150" s="15" t="s">
        <v>939</v>
      </c>
      <c r="P150" s="15" t="s">
        <v>30</v>
      </c>
      <c r="Q150" s="15" t="s">
        <v>31</v>
      </c>
      <c r="R150" s="15" t="s">
        <v>603</v>
      </c>
      <c r="S150" s="15" t="s">
        <v>32</v>
      </c>
      <c r="T150" s="15" t="s">
        <v>66</v>
      </c>
      <c r="U150" s="15" t="s">
        <v>1160</v>
      </c>
      <c r="V150" s="16">
        <v>46277</v>
      </c>
      <c r="W150" s="16">
        <v>46261</v>
      </c>
      <c r="X150" s="15" t="s">
        <v>39</v>
      </c>
      <c r="Y150" s="16">
        <v>46261</v>
      </c>
      <c r="Z150" s="15" t="s">
        <v>39</v>
      </c>
      <c r="AA150" s="17" t="e">
        <f>VLOOKUP(F150,[2]Wait!$H$225:$I$260,2,0)</f>
        <v>#N/A</v>
      </c>
    </row>
    <row r="151" spans="1:27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1161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46272</v>
      </c>
      <c r="J151" s="15" t="s">
        <v>63</v>
      </c>
      <c r="K151" s="15" t="s">
        <v>28</v>
      </c>
      <c r="L151" s="15" t="s">
        <v>182</v>
      </c>
      <c r="M151" s="15" t="s">
        <v>1159</v>
      </c>
      <c r="N151" s="15" t="s">
        <v>29</v>
      </c>
      <c r="O151" s="15" t="s">
        <v>939</v>
      </c>
      <c r="P151" s="15" t="s">
        <v>41</v>
      </c>
      <c r="Q151" s="15" t="s">
        <v>42</v>
      </c>
      <c r="R151" s="15" t="s">
        <v>77</v>
      </c>
      <c r="S151" s="15" t="s">
        <v>32</v>
      </c>
      <c r="T151" s="15" t="s">
        <v>78</v>
      </c>
      <c r="U151" s="15" t="s">
        <v>198</v>
      </c>
      <c r="V151" s="16">
        <v>46274</v>
      </c>
      <c r="W151" s="16">
        <v>46261</v>
      </c>
      <c r="X151" s="15" t="s">
        <v>39</v>
      </c>
      <c r="Y151" s="16">
        <v>46261</v>
      </c>
      <c r="Z151" s="15" t="s">
        <v>39</v>
      </c>
      <c r="AA151" s="17" t="e">
        <f>VLOOKUP(F151,[2]Wait!$H$225:$I$260,2,0)</f>
        <v>#N/A</v>
      </c>
    </row>
    <row r="152" spans="1:27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1162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64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  <c r="AA152" s="17" t="e">
        <f>VLOOKUP(F152,[2]Wait!$H$225:$I$260,2,0)</f>
        <v>#N/A</v>
      </c>
    </row>
    <row r="153" spans="1:27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1164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46259</v>
      </c>
      <c r="J153" s="15" t="s">
        <v>63</v>
      </c>
      <c r="K153" s="15" t="s">
        <v>28</v>
      </c>
      <c r="L153" s="15" t="s">
        <v>68</v>
      </c>
      <c r="M153" s="15" t="s">
        <v>1163</v>
      </c>
      <c r="N153" s="15" t="s">
        <v>29</v>
      </c>
      <c r="O153" s="15" t="s">
        <v>991</v>
      </c>
      <c r="P153" s="15" t="s">
        <v>41</v>
      </c>
      <c r="Q153" s="15" t="s">
        <v>42</v>
      </c>
      <c r="R153" s="15" t="s">
        <v>65</v>
      </c>
      <c r="S153" s="15" t="s">
        <v>32</v>
      </c>
      <c r="T153" s="15" t="s">
        <v>66</v>
      </c>
      <c r="U153" s="15" t="s">
        <v>67</v>
      </c>
      <c r="V153" s="16">
        <v>46259</v>
      </c>
      <c r="W153" s="16">
        <v>46258</v>
      </c>
      <c r="X153" s="15" t="s">
        <v>39</v>
      </c>
      <c r="Y153" s="16">
        <v>46258</v>
      </c>
      <c r="Z153" s="15" t="s">
        <v>39</v>
      </c>
      <c r="AA153" s="17" t="e">
        <f>VLOOKUP(F153,[2]Wait!$H$225:$I$260,2,0)</f>
        <v>#N/A</v>
      </c>
    </row>
    <row r="154" spans="1:27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1165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199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  <c r="AA154" s="17" t="e">
        <f>VLOOKUP(F154,[2]Wait!$H$225:$I$260,2,0)</f>
        <v>#N/A</v>
      </c>
    </row>
    <row r="155" spans="1:27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1166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46272</v>
      </c>
      <c r="J155" s="15" t="s">
        <v>36</v>
      </c>
      <c r="K155" s="15" t="s">
        <v>28</v>
      </c>
      <c r="L155" s="15" t="s">
        <v>201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65</v>
      </c>
      <c r="S155" s="15" t="s">
        <v>32</v>
      </c>
      <c r="T155" s="15" t="s">
        <v>70</v>
      </c>
      <c r="U155" s="15" t="s">
        <v>200</v>
      </c>
      <c r="V155" s="16">
        <v>46274</v>
      </c>
      <c r="W155" s="16">
        <v>46258</v>
      </c>
      <c r="X155" s="15" t="s">
        <v>39</v>
      </c>
      <c r="Y155" s="16">
        <v>46258</v>
      </c>
      <c r="Z155" s="15" t="s">
        <v>39</v>
      </c>
      <c r="AA155" s="17" t="e">
        <f>VLOOKUP(F155,[2]Wait!$H$225:$I$260,2,0)</f>
        <v>#N/A</v>
      </c>
    </row>
    <row r="156" spans="1:27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2698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838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46290</v>
      </c>
      <c r="W156" s="16">
        <v>46258</v>
      </c>
      <c r="X156" s="15" t="s">
        <v>39</v>
      </c>
      <c r="Y156" s="16">
        <v>46258</v>
      </c>
      <c r="Z156" s="15" t="s">
        <v>39</v>
      </c>
      <c r="AA156" s="17" t="e">
        <f>VLOOKUP(F156,[2]Wait!$H$225:$I$260,2,0)</f>
        <v>#N/A</v>
      </c>
    </row>
    <row r="157" spans="1:27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2879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46289</v>
      </c>
      <c r="J157" s="15" t="s">
        <v>36</v>
      </c>
      <c r="K157" s="15" t="s">
        <v>28</v>
      </c>
      <c r="L157" s="15" t="s">
        <v>840</v>
      </c>
      <c r="M157" s="15" t="s">
        <v>1163</v>
      </c>
      <c r="N157" s="15" t="s">
        <v>29</v>
      </c>
      <c r="O157" s="15" t="s">
        <v>991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70</v>
      </c>
      <c r="U157" s="15" t="s">
        <v>839</v>
      </c>
      <c r="V157" s="16">
        <v>46280</v>
      </c>
      <c r="W157" s="16">
        <v>46258</v>
      </c>
      <c r="X157" s="15" t="s">
        <v>39</v>
      </c>
      <c r="Y157" s="16">
        <v>46258</v>
      </c>
      <c r="Z157" s="15" t="s">
        <v>39</v>
      </c>
      <c r="AA157" s="17" t="e">
        <f>VLOOKUP(F157,[2]Wait!$H$225:$I$260,2,0)</f>
        <v>#N/A</v>
      </c>
    </row>
    <row r="158" spans="1:27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1167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46260</v>
      </c>
      <c r="J158" s="15" t="s">
        <v>82</v>
      </c>
      <c r="K158" s="15" t="s">
        <v>28</v>
      </c>
      <c r="L158" s="15" t="s">
        <v>234</v>
      </c>
      <c r="M158" s="15" t="s">
        <v>1163</v>
      </c>
      <c r="N158" s="15" t="s">
        <v>29</v>
      </c>
      <c r="O158" s="15" t="s">
        <v>946</v>
      </c>
      <c r="P158" s="15" t="s">
        <v>26</v>
      </c>
      <c r="Q158" s="15" t="s">
        <v>26</v>
      </c>
      <c r="R158" s="15" t="s">
        <v>121</v>
      </c>
      <c r="S158" s="15" t="s">
        <v>32</v>
      </c>
      <c r="T158" s="15" t="s">
        <v>38</v>
      </c>
      <c r="U158" s="15" t="s">
        <v>235</v>
      </c>
      <c r="V158" s="16">
        <v>46260</v>
      </c>
      <c r="W158" s="16">
        <v>46259</v>
      </c>
      <c r="X158" s="15" t="s">
        <v>39</v>
      </c>
      <c r="Y158" s="16">
        <v>46259</v>
      </c>
      <c r="Z158" s="15" t="s">
        <v>39</v>
      </c>
      <c r="AA158" s="17" t="e">
        <f>VLOOKUP(F158,[2]Wait!$H$225:$I$260,2,0)</f>
        <v>#N/A</v>
      </c>
    </row>
    <row r="159" spans="1:27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1168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46272</v>
      </c>
      <c r="J159" s="15" t="s">
        <v>82</v>
      </c>
      <c r="K159" s="15" t="s">
        <v>28</v>
      </c>
      <c r="L159" s="15" t="s">
        <v>236</v>
      </c>
      <c r="M159" s="15" t="s">
        <v>1163</v>
      </c>
      <c r="N159" s="15" t="s">
        <v>29</v>
      </c>
      <c r="O159" s="15" t="s">
        <v>955</v>
      </c>
      <c r="P159" s="15" t="s">
        <v>41</v>
      </c>
      <c r="Q159" s="15" t="s">
        <v>42</v>
      </c>
      <c r="R159" s="15" t="s">
        <v>121</v>
      </c>
      <c r="S159" s="15" t="s">
        <v>32</v>
      </c>
      <c r="T159" s="15" t="s">
        <v>55</v>
      </c>
      <c r="U159" s="15" t="s">
        <v>237</v>
      </c>
      <c r="V159" s="16">
        <v>46260</v>
      </c>
      <c r="W159" s="16">
        <v>46269</v>
      </c>
      <c r="X159" s="15" t="s">
        <v>39</v>
      </c>
      <c r="Y159" s="16">
        <v>46269</v>
      </c>
      <c r="Z159" s="15" t="s">
        <v>39</v>
      </c>
      <c r="AA159" s="17" t="e">
        <f>VLOOKUP(F159,[2]Wait!$H$225:$I$260,2,0)</f>
        <v>#N/A</v>
      </c>
    </row>
    <row r="160" spans="1:27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1169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1170</v>
      </c>
      <c r="M160" s="15" t="s">
        <v>1163</v>
      </c>
      <c r="N160" s="15" t="s">
        <v>29</v>
      </c>
      <c r="O160" s="15" t="s">
        <v>955</v>
      </c>
      <c r="P160" s="15" t="s">
        <v>30</v>
      </c>
      <c r="Q160" s="15" t="s">
        <v>31</v>
      </c>
      <c r="R160" s="15" t="s">
        <v>121</v>
      </c>
      <c r="S160" s="15" t="s">
        <v>32</v>
      </c>
      <c r="T160" s="15" t="s">
        <v>204</v>
      </c>
      <c r="U160" s="15" t="s">
        <v>1171</v>
      </c>
      <c r="V160" s="16">
        <v>46273</v>
      </c>
      <c r="W160" s="16">
        <v>46269</v>
      </c>
      <c r="X160" s="15" t="s">
        <v>39</v>
      </c>
      <c r="Y160" s="16">
        <v>46269</v>
      </c>
      <c r="Z160" s="15" t="s">
        <v>39</v>
      </c>
      <c r="AA160" s="17" t="e">
        <f>VLOOKUP(F160,[2]Wait!$H$225:$I$260,2,0)</f>
        <v>#N/A</v>
      </c>
    </row>
    <row r="161" spans="1:27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1172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46260</v>
      </c>
      <c r="J161" s="15" t="s">
        <v>82</v>
      </c>
      <c r="K161" s="15" t="s">
        <v>28</v>
      </c>
      <c r="L161" s="15" t="s">
        <v>1173</v>
      </c>
      <c r="M161" s="15" t="s">
        <v>1163</v>
      </c>
      <c r="N161" s="15" t="s">
        <v>29</v>
      </c>
      <c r="O161" s="15" t="s">
        <v>955</v>
      </c>
      <c r="P161" s="15" t="s">
        <v>41</v>
      </c>
      <c r="Q161" s="15" t="s">
        <v>42</v>
      </c>
      <c r="R161" s="15" t="s">
        <v>121</v>
      </c>
      <c r="S161" s="15" t="s">
        <v>32</v>
      </c>
      <c r="T161" s="15" t="s">
        <v>55</v>
      </c>
      <c r="U161" s="15" t="s">
        <v>1174</v>
      </c>
      <c r="V161" s="16">
        <v>46274</v>
      </c>
      <c r="W161" s="16">
        <v>46269</v>
      </c>
      <c r="X161" s="15" t="s">
        <v>39</v>
      </c>
      <c r="Y161" s="16">
        <v>46269</v>
      </c>
      <c r="Z161" s="15" t="s">
        <v>39</v>
      </c>
      <c r="AA161" s="17" t="e">
        <f>VLOOKUP(F161,[2]Wait!$H$225:$I$260,2,0)</f>
        <v>#N/A</v>
      </c>
    </row>
    <row r="162" spans="1:27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2745</v>
      </c>
      <c r="E162" s="15" t="s">
        <v>26</v>
      </c>
      <c r="F162" s="15" t="s">
        <v>3121</v>
      </c>
      <c r="G162" s="15" t="s">
        <v>35</v>
      </c>
      <c r="H162" s="15" t="s">
        <v>26</v>
      </c>
      <c r="I162" s="16">
        <v>46295</v>
      </c>
      <c r="J162" s="15" t="s">
        <v>36</v>
      </c>
      <c r="K162" s="15" t="s">
        <v>28</v>
      </c>
      <c r="L162" s="15" t="s">
        <v>2746</v>
      </c>
      <c r="M162" s="15" t="s">
        <v>1163</v>
      </c>
      <c r="N162" s="15" t="s">
        <v>29</v>
      </c>
      <c r="O162" s="15" t="s">
        <v>949</v>
      </c>
      <c r="P162" s="15" t="s">
        <v>41</v>
      </c>
      <c r="Q162" s="15" t="s">
        <v>42</v>
      </c>
      <c r="R162" s="15" t="s">
        <v>72</v>
      </c>
      <c r="S162" s="15" t="s">
        <v>32</v>
      </c>
      <c r="T162" s="15" t="s">
        <v>33</v>
      </c>
      <c r="U162" s="15" t="s">
        <v>2435</v>
      </c>
      <c r="V162" s="16">
        <v>46295</v>
      </c>
      <c r="W162" s="16">
        <v>46263</v>
      </c>
      <c r="X162" s="15" t="s">
        <v>39</v>
      </c>
      <c r="Y162" s="16">
        <v>46263</v>
      </c>
      <c r="Z162" s="15" t="s">
        <v>39</v>
      </c>
      <c r="AA162" s="17" t="e">
        <f>VLOOKUP(F162,[2]Wait!$H$225:$I$260,2,0)</f>
        <v>#N/A</v>
      </c>
    </row>
    <row r="163" spans="1:27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2781</v>
      </c>
      <c r="E163" s="15" t="s">
        <v>2782</v>
      </c>
      <c r="F163" s="15" t="s">
        <v>3122</v>
      </c>
      <c r="G163" s="15" t="s">
        <v>25</v>
      </c>
      <c r="H163" s="15" t="s">
        <v>26</v>
      </c>
      <c r="I163" s="16">
        <v>46289</v>
      </c>
      <c r="J163" s="15" t="s">
        <v>82</v>
      </c>
      <c r="K163" s="15" t="s">
        <v>58</v>
      </c>
      <c r="L163" s="15" t="s">
        <v>2783</v>
      </c>
      <c r="M163" s="15" t="s">
        <v>1178</v>
      </c>
      <c r="N163" s="15" t="s">
        <v>29</v>
      </c>
      <c r="O163" s="15" t="s">
        <v>2367</v>
      </c>
      <c r="P163" s="15" t="s">
        <v>148</v>
      </c>
      <c r="Q163" s="15" t="s">
        <v>149</v>
      </c>
      <c r="R163" s="15" t="s">
        <v>337</v>
      </c>
      <c r="S163" s="15" t="s">
        <v>32</v>
      </c>
      <c r="T163" s="15" t="s">
        <v>195</v>
      </c>
      <c r="U163" s="15" t="s">
        <v>2368</v>
      </c>
      <c r="V163" s="16">
        <v>46290</v>
      </c>
      <c r="W163" s="16">
        <v>46256</v>
      </c>
      <c r="X163" s="15" t="s">
        <v>34</v>
      </c>
      <c r="Y163" s="16">
        <v>46267</v>
      </c>
      <c r="Z163" s="15" t="s">
        <v>34</v>
      </c>
      <c r="AA163" s="17" t="e">
        <f>VLOOKUP(F163,[2]Wait!$H$225:$I$260,2,0)</f>
        <v>#N/A</v>
      </c>
    </row>
    <row r="164" spans="1:27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2784</v>
      </c>
      <c r="E164" s="15" t="s">
        <v>26</v>
      </c>
      <c r="F164" s="15" t="s">
        <v>3123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28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>
        <v>46289</v>
      </c>
      <c r="W164" s="16">
        <v>46254</v>
      </c>
      <c r="X164" s="15" t="s">
        <v>34</v>
      </c>
      <c r="Y164" s="16">
        <v>46254</v>
      </c>
      <c r="Z164" s="15" t="s">
        <v>57</v>
      </c>
      <c r="AA164" s="17" t="e">
        <f>VLOOKUP(F164,[2]Wait!$H$225:$I$260,2,0)</f>
        <v>#N/A</v>
      </c>
    </row>
    <row r="165" spans="1:27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2787</v>
      </c>
      <c r="E165" s="15" t="s">
        <v>26</v>
      </c>
      <c r="F165" s="15" t="s">
        <v>3123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58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  <c r="AA165" s="17" t="e">
        <f>VLOOKUP(F165,[2]Wait!$H$225:$I$260,2,0)</f>
        <v>#N/A</v>
      </c>
    </row>
    <row r="166" spans="1:27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2788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59</v>
      </c>
      <c r="L166" s="15" t="s">
        <v>2785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2786</v>
      </c>
      <c r="V166" s="16"/>
      <c r="W166" s="16">
        <v>46254</v>
      </c>
      <c r="X166" s="15" t="s">
        <v>34</v>
      </c>
      <c r="Y166" s="16">
        <v>46254</v>
      </c>
      <c r="Z166" s="15" t="s">
        <v>57</v>
      </c>
      <c r="AA166" s="17" t="e">
        <f>VLOOKUP(F166,[2]Wait!$H$225:$I$260,2,0)</f>
        <v>#N/A</v>
      </c>
    </row>
    <row r="167" spans="1:27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2789</v>
      </c>
      <c r="E167" s="15" t="s">
        <v>26</v>
      </c>
      <c r="F167" s="15" t="s">
        <v>3124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28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>
        <v>46289</v>
      </c>
      <c r="W167" s="16">
        <v>46254</v>
      </c>
      <c r="X167" s="15" t="s">
        <v>34</v>
      </c>
      <c r="Y167" s="16">
        <v>46254</v>
      </c>
      <c r="Z167" s="15" t="s">
        <v>57</v>
      </c>
      <c r="AA167" s="17" t="e">
        <f>VLOOKUP(F167,[2]Wait!$H$225:$I$260,2,0)</f>
        <v>#N/A</v>
      </c>
    </row>
    <row r="168" spans="1:27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2791</v>
      </c>
      <c r="E168" s="15" t="s">
        <v>26</v>
      </c>
      <c r="F168" s="15" t="s">
        <v>3124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58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  <c r="AA168" s="17" t="e">
        <f>VLOOKUP(F168,[2]Wait!$H$225:$I$260,2,0)</f>
        <v>#N/A</v>
      </c>
    </row>
    <row r="169" spans="1:27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2792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46289</v>
      </c>
      <c r="J169" s="15" t="s">
        <v>110</v>
      </c>
      <c r="K169" s="15" t="s">
        <v>59</v>
      </c>
      <c r="L169" s="15" t="s">
        <v>2790</v>
      </c>
      <c r="M169" s="15" t="s">
        <v>1178</v>
      </c>
      <c r="N169" s="15" t="s">
        <v>29</v>
      </c>
      <c r="O169" s="15" t="s">
        <v>949</v>
      </c>
      <c r="P169" s="15" t="s">
        <v>30</v>
      </c>
      <c r="Q169" s="15" t="s">
        <v>31</v>
      </c>
      <c r="R169" s="15" t="s">
        <v>69</v>
      </c>
      <c r="S169" s="15" t="s">
        <v>32</v>
      </c>
      <c r="T169" s="15" t="s">
        <v>136</v>
      </c>
      <c r="U169" s="15" t="s">
        <v>958</v>
      </c>
      <c r="V169" s="16"/>
      <c r="W169" s="16">
        <v>46254</v>
      </c>
      <c r="X169" s="15" t="s">
        <v>34</v>
      </c>
      <c r="Y169" s="16">
        <v>46254</v>
      </c>
      <c r="Z169" s="15" t="s">
        <v>57</v>
      </c>
      <c r="AA169" s="17" t="e">
        <f>VLOOKUP(F169,[2]Wait!$H$225:$I$260,2,0)</f>
        <v>#N/A</v>
      </c>
    </row>
    <row r="170" spans="1:27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1177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821</v>
      </c>
      <c r="M170" s="15" t="s">
        <v>1178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46273</v>
      </c>
      <c r="W170" s="16">
        <v>46261</v>
      </c>
      <c r="X170" s="15" t="s">
        <v>39</v>
      </c>
      <c r="Y170" s="16">
        <v>46261</v>
      </c>
      <c r="Z170" s="15" t="s">
        <v>39</v>
      </c>
      <c r="AA170" s="17" t="e">
        <f>VLOOKUP(F170,[2]Wait!$H$225:$I$260,2,0)</f>
        <v>#N/A</v>
      </c>
    </row>
    <row r="171" spans="1:27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1181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63</v>
      </c>
      <c r="K171" s="15" t="s">
        <v>28</v>
      </c>
      <c r="L171" s="15" t="s">
        <v>819</v>
      </c>
      <c r="M171" s="15" t="s">
        <v>1180</v>
      </c>
      <c r="N171" s="15" t="s">
        <v>29</v>
      </c>
      <c r="O171" s="15" t="s">
        <v>939</v>
      </c>
      <c r="P171" s="15" t="s">
        <v>30</v>
      </c>
      <c r="Q171" s="15" t="s">
        <v>31</v>
      </c>
      <c r="R171" s="15" t="s">
        <v>61</v>
      </c>
      <c r="S171" s="15" t="s">
        <v>32</v>
      </c>
      <c r="T171" s="15" t="s">
        <v>66</v>
      </c>
      <c r="U171" s="15" t="s">
        <v>820</v>
      </c>
      <c r="V171" s="16">
        <v>46274</v>
      </c>
      <c r="W171" s="16">
        <v>46261</v>
      </c>
      <c r="X171" s="15" t="s">
        <v>39</v>
      </c>
      <c r="Y171" s="16">
        <v>46261</v>
      </c>
      <c r="Z171" s="15" t="s">
        <v>39</v>
      </c>
      <c r="AA171" s="17" t="e">
        <f>VLOOKUP(F171,[2]Wait!$H$225:$I$260,2,0)</f>
        <v>#N/A</v>
      </c>
    </row>
    <row r="172" spans="1:27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1182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46274</v>
      </c>
      <c r="J172" s="15" t="s">
        <v>188</v>
      </c>
      <c r="K172" s="15" t="s">
        <v>28</v>
      </c>
      <c r="L172" s="15" t="s">
        <v>1183</v>
      </c>
      <c r="M172" s="15" t="s">
        <v>1180</v>
      </c>
      <c r="N172" s="15" t="s">
        <v>29</v>
      </c>
      <c r="O172" s="15" t="s">
        <v>949</v>
      </c>
      <c r="P172" s="15" t="s">
        <v>41</v>
      </c>
      <c r="Q172" s="15" t="s">
        <v>42</v>
      </c>
      <c r="R172" s="15" t="s">
        <v>61</v>
      </c>
      <c r="S172" s="15" t="s">
        <v>32</v>
      </c>
      <c r="T172" s="15" t="s">
        <v>78</v>
      </c>
      <c r="U172" s="15" t="s">
        <v>1184</v>
      </c>
      <c r="V172" s="16">
        <v>46273</v>
      </c>
      <c r="W172" s="16">
        <v>46263</v>
      </c>
      <c r="X172" s="15" t="s">
        <v>39</v>
      </c>
      <c r="Y172" s="16">
        <v>46263</v>
      </c>
      <c r="Z172" s="15" t="s">
        <v>39</v>
      </c>
      <c r="AA172" s="17" t="e">
        <f>VLOOKUP(F172,[2]Wait!$H$225:$I$260,2,0)</f>
        <v>#N/A</v>
      </c>
    </row>
    <row r="173" spans="1:27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2736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46289</v>
      </c>
      <c r="J173" s="15" t="s">
        <v>36</v>
      </c>
      <c r="K173" s="15" t="s">
        <v>28</v>
      </c>
      <c r="L173" s="15" t="s">
        <v>2735</v>
      </c>
      <c r="M173" s="15" t="s">
        <v>1180</v>
      </c>
      <c r="N173" s="15" t="s">
        <v>29</v>
      </c>
      <c r="O173" s="15" t="s">
        <v>946</v>
      </c>
      <c r="P173" s="15" t="s">
        <v>26</v>
      </c>
      <c r="Q173" s="15" t="s">
        <v>26</v>
      </c>
      <c r="R173" s="15" t="s">
        <v>603</v>
      </c>
      <c r="S173" s="15" t="s">
        <v>32</v>
      </c>
      <c r="T173" s="15" t="s">
        <v>38</v>
      </c>
      <c r="U173" s="15" t="s">
        <v>925</v>
      </c>
      <c r="V173" s="16">
        <v>46289</v>
      </c>
      <c r="W173" s="16">
        <v>46259</v>
      </c>
      <c r="X173" s="15" t="s">
        <v>39</v>
      </c>
      <c r="Y173" s="16">
        <v>46259</v>
      </c>
      <c r="Z173" s="15" t="s">
        <v>39</v>
      </c>
      <c r="AA173" s="17" t="e">
        <f>VLOOKUP(F173,[2]Wait!$H$225:$I$260,2,0)</f>
        <v>#N/A</v>
      </c>
    </row>
    <row r="174" spans="1:27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1186</v>
      </c>
      <c r="E174" s="15" t="s">
        <v>26</v>
      </c>
      <c r="F174" s="15" t="s">
        <v>3129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28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>
        <v>46275</v>
      </c>
      <c r="W174" s="16">
        <v>46254</v>
      </c>
      <c r="X174" s="15" t="s">
        <v>34</v>
      </c>
      <c r="Y174" s="16">
        <v>46254</v>
      </c>
      <c r="Z174" s="15" t="s">
        <v>57</v>
      </c>
      <c r="AA174" s="17" t="e">
        <f>VLOOKUP(F174,[2]Wait!$H$225:$I$260,2,0)</f>
        <v>#N/A</v>
      </c>
    </row>
    <row r="175" spans="1:27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1187</v>
      </c>
      <c r="E175" s="15" t="s">
        <v>26</v>
      </c>
      <c r="F175" s="15" t="s">
        <v>3129</v>
      </c>
      <c r="G175" s="15" t="s">
        <v>35</v>
      </c>
      <c r="H175" s="15" t="s">
        <v>26</v>
      </c>
      <c r="I175" s="16">
        <v>46275</v>
      </c>
      <c r="J175" s="15" t="s">
        <v>36</v>
      </c>
      <c r="K175" s="15" t="s">
        <v>58</v>
      </c>
      <c r="L175" s="15" t="s">
        <v>887</v>
      </c>
      <c r="M175" s="15" t="s">
        <v>1180</v>
      </c>
      <c r="N175" s="15" t="s">
        <v>29</v>
      </c>
      <c r="O175" s="15" t="s">
        <v>991</v>
      </c>
      <c r="P175" s="15" t="s">
        <v>26</v>
      </c>
      <c r="Q175" s="15" t="s">
        <v>26</v>
      </c>
      <c r="R175" s="15" t="s">
        <v>77</v>
      </c>
      <c r="S175" s="15" t="s">
        <v>32</v>
      </c>
      <c r="T175" s="15" t="s">
        <v>70</v>
      </c>
      <c r="U175" s="15" t="s">
        <v>809</v>
      </c>
      <c r="V175" s="16"/>
      <c r="W175" s="16">
        <v>46254</v>
      </c>
      <c r="X175" s="15" t="s">
        <v>34</v>
      </c>
      <c r="Y175" s="16">
        <v>46254</v>
      </c>
      <c r="Z175" s="15" t="s">
        <v>57</v>
      </c>
      <c r="AA175" s="17" t="e">
        <f>VLOOKUP(F175,[2]Wait!$H$225:$I$260,2,0)</f>
        <v>#N/A</v>
      </c>
    </row>
    <row r="176" spans="1:27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2983</v>
      </c>
      <c r="E176" s="15" t="s">
        <v>2771</v>
      </c>
      <c r="F176" s="15" t="s">
        <v>3130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28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>
        <v>46290</v>
      </c>
      <c r="W176" s="16">
        <v>46258</v>
      </c>
      <c r="X176" s="15" t="s">
        <v>34</v>
      </c>
      <c r="Y176" s="16">
        <v>46274</v>
      </c>
      <c r="Z176" s="15" t="s">
        <v>57</v>
      </c>
      <c r="AA176" s="17" t="e">
        <f>VLOOKUP(F176,[2]Wait!$H$225:$I$260,2,0)</f>
        <v>#N/A</v>
      </c>
    </row>
    <row r="177" spans="1:27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2770</v>
      </c>
      <c r="E177" s="15" t="s">
        <v>2771</v>
      </c>
      <c r="F177" s="15" t="s">
        <v>3130</v>
      </c>
      <c r="G177" s="15" t="s">
        <v>25</v>
      </c>
      <c r="H177" s="15" t="s">
        <v>26</v>
      </c>
      <c r="I177" s="16">
        <v>46290</v>
      </c>
      <c r="J177" s="15" t="s">
        <v>52</v>
      </c>
      <c r="K177" s="15" t="s">
        <v>59</v>
      </c>
      <c r="L177" s="15" t="s">
        <v>385</v>
      </c>
      <c r="M177" s="15" t="s">
        <v>1180</v>
      </c>
      <c r="N177" s="15" t="s">
        <v>29</v>
      </c>
      <c r="O177" s="15" t="s">
        <v>1044</v>
      </c>
      <c r="P177" s="15" t="s">
        <v>41</v>
      </c>
      <c r="Q177" s="15" t="s">
        <v>42</v>
      </c>
      <c r="R177" s="15" t="s">
        <v>95</v>
      </c>
      <c r="S177" s="15" t="s">
        <v>32</v>
      </c>
      <c r="T177" s="15" t="s">
        <v>55</v>
      </c>
      <c r="U177" s="15" t="s">
        <v>896</v>
      </c>
      <c r="V177" s="16"/>
      <c r="W177" s="16">
        <v>46258</v>
      </c>
      <c r="X177" s="15" t="s">
        <v>34</v>
      </c>
      <c r="Y177" s="16">
        <v>46274</v>
      </c>
      <c r="Z177" s="15" t="s">
        <v>57</v>
      </c>
      <c r="AA177" s="17" t="e">
        <f>VLOOKUP(F177,[2]Wait!$H$225:$I$260,2,0)</f>
        <v>#N/A</v>
      </c>
    </row>
    <row r="178" spans="1:27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1413</v>
      </c>
      <c r="E178" s="15" t="s">
        <v>1414</v>
      </c>
      <c r="F178" s="15" t="s">
        <v>1414</v>
      </c>
      <c r="G178" s="15" t="s">
        <v>194</v>
      </c>
      <c r="H178" s="15" t="s">
        <v>26</v>
      </c>
      <c r="I178" s="16">
        <v>46274</v>
      </c>
      <c r="J178" s="15" t="s">
        <v>255</v>
      </c>
      <c r="K178" s="15" t="s">
        <v>28</v>
      </c>
      <c r="L178" s="15" t="s">
        <v>1415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255</v>
      </c>
      <c r="T178" s="15" t="s">
        <v>195</v>
      </c>
      <c r="U178" s="15" t="s">
        <v>26</v>
      </c>
      <c r="V178" s="16">
        <v>46288</v>
      </c>
      <c r="W178" s="16">
        <v>46262</v>
      </c>
      <c r="X178" s="15" t="s">
        <v>34</v>
      </c>
      <c r="Y178" s="16">
        <v>46262</v>
      </c>
      <c r="Z178" s="15" t="s">
        <v>34</v>
      </c>
      <c r="AA178" s="17" t="e">
        <f>VLOOKUP(F178,[2]Wait!$H$225:$I$260,2,0)</f>
        <v>#N/A</v>
      </c>
    </row>
    <row r="179" spans="1:27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2921</v>
      </c>
      <c r="E179" s="15" t="s">
        <v>2922</v>
      </c>
      <c r="F179" s="15" t="s">
        <v>2922</v>
      </c>
      <c r="G179" s="15" t="s">
        <v>194</v>
      </c>
      <c r="H179" s="15" t="s">
        <v>26</v>
      </c>
      <c r="I179" s="16">
        <v>46288</v>
      </c>
      <c r="J179" s="15" t="s">
        <v>36</v>
      </c>
      <c r="K179" s="15" t="s">
        <v>28</v>
      </c>
      <c r="L179" s="15" t="s">
        <v>2923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36</v>
      </c>
      <c r="T179" s="15" t="s">
        <v>195</v>
      </c>
      <c r="U179" s="15" t="s">
        <v>26</v>
      </c>
      <c r="V179" s="16">
        <v>46286</v>
      </c>
      <c r="W179" s="16">
        <v>46258</v>
      </c>
      <c r="X179" s="15" t="s">
        <v>34</v>
      </c>
      <c r="Y179" s="16">
        <v>46274</v>
      </c>
      <c r="Z179" s="15" t="s">
        <v>57</v>
      </c>
      <c r="AA179" s="17" t="str">
        <f>VLOOKUP(F179,[2]Wait!$H$225:$I$260,2,0)</f>
        <v>Wait LAE Sign</v>
      </c>
    </row>
    <row r="180" spans="1:27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2924</v>
      </c>
      <c r="E180" s="15" t="s">
        <v>2925</v>
      </c>
      <c r="F180" s="15" t="s">
        <v>2925</v>
      </c>
      <c r="G180" s="15" t="s">
        <v>194</v>
      </c>
      <c r="H180" s="15" t="s">
        <v>26</v>
      </c>
      <c r="I180" s="16">
        <v>46289</v>
      </c>
      <c r="J180" s="15" t="s">
        <v>36</v>
      </c>
      <c r="K180" s="15" t="s">
        <v>28</v>
      </c>
      <c r="L180" s="15" t="s">
        <v>2926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  <c r="AA180" s="17" t="e">
        <f>VLOOKUP(F180,[2]Wait!$H$225:$I$260,2,0)</f>
        <v>#N/A</v>
      </c>
    </row>
    <row r="181" spans="1:27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2927</v>
      </c>
      <c r="E181" s="15" t="s">
        <v>2928</v>
      </c>
      <c r="F181" s="15" t="s">
        <v>2928</v>
      </c>
      <c r="G181" s="15" t="s">
        <v>194</v>
      </c>
      <c r="H181" s="15" t="s">
        <v>26</v>
      </c>
      <c r="I181" s="16">
        <v>46289</v>
      </c>
      <c r="J181" s="15" t="s">
        <v>63</v>
      </c>
      <c r="K181" s="15" t="s">
        <v>28</v>
      </c>
      <c r="L181" s="15" t="s">
        <v>2929</v>
      </c>
      <c r="M181" s="15" t="s">
        <v>1180</v>
      </c>
      <c r="N181" s="15" t="s">
        <v>29</v>
      </c>
      <c r="O181" s="15" t="s">
        <v>1044</v>
      </c>
      <c r="P181" s="15" t="s">
        <v>26</v>
      </c>
      <c r="Q181" s="15" t="s">
        <v>26</v>
      </c>
      <c r="R181" s="15" t="s">
        <v>26</v>
      </c>
      <c r="S181" s="15" t="s">
        <v>63</v>
      </c>
      <c r="T181" s="15" t="s">
        <v>195</v>
      </c>
      <c r="U181" s="15" t="s">
        <v>26</v>
      </c>
      <c r="V181" s="16">
        <v>46287</v>
      </c>
      <c r="W181" s="16">
        <v>46258</v>
      </c>
      <c r="X181" s="15" t="s">
        <v>34</v>
      </c>
      <c r="Y181" s="16">
        <v>46287</v>
      </c>
      <c r="Z181" s="15" t="s">
        <v>226</v>
      </c>
      <c r="AA181" s="17" t="e">
        <f>VLOOKUP(F181,[2]Wait!$H$225:$I$260,2,0)</f>
        <v>#N/A</v>
      </c>
    </row>
    <row r="182" spans="1:27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1189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283</v>
      </c>
      <c r="M182" s="15" t="s">
        <v>1188</v>
      </c>
      <c r="N182" s="15" t="s">
        <v>29</v>
      </c>
      <c r="O182" s="15" t="s">
        <v>991</v>
      </c>
      <c r="P182" s="15" t="s">
        <v>41</v>
      </c>
      <c r="Q182" s="15" t="s">
        <v>42</v>
      </c>
      <c r="R182" s="15" t="s">
        <v>65</v>
      </c>
      <c r="S182" s="15" t="s">
        <v>32</v>
      </c>
      <c r="T182" s="15" t="s">
        <v>78</v>
      </c>
      <c r="U182" s="15" t="s">
        <v>284</v>
      </c>
      <c r="V182" s="16"/>
      <c r="W182" s="16">
        <v>46258</v>
      </c>
      <c r="X182" s="15" t="s">
        <v>39</v>
      </c>
      <c r="Y182" s="16">
        <v>46258</v>
      </c>
      <c r="Z182" s="15" t="s">
        <v>39</v>
      </c>
      <c r="AA182" s="17" t="e">
        <f>VLOOKUP(F182,[2]Wait!$H$225:$I$260,2,0)</f>
        <v>#N/A</v>
      </c>
    </row>
    <row r="183" spans="1:27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1195</v>
      </c>
      <c r="E183" s="15" t="s">
        <v>26</v>
      </c>
      <c r="F183" s="15" t="s">
        <v>3132</v>
      </c>
      <c r="G183" s="15" t="s">
        <v>35</v>
      </c>
      <c r="H183" s="15" t="s">
        <v>74</v>
      </c>
      <c r="I183" s="16">
        <v>46274</v>
      </c>
      <c r="J183" s="15" t="s">
        <v>63</v>
      </c>
      <c r="K183" s="15" t="s">
        <v>28</v>
      </c>
      <c r="L183" s="15" t="s">
        <v>1196</v>
      </c>
      <c r="M183" s="15" t="s">
        <v>76</v>
      </c>
      <c r="N183" s="15" t="s">
        <v>29</v>
      </c>
      <c r="O183" s="15" t="s">
        <v>939</v>
      </c>
      <c r="P183" s="15" t="s">
        <v>26</v>
      </c>
      <c r="Q183" s="15" t="s">
        <v>26</v>
      </c>
      <c r="R183" s="15" t="s">
        <v>65</v>
      </c>
      <c r="S183" s="15" t="s">
        <v>32</v>
      </c>
      <c r="T183" s="15" t="s">
        <v>70</v>
      </c>
      <c r="U183" s="15" t="s">
        <v>1197</v>
      </c>
      <c r="V183" s="16"/>
      <c r="W183" s="16">
        <v>46261</v>
      </c>
      <c r="X183" s="15" t="s">
        <v>39</v>
      </c>
      <c r="Y183" s="16">
        <v>46261</v>
      </c>
      <c r="Z183" s="15" t="s">
        <v>39</v>
      </c>
      <c r="AA183" s="17" t="e">
        <f>VLOOKUP(F183,[2]Wait!$H$225:$I$260,2,0)</f>
        <v>#N/A</v>
      </c>
    </row>
    <row r="184" spans="1:27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1782</v>
      </c>
      <c r="E184" s="15" t="s">
        <v>26</v>
      </c>
      <c r="F184" s="15" t="s">
        <v>3133</v>
      </c>
      <c r="G184" s="15" t="s">
        <v>35</v>
      </c>
      <c r="H184" s="15" t="s">
        <v>26</v>
      </c>
      <c r="I184" s="16">
        <v>46288</v>
      </c>
      <c r="J184" s="15" t="s">
        <v>36</v>
      </c>
      <c r="K184" s="15" t="s">
        <v>28</v>
      </c>
      <c r="L184" s="15" t="s">
        <v>1783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  <c r="AA184" s="17" t="e">
        <f>VLOOKUP(F184,[2]Wait!$H$225:$I$260,2,0)</f>
        <v>#N/A</v>
      </c>
    </row>
    <row r="185" spans="1:27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1784</v>
      </c>
      <c r="E185" s="15" t="s">
        <v>26</v>
      </c>
      <c r="F185" s="15" t="s">
        <v>3134</v>
      </c>
      <c r="G185" s="15" t="s">
        <v>35</v>
      </c>
      <c r="H185" s="15" t="s">
        <v>74</v>
      </c>
      <c r="I185" s="16">
        <v>46288</v>
      </c>
      <c r="J185" s="15" t="s">
        <v>36</v>
      </c>
      <c r="K185" s="15" t="s">
        <v>59</v>
      </c>
      <c r="L185" s="15" t="s">
        <v>1785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1775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  <c r="AA185" s="17" t="e">
        <f>VLOOKUP(F185,[2]Wait!$H$225:$I$260,2,0)</f>
        <v>#N/A</v>
      </c>
    </row>
    <row r="186" spans="1:27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1794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46288</v>
      </c>
      <c r="J186" s="15" t="s">
        <v>36</v>
      </c>
      <c r="K186" s="15" t="s">
        <v>28</v>
      </c>
      <c r="L186" s="15" t="s">
        <v>1795</v>
      </c>
      <c r="M186" s="15" t="s">
        <v>76</v>
      </c>
      <c r="N186" s="15" t="s">
        <v>29</v>
      </c>
      <c r="O186" s="15" t="s">
        <v>961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71</v>
      </c>
      <c r="U186" s="15" t="s">
        <v>1078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  <c r="AA186" s="17" t="e">
        <f>VLOOKUP(F186,[2]Wait!$H$225:$I$260,2,0)</f>
        <v>#N/A</v>
      </c>
    </row>
    <row r="187" spans="1:27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1198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46276</v>
      </c>
      <c r="J187" s="15" t="s">
        <v>36</v>
      </c>
      <c r="K187" s="15" t="s">
        <v>28</v>
      </c>
      <c r="L187" s="15" t="s">
        <v>1199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  <c r="AA187" s="17" t="e">
        <f>VLOOKUP(F187,[2]Wait!$H$225:$I$260,2,0)</f>
        <v>#N/A</v>
      </c>
    </row>
    <row r="188" spans="1:27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1200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1201</v>
      </c>
      <c r="M188" s="15" t="s">
        <v>76</v>
      </c>
      <c r="N188" s="15" t="s">
        <v>29</v>
      </c>
      <c r="O188" s="15" t="s">
        <v>946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38</v>
      </c>
      <c r="U188" s="15" t="s">
        <v>943</v>
      </c>
      <c r="V188" s="16"/>
      <c r="W188" s="16">
        <v>46259</v>
      </c>
      <c r="X188" s="15" t="s">
        <v>39</v>
      </c>
      <c r="Y188" s="16">
        <v>46259</v>
      </c>
      <c r="Z188" s="15" t="s">
        <v>39</v>
      </c>
      <c r="AA188" s="17" t="e">
        <f>VLOOKUP(F188,[2]Wait!$H$225:$I$260,2,0)</f>
        <v>#N/A</v>
      </c>
    </row>
    <row r="189" spans="1:27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1202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28</v>
      </c>
      <c r="L189" s="15" t="s">
        <v>1203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  <c r="AA189" s="17" t="e">
        <f>VLOOKUP(F189,[2]Wait!$H$225:$I$260,2,0)</f>
        <v>#N/A</v>
      </c>
    </row>
    <row r="190" spans="1:27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1204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46280</v>
      </c>
      <c r="J190" s="15" t="s">
        <v>36</v>
      </c>
      <c r="K190" s="15" t="s">
        <v>59</v>
      </c>
      <c r="L190" s="15" t="s">
        <v>1205</v>
      </c>
      <c r="M190" s="15" t="s">
        <v>76</v>
      </c>
      <c r="N190" s="15" t="s">
        <v>29</v>
      </c>
      <c r="O190" s="15" t="s">
        <v>961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71</v>
      </c>
      <c r="U190" s="15" t="s">
        <v>943</v>
      </c>
      <c r="V190" s="16"/>
      <c r="W190" s="16">
        <v>46267</v>
      </c>
      <c r="X190" s="15" t="s">
        <v>39</v>
      </c>
      <c r="Y190" s="16">
        <v>46267</v>
      </c>
      <c r="Z190" s="15" t="s">
        <v>39</v>
      </c>
      <c r="AA190" s="17" t="e">
        <f>VLOOKUP(F190,[2]Wait!$H$225:$I$260,2,0)</f>
        <v>#N/A</v>
      </c>
    </row>
    <row r="191" spans="1:27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1206</v>
      </c>
      <c r="E191" s="15" t="s">
        <v>26</v>
      </c>
      <c r="F191" s="15" t="s">
        <v>3140</v>
      </c>
      <c r="G191" s="15" t="s">
        <v>35</v>
      </c>
      <c r="H191" s="15" t="s">
        <v>26</v>
      </c>
      <c r="I191" s="16">
        <v>46276</v>
      </c>
      <c r="J191" s="15" t="s">
        <v>36</v>
      </c>
      <c r="K191" s="15" t="s">
        <v>28</v>
      </c>
      <c r="L191" s="15" t="s">
        <v>1207</v>
      </c>
      <c r="M191" s="15" t="s">
        <v>76</v>
      </c>
      <c r="N191" s="15" t="s">
        <v>29</v>
      </c>
      <c r="O191" s="15" t="s">
        <v>946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38</v>
      </c>
      <c r="U191" s="15" t="s">
        <v>947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  <c r="AA191" s="17" t="e">
        <f>VLOOKUP(F191,[2]Wait!$H$225:$I$260,2,0)</f>
        <v>#N/A</v>
      </c>
    </row>
    <row r="192" spans="1:27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1208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1209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  <c r="AA192" s="17" t="e">
        <f>VLOOKUP(F192,[2]Wait!$H$225:$I$260,2,0)</f>
        <v>#N/A</v>
      </c>
    </row>
    <row r="193" spans="1:27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1210</v>
      </c>
      <c r="E193" s="15" t="s">
        <v>26</v>
      </c>
      <c r="F193" s="15" t="s">
        <v>3142</v>
      </c>
      <c r="G193" s="15" t="s">
        <v>35</v>
      </c>
      <c r="H193" s="15" t="s">
        <v>74</v>
      </c>
      <c r="I193" s="16">
        <v>46280</v>
      </c>
      <c r="J193" s="15" t="s">
        <v>63</v>
      </c>
      <c r="K193" s="15" t="s">
        <v>28</v>
      </c>
      <c r="L193" s="15" t="s">
        <v>1211</v>
      </c>
      <c r="M193" s="15" t="s">
        <v>76</v>
      </c>
      <c r="N193" s="15" t="s">
        <v>29</v>
      </c>
      <c r="O193" s="15" t="s">
        <v>939</v>
      </c>
      <c r="P193" s="15" t="s">
        <v>26</v>
      </c>
      <c r="Q193" s="15" t="s">
        <v>26</v>
      </c>
      <c r="R193" s="15" t="s">
        <v>72</v>
      </c>
      <c r="S193" s="15" t="s">
        <v>32</v>
      </c>
      <c r="T193" s="15" t="s">
        <v>78</v>
      </c>
      <c r="U193" s="15" t="s">
        <v>947</v>
      </c>
      <c r="V193" s="16"/>
      <c r="W193" s="16">
        <v>46261</v>
      </c>
      <c r="X193" s="15" t="s">
        <v>39</v>
      </c>
      <c r="Y193" s="16">
        <v>46261</v>
      </c>
      <c r="Z193" s="15" t="s">
        <v>39</v>
      </c>
      <c r="AA193" s="17" t="e">
        <f>VLOOKUP(F193,[2]Wait!$H$225:$I$260,2,0)</f>
        <v>#N/A</v>
      </c>
    </row>
    <row r="194" spans="1:27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1212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1213</v>
      </c>
      <c r="M194" s="15" t="s">
        <v>76</v>
      </c>
      <c r="N194" s="15" t="s">
        <v>29</v>
      </c>
      <c r="O194" s="15" t="s">
        <v>955</v>
      </c>
      <c r="P194" s="15" t="s">
        <v>26</v>
      </c>
      <c r="Q194" s="15" t="s">
        <v>26</v>
      </c>
      <c r="R194" s="15" t="s">
        <v>88</v>
      </c>
      <c r="S194" s="15" t="s">
        <v>32</v>
      </c>
      <c r="T194" s="15" t="s">
        <v>70</v>
      </c>
      <c r="U194" s="15" t="s">
        <v>1214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  <c r="AA194" s="17" t="e">
        <f>VLOOKUP(F194,[2]Wait!$H$225:$I$260,2,0)</f>
        <v>#N/A</v>
      </c>
    </row>
    <row r="195" spans="1:27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1218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89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90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  <c r="AA195" s="17" t="e">
        <f>VLOOKUP(F195,[2]Wait!$H$225:$I$260,2,0)</f>
        <v>#N/A</v>
      </c>
    </row>
    <row r="196" spans="1:27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1219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46258</v>
      </c>
      <c r="J196" s="15" t="s">
        <v>52</v>
      </c>
      <c r="K196" s="15" t="s">
        <v>28</v>
      </c>
      <c r="L196" s="15" t="s">
        <v>91</v>
      </c>
      <c r="M196" s="15" t="s">
        <v>76</v>
      </c>
      <c r="N196" s="15" t="s">
        <v>29</v>
      </c>
      <c r="O196" s="15" t="s">
        <v>955</v>
      </c>
      <c r="P196" s="15" t="s">
        <v>30</v>
      </c>
      <c r="Q196" s="15" t="s">
        <v>31</v>
      </c>
      <c r="R196" s="15" t="s">
        <v>54</v>
      </c>
      <c r="S196" s="15" t="s">
        <v>32</v>
      </c>
      <c r="T196" s="15" t="s">
        <v>55</v>
      </c>
      <c r="U196" s="15" t="s">
        <v>92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  <c r="AA196" s="17" t="e">
        <f>VLOOKUP(F196,[2]Wait!$H$225:$I$260,2,0)</f>
        <v>#N/A</v>
      </c>
    </row>
    <row r="197" spans="1:27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1220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46259</v>
      </c>
      <c r="J197" s="15" t="s">
        <v>52</v>
      </c>
      <c r="K197" s="15" t="s">
        <v>28</v>
      </c>
      <c r="L197" s="15" t="s">
        <v>97</v>
      </c>
      <c r="M197" s="15" t="s">
        <v>76</v>
      </c>
      <c r="N197" s="15" t="s">
        <v>29</v>
      </c>
      <c r="O197" s="15" t="s">
        <v>955</v>
      </c>
      <c r="P197" s="15" t="s">
        <v>41</v>
      </c>
      <c r="Q197" s="15" t="s">
        <v>42</v>
      </c>
      <c r="R197" s="15" t="s">
        <v>95</v>
      </c>
      <c r="S197" s="15" t="s">
        <v>32</v>
      </c>
      <c r="T197" s="15" t="s">
        <v>55</v>
      </c>
      <c r="U197" s="15" t="s">
        <v>98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  <c r="AA197" s="17" t="e">
        <f>VLOOKUP(F197,[2]Wait!$H$225:$I$260,2,0)</f>
        <v>#N/A</v>
      </c>
    </row>
    <row r="198" spans="1:27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1825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46288</v>
      </c>
      <c r="J198" s="15" t="s">
        <v>36</v>
      </c>
      <c r="K198" s="15" t="s">
        <v>28</v>
      </c>
      <c r="L198" s="15" t="s">
        <v>1826</v>
      </c>
      <c r="M198" s="15" t="s">
        <v>76</v>
      </c>
      <c r="N198" s="15" t="s">
        <v>29</v>
      </c>
      <c r="O198" s="15" t="s">
        <v>961</v>
      </c>
      <c r="P198" s="15" t="s">
        <v>26</v>
      </c>
      <c r="Q198" s="15" t="s">
        <v>26</v>
      </c>
      <c r="R198" s="15" t="s">
        <v>72</v>
      </c>
      <c r="S198" s="15" t="s">
        <v>32</v>
      </c>
      <c r="T198" s="15" t="s">
        <v>71</v>
      </c>
      <c r="U198" s="15" t="s">
        <v>953</v>
      </c>
      <c r="V198" s="16"/>
      <c r="W198" s="16">
        <v>46267</v>
      </c>
      <c r="X198" s="15" t="s">
        <v>39</v>
      </c>
      <c r="Y198" s="16">
        <v>46267</v>
      </c>
      <c r="Z198" s="15" t="s">
        <v>39</v>
      </c>
      <c r="AA198" s="17" t="e">
        <f>VLOOKUP(F198,[2]Wait!$H$225:$I$260,2,0)</f>
        <v>#N/A</v>
      </c>
    </row>
    <row r="199" spans="1:27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1221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99</v>
      </c>
      <c r="M199" s="15" t="s">
        <v>76</v>
      </c>
      <c r="N199" s="15" t="s">
        <v>29</v>
      </c>
      <c r="O199" s="15" t="s">
        <v>955</v>
      </c>
      <c r="P199" s="15" t="s">
        <v>26</v>
      </c>
      <c r="Q199" s="15" t="s">
        <v>26</v>
      </c>
      <c r="R199" s="15" t="s">
        <v>95</v>
      </c>
      <c r="S199" s="15" t="s">
        <v>32</v>
      </c>
      <c r="T199" s="15" t="s">
        <v>100</v>
      </c>
      <c r="U199" s="15" t="s">
        <v>101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  <c r="AA199" s="17" t="e">
        <f>VLOOKUP(F199,[2]Wait!$H$225:$I$260,2,0)</f>
        <v>#N/A</v>
      </c>
    </row>
    <row r="200" spans="1:27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1222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104</v>
      </c>
      <c r="M200" s="15" t="s">
        <v>76</v>
      </c>
      <c r="N200" s="15" t="s">
        <v>29</v>
      </c>
      <c r="O200" s="15" t="s">
        <v>1013</v>
      </c>
      <c r="P200" s="15" t="s">
        <v>26</v>
      </c>
      <c r="Q200" s="15" t="s">
        <v>26</v>
      </c>
      <c r="R200" s="15" t="s">
        <v>54</v>
      </c>
      <c r="S200" s="15" t="s">
        <v>32</v>
      </c>
      <c r="T200" s="15" t="s">
        <v>100</v>
      </c>
      <c r="U200" s="15" t="s">
        <v>105</v>
      </c>
      <c r="V200" s="16"/>
      <c r="W200" s="16">
        <v>46270</v>
      </c>
      <c r="X200" s="15" t="s">
        <v>39</v>
      </c>
      <c r="Y200" s="16">
        <v>46270</v>
      </c>
      <c r="Z200" s="15" t="s">
        <v>39</v>
      </c>
      <c r="AA200" s="17" t="e">
        <f>VLOOKUP(F200,[2]Wait!$H$225:$I$260,2,0)</f>
        <v>#N/A</v>
      </c>
    </row>
    <row r="201" spans="1:27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1223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46268</v>
      </c>
      <c r="J201" s="15" t="s">
        <v>52</v>
      </c>
      <c r="K201" s="15" t="s">
        <v>28</v>
      </c>
      <c r="L201" s="15" t="s">
        <v>106</v>
      </c>
      <c r="M201" s="15" t="s">
        <v>76</v>
      </c>
      <c r="N201" s="15" t="s">
        <v>29</v>
      </c>
      <c r="O201" s="15" t="s">
        <v>991</v>
      </c>
      <c r="P201" s="15" t="s">
        <v>26</v>
      </c>
      <c r="Q201" s="15" t="s">
        <v>26</v>
      </c>
      <c r="R201" s="15" t="s">
        <v>95</v>
      </c>
      <c r="S201" s="15" t="s">
        <v>32</v>
      </c>
      <c r="T201" s="15" t="s">
        <v>107</v>
      </c>
      <c r="U201" s="15" t="s">
        <v>108</v>
      </c>
      <c r="V201" s="16"/>
      <c r="W201" s="16">
        <v>46258</v>
      </c>
      <c r="X201" s="15" t="s">
        <v>39</v>
      </c>
      <c r="Y201" s="16">
        <v>46258</v>
      </c>
      <c r="Z201" s="15" t="s">
        <v>39</v>
      </c>
      <c r="AA201" s="17" t="e">
        <f>VLOOKUP(F201,[2]Wait!$H$225:$I$260,2,0)</f>
        <v>#N/A</v>
      </c>
    </row>
    <row r="202" spans="1:27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1227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1228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1229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  <c r="AA202" s="17" t="e">
        <f>VLOOKUP(F202,[2]Wait!$H$225:$I$260,2,0)</f>
        <v>#N/A</v>
      </c>
    </row>
    <row r="203" spans="1:27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1230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46269</v>
      </c>
      <c r="J203" s="15" t="s">
        <v>52</v>
      </c>
      <c r="K203" s="15" t="s">
        <v>28</v>
      </c>
      <c r="L203" s="15" t="s">
        <v>1231</v>
      </c>
      <c r="M203" s="15" t="s">
        <v>76</v>
      </c>
      <c r="N203" s="15" t="s">
        <v>29</v>
      </c>
      <c r="O203" s="15" t="s">
        <v>955</v>
      </c>
      <c r="P203" s="15" t="s">
        <v>30</v>
      </c>
      <c r="Q203" s="15" t="s">
        <v>31</v>
      </c>
      <c r="R203" s="15" t="s">
        <v>88</v>
      </c>
      <c r="S203" s="15" t="s">
        <v>32</v>
      </c>
      <c r="T203" s="15" t="s">
        <v>55</v>
      </c>
      <c r="U203" s="15" t="s">
        <v>109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  <c r="AA203" s="17" t="e">
        <f>VLOOKUP(F203,[2]Wait!$H$225:$I$260,2,0)</f>
        <v>#N/A</v>
      </c>
    </row>
    <row r="204" spans="1:27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1909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196</v>
      </c>
      <c r="K204" s="15" t="s">
        <v>28</v>
      </c>
      <c r="L204" s="15" t="s">
        <v>1910</v>
      </c>
      <c r="M204" s="15" t="s">
        <v>76</v>
      </c>
      <c r="N204" s="15" t="s">
        <v>29</v>
      </c>
      <c r="O204" s="15" t="s">
        <v>1070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367</v>
      </c>
      <c r="U204" s="15" t="s">
        <v>1234</v>
      </c>
      <c r="V204" s="16"/>
      <c r="W204" s="16">
        <v>46265</v>
      </c>
      <c r="X204" s="15" t="s">
        <v>39</v>
      </c>
      <c r="Y204" s="16">
        <v>46265</v>
      </c>
      <c r="Z204" s="15" t="s">
        <v>39</v>
      </c>
      <c r="AA204" s="17" t="e">
        <f>VLOOKUP(F204,[2]Wait!$H$225:$I$260,2,0)</f>
        <v>#N/A</v>
      </c>
    </row>
    <row r="205" spans="1:27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1911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46289</v>
      </c>
      <c r="J205" s="15" t="s">
        <v>36</v>
      </c>
      <c r="K205" s="15" t="s">
        <v>28</v>
      </c>
      <c r="L205" s="15" t="s">
        <v>1912</v>
      </c>
      <c r="M205" s="15" t="s">
        <v>76</v>
      </c>
      <c r="N205" s="15" t="s">
        <v>29</v>
      </c>
      <c r="O205" s="15" t="s">
        <v>949</v>
      </c>
      <c r="P205" s="15" t="s">
        <v>26</v>
      </c>
      <c r="Q205" s="15" t="s">
        <v>26</v>
      </c>
      <c r="R205" s="15" t="s">
        <v>126</v>
      </c>
      <c r="S205" s="15" t="s">
        <v>32</v>
      </c>
      <c r="T205" s="15" t="s">
        <v>38</v>
      </c>
      <c r="U205" s="15" t="s">
        <v>1234</v>
      </c>
      <c r="V205" s="16"/>
      <c r="W205" s="16">
        <v>46263</v>
      </c>
      <c r="X205" s="15" t="s">
        <v>39</v>
      </c>
      <c r="Y205" s="16">
        <v>46263</v>
      </c>
      <c r="Z205" s="15" t="s">
        <v>39</v>
      </c>
      <c r="AA205" s="17" t="e">
        <f>VLOOKUP(F205,[2]Wait!$H$225:$I$260,2,0)</f>
        <v>#N/A</v>
      </c>
    </row>
    <row r="206" spans="1:27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1232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46258</v>
      </c>
      <c r="J206" s="15" t="s">
        <v>52</v>
      </c>
      <c r="K206" s="15" t="s">
        <v>28</v>
      </c>
      <c r="L206" s="15" t="s">
        <v>1233</v>
      </c>
      <c r="M206" s="15" t="s">
        <v>76</v>
      </c>
      <c r="N206" s="15" t="s">
        <v>29</v>
      </c>
      <c r="O206" s="15" t="s">
        <v>955</v>
      </c>
      <c r="P206" s="15" t="s">
        <v>26</v>
      </c>
      <c r="Q206" s="15" t="s">
        <v>26</v>
      </c>
      <c r="R206" s="15" t="s">
        <v>54</v>
      </c>
      <c r="S206" s="15" t="s">
        <v>32</v>
      </c>
      <c r="T206" s="15" t="s">
        <v>55</v>
      </c>
      <c r="U206" s="15" t="s">
        <v>1234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  <c r="AA206" s="17" t="e">
        <f>VLOOKUP(F206,[2]Wait!$H$225:$I$260,2,0)</f>
        <v>#N/A</v>
      </c>
    </row>
    <row r="207" spans="1:27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1919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46289</v>
      </c>
      <c r="J207" s="15" t="s">
        <v>52</v>
      </c>
      <c r="K207" s="15" t="s">
        <v>28</v>
      </c>
      <c r="L207" s="15" t="s">
        <v>371</v>
      </c>
      <c r="M207" s="15" t="s">
        <v>76</v>
      </c>
      <c r="N207" s="15" t="s">
        <v>29</v>
      </c>
      <c r="O207" s="15" t="s">
        <v>1070</v>
      </c>
      <c r="P207" s="15" t="s">
        <v>26</v>
      </c>
      <c r="Q207" s="15" t="s">
        <v>26</v>
      </c>
      <c r="R207" s="15" t="s">
        <v>95</v>
      </c>
      <c r="S207" s="15" t="s">
        <v>32</v>
      </c>
      <c r="T207" s="15" t="s">
        <v>70</v>
      </c>
      <c r="U207" s="15" t="s">
        <v>372</v>
      </c>
      <c r="V207" s="16"/>
      <c r="W207" s="16">
        <v>46265</v>
      </c>
      <c r="X207" s="15" t="s">
        <v>39</v>
      </c>
      <c r="Y207" s="16">
        <v>46265</v>
      </c>
      <c r="Z207" s="15" t="s">
        <v>39</v>
      </c>
      <c r="AA207" s="17" t="e">
        <f>VLOOKUP(F207,[2]Wait!$H$225:$I$260,2,0)</f>
        <v>#N/A</v>
      </c>
    </row>
    <row r="208" spans="1:27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1236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46269</v>
      </c>
      <c r="J208" s="15" t="s">
        <v>116</v>
      </c>
      <c r="K208" s="15" t="s">
        <v>28</v>
      </c>
      <c r="L208" s="15" t="s">
        <v>117</v>
      </c>
      <c r="M208" s="15" t="s">
        <v>76</v>
      </c>
      <c r="N208" s="15" t="s">
        <v>29</v>
      </c>
      <c r="O208" s="15" t="s">
        <v>991</v>
      </c>
      <c r="P208" s="15" t="s">
        <v>26</v>
      </c>
      <c r="Q208" s="15" t="s">
        <v>26</v>
      </c>
      <c r="R208" s="15" t="s">
        <v>118</v>
      </c>
      <c r="S208" s="15" t="s">
        <v>32</v>
      </c>
      <c r="T208" s="15" t="s">
        <v>70</v>
      </c>
      <c r="U208" s="15" t="s">
        <v>119</v>
      </c>
      <c r="V208" s="16"/>
      <c r="W208" s="16">
        <v>46258</v>
      </c>
      <c r="X208" s="15" t="s">
        <v>39</v>
      </c>
      <c r="Y208" s="16">
        <v>46258</v>
      </c>
      <c r="Z208" s="15" t="s">
        <v>39</v>
      </c>
      <c r="AA208" s="17" t="e">
        <f>VLOOKUP(F208,[2]Wait!$H$225:$I$260,2,0)</f>
        <v>#N/A</v>
      </c>
    </row>
    <row r="209" spans="1:27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1238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1239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1241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  <c r="AA209" s="17" t="e">
        <f>VLOOKUP(F209,[2]Wait!$H$225:$I$260,2,0)</f>
        <v>#N/A</v>
      </c>
    </row>
    <row r="210" spans="1:27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1242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46274</v>
      </c>
      <c r="J210" s="15" t="s">
        <v>188</v>
      </c>
      <c r="K210" s="15" t="s">
        <v>28</v>
      </c>
      <c r="L210" s="15" t="s">
        <v>1243</v>
      </c>
      <c r="M210" s="15" t="s">
        <v>76</v>
      </c>
      <c r="N210" s="15" t="s">
        <v>29</v>
      </c>
      <c r="O210" s="15" t="s">
        <v>949</v>
      </c>
      <c r="P210" s="15" t="s">
        <v>41</v>
      </c>
      <c r="Q210" s="15" t="s">
        <v>42</v>
      </c>
      <c r="R210" s="15" t="s">
        <v>1240</v>
      </c>
      <c r="S210" s="15" t="s">
        <v>32</v>
      </c>
      <c r="T210" s="15" t="s">
        <v>78</v>
      </c>
      <c r="U210" s="15" t="s">
        <v>1244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  <c r="AA210" s="17" t="e">
        <f>VLOOKUP(F210,[2]Wait!$H$225:$I$260,2,0)</f>
        <v>#N/A</v>
      </c>
    </row>
    <row r="211" spans="1:27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1960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46277</v>
      </c>
      <c r="J211" s="15" t="s">
        <v>36</v>
      </c>
      <c r="K211" s="15" t="s">
        <v>28</v>
      </c>
      <c r="L211" s="15" t="s">
        <v>1961</v>
      </c>
      <c r="M211" s="15" t="s">
        <v>76</v>
      </c>
      <c r="N211" s="15" t="s">
        <v>29</v>
      </c>
      <c r="O211" s="15" t="s">
        <v>949</v>
      </c>
      <c r="P211" s="15" t="s">
        <v>30</v>
      </c>
      <c r="Q211" s="15" t="s">
        <v>31</v>
      </c>
      <c r="R211" s="15" t="s">
        <v>285</v>
      </c>
      <c r="S211" s="15" t="s">
        <v>32</v>
      </c>
      <c r="T211" s="15" t="s">
        <v>66</v>
      </c>
      <c r="U211" s="15" t="s">
        <v>1443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  <c r="AA211" s="17" t="e">
        <f>VLOOKUP(F211,[2]Wait!$H$225:$I$260,2,0)</f>
        <v>#N/A</v>
      </c>
    </row>
    <row r="212" spans="1:27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1966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46289</v>
      </c>
      <c r="J212" s="15" t="s">
        <v>36</v>
      </c>
      <c r="K212" s="15" t="s">
        <v>28</v>
      </c>
      <c r="L212" s="15" t="s">
        <v>403</v>
      </c>
      <c r="M212" s="15" t="s">
        <v>76</v>
      </c>
      <c r="N212" s="15" t="s">
        <v>29</v>
      </c>
      <c r="O212" s="15" t="s">
        <v>949</v>
      </c>
      <c r="P212" s="15" t="s">
        <v>41</v>
      </c>
      <c r="Q212" s="15" t="s">
        <v>42</v>
      </c>
      <c r="R212" s="15" t="s">
        <v>37</v>
      </c>
      <c r="S212" s="15" t="s">
        <v>32</v>
      </c>
      <c r="T212" s="15" t="s">
        <v>78</v>
      </c>
      <c r="U212" s="15" t="s">
        <v>404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  <c r="AA212" s="17" t="e">
        <f>VLOOKUP(F212,[2]Wait!$H$225:$I$260,2,0)</f>
        <v>#N/A</v>
      </c>
    </row>
    <row r="213" spans="1:27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1248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46274</v>
      </c>
      <c r="J213" s="15" t="s">
        <v>52</v>
      </c>
      <c r="K213" s="15" t="s">
        <v>28</v>
      </c>
      <c r="L213" s="15" t="s">
        <v>431</v>
      </c>
      <c r="M213" s="15" t="s">
        <v>76</v>
      </c>
      <c r="N213" s="15" t="s">
        <v>29</v>
      </c>
      <c r="O213" s="15" t="s">
        <v>949</v>
      </c>
      <c r="P213" s="15" t="s">
        <v>148</v>
      </c>
      <c r="Q213" s="15" t="s">
        <v>149</v>
      </c>
      <c r="R213" s="15" t="s">
        <v>54</v>
      </c>
      <c r="S213" s="15" t="s">
        <v>32</v>
      </c>
      <c r="T213" s="15" t="s">
        <v>70</v>
      </c>
      <c r="U213" s="15" t="s">
        <v>432</v>
      </c>
      <c r="V213" s="16"/>
      <c r="W213" s="16">
        <v>46263</v>
      </c>
      <c r="X213" s="15" t="s">
        <v>39</v>
      </c>
      <c r="Y213" s="16">
        <v>46263</v>
      </c>
      <c r="Z213" s="15" t="s">
        <v>39</v>
      </c>
      <c r="AA213" s="17" t="e">
        <f>VLOOKUP(F213,[2]Wait!$H$225:$I$260,2,0)</f>
        <v>#N/A</v>
      </c>
    </row>
    <row r="214" spans="1:27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1249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46266</v>
      </c>
      <c r="J214" s="15" t="s">
        <v>82</v>
      </c>
      <c r="K214" s="15" t="s">
        <v>28</v>
      </c>
      <c r="L214" s="15" t="s">
        <v>125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126</v>
      </c>
      <c r="S214" s="15" t="s">
        <v>32</v>
      </c>
      <c r="T214" s="15" t="s">
        <v>70</v>
      </c>
      <c r="U214" s="15" t="s">
        <v>127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  <c r="AA214" s="17" t="e">
        <f>VLOOKUP(F214,[2]Wait!$H$225:$I$260,2,0)</f>
        <v>#N/A</v>
      </c>
    </row>
    <row r="215" spans="1:27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1250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46273</v>
      </c>
      <c r="J215" s="15" t="s">
        <v>63</v>
      </c>
      <c r="K215" s="15" t="s">
        <v>28</v>
      </c>
      <c r="L215" s="15" t="s">
        <v>128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77</v>
      </c>
      <c r="S215" s="15" t="s">
        <v>32</v>
      </c>
      <c r="T215" s="15" t="s">
        <v>70</v>
      </c>
      <c r="U215" s="15" t="s">
        <v>129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  <c r="AA215" s="17" t="e">
        <f>VLOOKUP(F215,[2]Wait!$H$225:$I$260,2,0)</f>
        <v>#N/A</v>
      </c>
    </row>
    <row r="216" spans="1:27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1251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46268</v>
      </c>
      <c r="J216" s="15" t="s">
        <v>52</v>
      </c>
      <c r="K216" s="15" t="s">
        <v>28</v>
      </c>
      <c r="L216" s="15" t="s">
        <v>130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54</v>
      </c>
      <c r="S216" s="15" t="s">
        <v>32</v>
      </c>
      <c r="T216" s="15" t="s">
        <v>70</v>
      </c>
      <c r="U216" s="15" t="s">
        <v>131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  <c r="AA216" s="17" t="e">
        <f>VLOOKUP(F216,[2]Wait!$H$225:$I$260,2,0)</f>
        <v>#N/A</v>
      </c>
    </row>
    <row r="217" spans="1:27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1252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46275</v>
      </c>
      <c r="J217" s="15" t="s">
        <v>36</v>
      </c>
      <c r="K217" s="15" t="s">
        <v>28</v>
      </c>
      <c r="L217" s="15" t="s">
        <v>1253</v>
      </c>
      <c r="M217" s="15" t="s">
        <v>76</v>
      </c>
      <c r="N217" s="15" t="s">
        <v>29</v>
      </c>
      <c r="O217" s="15" t="s">
        <v>991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46258</v>
      </c>
      <c r="X217" s="15" t="s">
        <v>39</v>
      </c>
      <c r="Y217" s="16">
        <v>46258</v>
      </c>
      <c r="Z217" s="15" t="s">
        <v>39</v>
      </c>
      <c r="AA217" s="17" t="e">
        <f>VLOOKUP(F217,[2]Wait!$H$225:$I$260,2,0)</f>
        <v>#N/A</v>
      </c>
    </row>
    <row r="218" spans="1:27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1255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46280</v>
      </c>
      <c r="J218" s="15" t="s">
        <v>36</v>
      </c>
      <c r="K218" s="15" t="s">
        <v>28</v>
      </c>
      <c r="L218" s="15" t="s">
        <v>1256</v>
      </c>
      <c r="M218" s="15" t="s">
        <v>76</v>
      </c>
      <c r="N218" s="15" t="s">
        <v>29</v>
      </c>
      <c r="O218" s="15" t="s">
        <v>961</v>
      </c>
      <c r="P218" s="15" t="s">
        <v>26</v>
      </c>
      <c r="Q218" s="15" t="s">
        <v>26</v>
      </c>
      <c r="R218" s="15" t="s">
        <v>37</v>
      </c>
      <c r="S218" s="15" t="s">
        <v>32</v>
      </c>
      <c r="T218" s="15" t="s">
        <v>78</v>
      </c>
      <c r="U218" s="15" t="s">
        <v>1254</v>
      </c>
      <c r="V218" s="16"/>
      <c r="W218" s="16">
        <v>46267</v>
      </c>
      <c r="X218" s="15" t="s">
        <v>39</v>
      </c>
      <c r="Y218" s="16">
        <v>46267</v>
      </c>
      <c r="Z218" s="15" t="s">
        <v>39</v>
      </c>
      <c r="AA218" s="17" t="e">
        <f>VLOOKUP(F218,[2]Wait!$H$225:$I$260,2,0)</f>
        <v>#N/A</v>
      </c>
    </row>
    <row r="219" spans="1:27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1259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46274</v>
      </c>
      <c r="J219" s="15" t="s">
        <v>36</v>
      </c>
      <c r="K219" s="15" t="s">
        <v>28</v>
      </c>
      <c r="L219" s="15" t="s">
        <v>462</v>
      </c>
      <c r="M219" s="15" t="s">
        <v>76</v>
      </c>
      <c r="N219" s="15" t="s">
        <v>29</v>
      </c>
      <c r="O219" s="15" t="s">
        <v>946</v>
      </c>
      <c r="P219" s="15" t="s">
        <v>26</v>
      </c>
      <c r="Q219" s="15" t="s">
        <v>26</v>
      </c>
      <c r="R219" s="15" t="s">
        <v>135</v>
      </c>
      <c r="S219" s="15" t="s">
        <v>32</v>
      </c>
      <c r="T219" s="15" t="s">
        <v>38</v>
      </c>
      <c r="U219" s="15" t="s">
        <v>463</v>
      </c>
      <c r="V219" s="16"/>
      <c r="W219" s="16">
        <v>46259</v>
      </c>
      <c r="X219" s="15" t="s">
        <v>39</v>
      </c>
      <c r="Y219" s="16">
        <v>46259</v>
      </c>
      <c r="Z219" s="15" t="s">
        <v>39</v>
      </c>
      <c r="AA219" s="17" t="e">
        <f>VLOOKUP(F219,[2]Wait!$H$225:$I$260,2,0)</f>
        <v>#N/A</v>
      </c>
    </row>
    <row r="220" spans="1:27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2013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46289</v>
      </c>
      <c r="J220" s="15" t="s">
        <v>52</v>
      </c>
      <c r="K220" s="15" t="s">
        <v>28</v>
      </c>
      <c r="L220" s="15" t="s">
        <v>468</v>
      </c>
      <c r="M220" s="15" t="s">
        <v>76</v>
      </c>
      <c r="N220" s="15" t="s">
        <v>29</v>
      </c>
      <c r="O220" s="15" t="s">
        <v>1070</v>
      </c>
      <c r="P220" s="15" t="s">
        <v>26</v>
      </c>
      <c r="Q220" s="15" t="s">
        <v>26</v>
      </c>
      <c r="R220" s="15" t="s">
        <v>95</v>
      </c>
      <c r="S220" s="15" t="s">
        <v>32</v>
      </c>
      <c r="T220" s="15" t="s">
        <v>55</v>
      </c>
      <c r="U220" s="15" t="s">
        <v>465</v>
      </c>
      <c r="V220" s="16"/>
      <c r="W220" s="16">
        <v>46265</v>
      </c>
      <c r="X220" s="15" t="s">
        <v>39</v>
      </c>
      <c r="Y220" s="16">
        <v>46265</v>
      </c>
      <c r="Z220" s="15" t="s">
        <v>39</v>
      </c>
      <c r="AA220" s="17" t="e">
        <f>VLOOKUP(F220,[2]Wait!$H$225:$I$260,2,0)</f>
        <v>#N/A</v>
      </c>
    </row>
    <row r="221" spans="1:27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1260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46274</v>
      </c>
      <c r="J221" s="15" t="s">
        <v>36</v>
      </c>
      <c r="K221" s="15" t="s">
        <v>28</v>
      </c>
      <c r="L221" s="15" t="s">
        <v>469</v>
      </c>
      <c r="M221" s="15" t="s">
        <v>76</v>
      </c>
      <c r="N221" s="15" t="s">
        <v>29</v>
      </c>
      <c r="O221" s="15" t="s">
        <v>946</v>
      </c>
      <c r="P221" s="15" t="s">
        <v>26</v>
      </c>
      <c r="Q221" s="15" t="s">
        <v>26</v>
      </c>
      <c r="R221" s="15" t="s">
        <v>135</v>
      </c>
      <c r="S221" s="15" t="s">
        <v>32</v>
      </c>
      <c r="T221" s="15" t="s">
        <v>136</v>
      </c>
      <c r="U221" s="15" t="s">
        <v>137</v>
      </c>
      <c r="V221" s="16"/>
      <c r="W221" s="16">
        <v>46259</v>
      </c>
      <c r="X221" s="15" t="s">
        <v>39</v>
      </c>
      <c r="Y221" s="16">
        <v>46259</v>
      </c>
      <c r="Z221" s="15" t="s">
        <v>39</v>
      </c>
      <c r="AA221" s="17" t="e">
        <f>VLOOKUP(F221,[2]Wait!$H$225:$I$260,2,0)</f>
        <v>#N/A</v>
      </c>
    </row>
    <row r="222" spans="1:27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2047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46278</v>
      </c>
      <c r="J222" s="15" t="s">
        <v>63</v>
      </c>
      <c r="K222" s="15" t="s">
        <v>28</v>
      </c>
      <c r="L222" s="15" t="s">
        <v>2048</v>
      </c>
      <c r="M222" s="15" t="s">
        <v>76</v>
      </c>
      <c r="N222" s="15" t="s">
        <v>29</v>
      </c>
      <c r="O222" s="15" t="s">
        <v>949</v>
      </c>
      <c r="P222" s="15" t="s">
        <v>30</v>
      </c>
      <c r="Q222" s="15" t="s">
        <v>31</v>
      </c>
      <c r="R222" s="15" t="s">
        <v>253</v>
      </c>
      <c r="S222" s="15" t="s">
        <v>32</v>
      </c>
      <c r="T222" s="15" t="s">
        <v>33</v>
      </c>
      <c r="U222" s="15" t="s">
        <v>1454</v>
      </c>
      <c r="V222" s="16"/>
      <c r="W222" s="16">
        <v>46263</v>
      </c>
      <c r="X222" s="15" t="s">
        <v>39</v>
      </c>
      <c r="Y222" s="16">
        <v>46263</v>
      </c>
      <c r="Z222" s="15" t="s">
        <v>39</v>
      </c>
      <c r="AA222" s="17" t="e">
        <f>VLOOKUP(F222,[2]Wait!$H$225:$I$260,2,0)</f>
        <v>#N/A</v>
      </c>
    </row>
    <row r="223" spans="1:27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1264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36</v>
      </c>
      <c r="K223" s="15" t="s">
        <v>28</v>
      </c>
      <c r="L223" s="15" t="s">
        <v>492</v>
      </c>
      <c r="M223" s="15" t="s">
        <v>76</v>
      </c>
      <c r="N223" s="15" t="s">
        <v>29</v>
      </c>
      <c r="O223" s="15" t="s">
        <v>961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33</v>
      </c>
      <c r="U223" s="15" t="s">
        <v>493</v>
      </c>
      <c r="V223" s="16"/>
      <c r="W223" s="16">
        <v>46267</v>
      </c>
      <c r="X223" s="15" t="s">
        <v>39</v>
      </c>
      <c r="Y223" s="16">
        <v>46267</v>
      </c>
      <c r="Z223" s="15" t="s">
        <v>39</v>
      </c>
      <c r="AA223" s="17" t="e">
        <f>VLOOKUP(F223,[2]Wait!$H$225:$I$260,2,0)</f>
        <v>#N/A</v>
      </c>
    </row>
    <row r="224" spans="1:27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1265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196</v>
      </c>
      <c r="K224" s="15" t="s">
        <v>28</v>
      </c>
      <c r="L224" s="15" t="s">
        <v>501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367</v>
      </c>
      <c r="U224" s="15" t="s">
        <v>500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  <c r="AA224" s="17" t="e">
        <f>VLOOKUP(F224,[2]Wait!$H$225:$I$260,2,0)</f>
        <v>#N/A</v>
      </c>
    </row>
    <row r="225" spans="1:27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1266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506</v>
      </c>
      <c r="M225" s="15" t="s">
        <v>76</v>
      </c>
      <c r="N225" s="15" t="s">
        <v>29</v>
      </c>
      <c r="O225" s="15" t="s">
        <v>946</v>
      </c>
      <c r="P225" s="15" t="s">
        <v>26</v>
      </c>
      <c r="Q225" s="15" t="s">
        <v>26</v>
      </c>
      <c r="R225" s="15" t="s">
        <v>253</v>
      </c>
      <c r="S225" s="15" t="s">
        <v>32</v>
      </c>
      <c r="T225" s="15" t="s">
        <v>136</v>
      </c>
      <c r="U225" s="15" t="s">
        <v>507</v>
      </c>
      <c r="V225" s="16"/>
      <c r="W225" s="16">
        <v>46259</v>
      </c>
      <c r="X225" s="15" t="s">
        <v>39</v>
      </c>
      <c r="Y225" s="16">
        <v>46259</v>
      </c>
      <c r="Z225" s="15" t="s">
        <v>39</v>
      </c>
      <c r="AA225" s="17" t="e">
        <f>VLOOKUP(F225,[2]Wait!$H$225:$I$260,2,0)</f>
        <v>#N/A</v>
      </c>
    </row>
    <row r="226" spans="1:27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1268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46277</v>
      </c>
      <c r="J226" s="15" t="s">
        <v>196</v>
      </c>
      <c r="K226" s="15" t="s">
        <v>28</v>
      </c>
      <c r="L226" s="15" t="s">
        <v>517</v>
      </c>
      <c r="M226" s="15" t="s">
        <v>76</v>
      </c>
      <c r="N226" s="15" t="s">
        <v>29</v>
      </c>
      <c r="O226" s="15" t="s">
        <v>939</v>
      </c>
      <c r="P226" s="15" t="s">
        <v>148</v>
      </c>
      <c r="Q226" s="15" t="s">
        <v>149</v>
      </c>
      <c r="R226" s="15" t="s">
        <v>84</v>
      </c>
      <c r="S226" s="15" t="s">
        <v>32</v>
      </c>
      <c r="T226" s="15" t="s">
        <v>71</v>
      </c>
      <c r="U226" s="15" t="s">
        <v>518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  <c r="AA226" s="17" t="e">
        <f>VLOOKUP(F226,[2]Wait!$H$225:$I$260,2,0)</f>
        <v>#N/A</v>
      </c>
    </row>
    <row r="227" spans="1:27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2067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46288</v>
      </c>
      <c r="J227" s="15" t="s">
        <v>82</v>
      </c>
      <c r="K227" s="15" t="s">
        <v>28</v>
      </c>
      <c r="L227" s="15" t="s">
        <v>524</v>
      </c>
      <c r="M227" s="15" t="s">
        <v>76</v>
      </c>
      <c r="N227" s="15" t="s">
        <v>29</v>
      </c>
      <c r="O227" s="15" t="s">
        <v>946</v>
      </c>
      <c r="P227" s="15" t="s">
        <v>26</v>
      </c>
      <c r="Q227" s="15" t="s">
        <v>26</v>
      </c>
      <c r="R227" s="15" t="s">
        <v>121</v>
      </c>
      <c r="S227" s="15" t="s">
        <v>32</v>
      </c>
      <c r="T227" s="15" t="s">
        <v>70</v>
      </c>
      <c r="U227" s="15" t="s">
        <v>525</v>
      </c>
      <c r="V227" s="16"/>
      <c r="W227" s="16">
        <v>46259</v>
      </c>
      <c r="X227" s="15" t="s">
        <v>39</v>
      </c>
      <c r="Y227" s="16">
        <v>46259</v>
      </c>
      <c r="Z227" s="15" t="s">
        <v>39</v>
      </c>
      <c r="AA227" s="17" t="e">
        <f>VLOOKUP(F227,[2]Wait!$H$225:$I$260,2,0)</f>
        <v>#N/A</v>
      </c>
    </row>
    <row r="228" spans="1:27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2073</v>
      </c>
      <c r="E228" s="15" t="s">
        <v>26</v>
      </c>
      <c r="F228" s="15" t="s">
        <v>3177</v>
      </c>
      <c r="G228" s="15" t="s">
        <v>35</v>
      </c>
      <c r="H228" s="15" t="s">
        <v>26</v>
      </c>
      <c r="I228" s="16">
        <v>46295</v>
      </c>
      <c r="J228" s="15" t="s">
        <v>47</v>
      </c>
      <c r="K228" s="15" t="s">
        <v>28</v>
      </c>
      <c r="L228" s="15" t="s">
        <v>529</v>
      </c>
      <c r="M228" s="15" t="s">
        <v>76</v>
      </c>
      <c r="N228" s="15" t="s">
        <v>29</v>
      </c>
      <c r="O228" s="15" t="s">
        <v>939</v>
      </c>
      <c r="P228" s="15" t="s">
        <v>30</v>
      </c>
      <c r="Q228" s="15" t="s">
        <v>31</v>
      </c>
      <c r="R228" s="15" t="s">
        <v>126</v>
      </c>
      <c r="S228" s="15" t="s">
        <v>32</v>
      </c>
      <c r="T228" s="15" t="s">
        <v>530</v>
      </c>
      <c r="U228" s="15" t="s">
        <v>531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  <c r="AA228" s="17" t="e">
        <f>VLOOKUP(F228,[2]Wait!$H$225:$I$260,2,0)</f>
        <v>#N/A</v>
      </c>
    </row>
    <row r="229" spans="1:27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2075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534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535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  <c r="AA229" s="17" t="e">
        <f>VLOOKUP(F229,[2]Wait!$H$225:$I$260,2,0)</f>
        <v>#N/A</v>
      </c>
    </row>
    <row r="230" spans="1:27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2076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536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537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  <c r="AA230" s="17" t="e">
        <f>VLOOKUP(F230,[2]Wait!$H$225:$I$260,2,0)</f>
        <v>#N/A</v>
      </c>
    </row>
    <row r="231" spans="1:27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2077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538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539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  <c r="AA231" s="17" t="e">
        <f>VLOOKUP(F231,[2]Wait!$H$225:$I$260,2,0)</f>
        <v>#N/A</v>
      </c>
    </row>
    <row r="232" spans="1:27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2078</v>
      </c>
      <c r="E232" s="15" t="s">
        <v>26</v>
      </c>
      <c r="F232" s="15" t="s">
        <v>3181</v>
      </c>
      <c r="G232" s="15" t="s">
        <v>35</v>
      </c>
      <c r="H232" s="15" t="s">
        <v>74</v>
      </c>
      <c r="I232" s="16">
        <v>46295</v>
      </c>
      <c r="J232" s="15" t="s">
        <v>47</v>
      </c>
      <c r="K232" s="15" t="s">
        <v>28</v>
      </c>
      <c r="L232" s="15" t="s">
        <v>540</v>
      </c>
      <c r="M232" s="15" t="s">
        <v>76</v>
      </c>
      <c r="N232" s="15" t="s">
        <v>29</v>
      </c>
      <c r="O232" s="15" t="s">
        <v>939</v>
      </c>
      <c r="P232" s="15" t="s">
        <v>41</v>
      </c>
      <c r="Q232" s="15" t="s">
        <v>42</v>
      </c>
      <c r="R232" s="15" t="s">
        <v>121</v>
      </c>
      <c r="S232" s="15" t="s">
        <v>32</v>
      </c>
      <c r="T232" s="15" t="s">
        <v>78</v>
      </c>
      <c r="U232" s="15" t="s">
        <v>541</v>
      </c>
      <c r="V232" s="16"/>
      <c r="W232" s="16">
        <v>46261</v>
      </c>
      <c r="X232" s="15" t="s">
        <v>39</v>
      </c>
      <c r="Y232" s="16">
        <v>46261</v>
      </c>
      <c r="Z232" s="15" t="s">
        <v>39</v>
      </c>
      <c r="AA232" s="17" t="e">
        <f>VLOOKUP(F232,[2]Wait!$H$225:$I$260,2,0)</f>
        <v>#N/A</v>
      </c>
    </row>
    <row r="233" spans="1:27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1269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46258</v>
      </c>
      <c r="J233" s="15" t="s">
        <v>52</v>
      </c>
      <c r="K233" s="15" t="s">
        <v>28</v>
      </c>
      <c r="L233" s="15" t="s">
        <v>157</v>
      </c>
      <c r="M233" s="15" t="s">
        <v>76</v>
      </c>
      <c r="N233" s="15" t="s">
        <v>29</v>
      </c>
      <c r="O233" s="15" t="s">
        <v>955</v>
      </c>
      <c r="P233" s="15" t="s">
        <v>26</v>
      </c>
      <c r="Q233" s="15" t="s">
        <v>26</v>
      </c>
      <c r="R233" s="15" t="s">
        <v>54</v>
      </c>
      <c r="S233" s="15" t="s">
        <v>32</v>
      </c>
      <c r="T233" s="15" t="s">
        <v>70</v>
      </c>
      <c r="U233" s="15" t="s">
        <v>158</v>
      </c>
      <c r="V233" s="16"/>
      <c r="W233" s="16">
        <v>46269</v>
      </c>
      <c r="X233" s="15" t="s">
        <v>39</v>
      </c>
      <c r="Y233" s="16">
        <v>46269</v>
      </c>
      <c r="Z233" s="15" t="s">
        <v>39</v>
      </c>
      <c r="AA233" s="17" t="e">
        <f>VLOOKUP(F233,[2]Wait!$H$225:$I$260,2,0)</f>
        <v>#N/A</v>
      </c>
    </row>
    <row r="234" spans="1:27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1270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1271</v>
      </c>
      <c r="M234" s="15" t="s">
        <v>76</v>
      </c>
      <c r="N234" s="15" t="s">
        <v>29</v>
      </c>
      <c r="O234" s="15" t="s">
        <v>961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78</v>
      </c>
      <c r="U234" s="15" t="s">
        <v>1272</v>
      </c>
      <c r="V234" s="16"/>
      <c r="W234" s="16">
        <v>46267</v>
      </c>
      <c r="X234" s="15" t="s">
        <v>39</v>
      </c>
      <c r="Y234" s="16">
        <v>46267</v>
      </c>
      <c r="Z234" s="15" t="s">
        <v>39</v>
      </c>
      <c r="AA234" s="17" t="e">
        <f>VLOOKUP(F234,[2]Wait!$H$225:$I$260,2,0)</f>
        <v>#N/A</v>
      </c>
    </row>
    <row r="235" spans="1:27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1273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1274</v>
      </c>
      <c r="M235" s="15" t="s">
        <v>76</v>
      </c>
      <c r="N235" s="15" t="s">
        <v>29</v>
      </c>
      <c r="O235" s="15" t="s">
        <v>946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46259</v>
      </c>
      <c r="X235" s="15" t="s">
        <v>39</v>
      </c>
      <c r="Y235" s="16">
        <v>46259</v>
      </c>
      <c r="Z235" s="15" t="s">
        <v>39</v>
      </c>
      <c r="AA235" s="17" t="e">
        <f>VLOOKUP(F235,[2]Wait!$H$225:$I$260,2,0)</f>
        <v>#N/A</v>
      </c>
    </row>
    <row r="236" spans="1:27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1275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82</v>
      </c>
      <c r="K236" s="15" t="s">
        <v>28</v>
      </c>
      <c r="L236" s="15" t="s">
        <v>1276</v>
      </c>
      <c r="M236" s="15" t="s">
        <v>76</v>
      </c>
      <c r="N236" s="15" t="s">
        <v>29</v>
      </c>
      <c r="O236" s="15" t="s">
        <v>961</v>
      </c>
      <c r="P236" s="15" t="s">
        <v>26</v>
      </c>
      <c r="Q236" s="15" t="s">
        <v>26</v>
      </c>
      <c r="R236" s="15" t="s">
        <v>49</v>
      </c>
      <c r="S236" s="15" t="s">
        <v>32</v>
      </c>
      <c r="T236" s="15" t="s">
        <v>33</v>
      </c>
      <c r="U236" s="15" t="s">
        <v>1018</v>
      </c>
      <c r="V236" s="16"/>
      <c r="W236" s="16">
        <v>46267</v>
      </c>
      <c r="X236" s="15" t="s">
        <v>39</v>
      </c>
      <c r="Y236" s="16">
        <v>46267</v>
      </c>
      <c r="Z236" s="15" t="s">
        <v>39</v>
      </c>
      <c r="AA236" s="17" t="e">
        <f>VLOOKUP(F236,[2]Wait!$H$225:$I$260,2,0)</f>
        <v>#N/A</v>
      </c>
    </row>
    <row r="237" spans="1:27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1277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46266</v>
      </c>
      <c r="J237" s="15" t="s">
        <v>47</v>
      </c>
      <c r="K237" s="15" t="s">
        <v>28</v>
      </c>
      <c r="L237" s="15" t="s">
        <v>1278</v>
      </c>
      <c r="M237" s="15" t="s">
        <v>76</v>
      </c>
      <c r="N237" s="15" t="s">
        <v>29</v>
      </c>
      <c r="O237" s="15" t="s">
        <v>1013</v>
      </c>
      <c r="P237" s="15" t="s">
        <v>41</v>
      </c>
      <c r="Q237" s="15" t="s">
        <v>42</v>
      </c>
      <c r="R237" s="15" t="s">
        <v>49</v>
      </c>
      <c r="S237" s="15" t="s">
        <v>32</v>
      </c>
      <c r="T237" s="15" t="s">
        <v>55</v>
      </c>
      <c r="U237" s="15" t="s">
        <v>1279</v>
      </c>
      <c r="V237" s="16"/>
      <c r="W237" s="16">
        <v>46270</v>
      </c>
      <c r="X237" s="15" t="s">
        <v>39</v>
      </c>
      <c r="Y237" s="16">
        <v>46270</v>
      </c>
      <c r="Z237" s="15" t="s">
        <v>39</v>
      </c>
      <c r="AA237" s="17" t="e">
        <f>VLOOKUP(F237,[2]Wait!$H$225:$I$260,2,0)</f>
        <v>#N/A</v>
      </c>
    </row>
    <row r="238" spans="1:27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2082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46289</v>
      </c>
      <c r="J238" s="15" t="s">
        <v>52</v>
      </c>
      <c r="K238" s="15" t="s">
        <v>28</v>
      </c>
      <c r="L238" s="15" t="s">
        <v>547</v>
      </c>
      <c r="M238" s="15" t="s">
        <v>76</v>
      </c>
      <c r="N238" s="15" t="s">
        <v>29</v>
      </c>
      <c r="O238" s="15" t="s">
        <v>1070</v>
      </c>
      <c r="P238" s="15" t="s">
        <v>26</v>
      </c>
      <c r="Q238" s="15" t="s">
        <v>26</v>
      </c>
      <c r="R238" s="15" t="s">
        <v>54</v>
      </c>
      <c r="S238" s="15" t="s">
        <v>32</v>
      </c>
      <c r="T238" s="15" t="s">
        <v>71</v>
      </c>
      <c r="U238" s="15" t="s">
        <v>56</v>
      </c>
      <c r="V238" s="16"/>
      <c r="W238" s="16">
        <v>46265</v>
      </c>
      <c r="X238" s="15" t="s">
        <v>39</v>
      </c>
      <c r="Y238" s="16">
        <v>46265</v>
      </c>
      <c r="Z238" s="15" t="s">
        <v>39</v>
      </c>
      <c r="AA238" s="17" t="e">
        <f>VLOOKUP(F238,[2]Wait!$H$225:$I$260,2,0)</f>
        <v>#N/A</v>
      </c>
    </row>
    <row r="239" spans="1:27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1280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46258</v>
      </c>
      <c r="J239" s="15" t="s">
        <v>52</v>
      </c>
      <c r="K239" s="15" t="s">
        <v>28</v>
      </c>
      <c r="L239" s="15" t="s">
        <v>159</v>
      </c>
      <c r="M239" s="15" t="s">
        <v>76</v>
      </c>
      <c r="N239" s="15" t="s">
        <v>29</v>
      </c>
      <c r="O239" s="15" t="s">
        <v>955</v>
      </c>
      <c r="P239" s="15" t="s">
        <v>41</v>
      </c>
      <c r="Q239" s="15" t="s">
        <v>42</v>
      </c>
      <c r="R239" s="15" t="s">
        <v>54</v>
      </c>
      <c r="S239" s="15" t="s">
        <v>32</v>
      </c>
      <c r="T239" s="15" t="s">
        <v>55</v>
      </c>
      <c r="U239" s="15" t="s">
        <v>56</v>
      </c>
      <c r="V239" s="16"/>
      <c r="W239" s="16">
        <v>46269</v>
      </c>
      <c r="X239" s="15" t="s">
        <v>39</v>
      </c>
      <c r="Y239" s="16">
        <v>46269</v>
      </c>
      <c r="Z239" s="15" t="s">
        <v>39</v>
      </c>
      <c r="AA239" s="17" t="e">
        <f>VLOOKUP(F239,[2]Wait!$H$225:$I$260,2,0)</f>
        <v>#N/A</v>
      </c>
    </row>
    <row r="240" spans="1:27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2083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46289</v>
      </c>
      <c r="J240" s="15" t="s">
        <v>52</v>
      </c>
      <c r="K240" s="15" t="s">
        <v>28</v>
      </c>
      <c r="L240" s="15" t="s">
        <v>550</v>
      </c>
      <c r="M240" s="15" t="s">
        <v>76</v>
      </c>
      <c r="N240" s="15" t="s">
        <v>29</v>
      </c>
      <c r="O240" s="15" t="s">
        <v>1070</v>
      </c>
      <c r="P240" s="15" t="s">
        <v>26</v>
      </c>
      <c r="Q240" s="15" t="s">
        <v>26</v>
      </c>
      <c r="R240" s="15" t="s">
        <v>54</v>
      </c>
      <c r="S240" s="15" t="s">
        <v>32</v>
      </c>
      <c r="T240" s="15" t="s">
        <v>71</v>
      </c>
      <c r="U240" s="15" t="s">
        <v>56</v>
      </c>
      <c r="V240" s="16"/>
      <c r="W240" s="16">
        <v>46265</v>
      </c>
      <c r="X240" s="15" t="s">
        <v>39</v>
      </c>
      <c r="Y240" s="16">
        <v>46265</v>
      </c>
      <c r="Z240" s="15" t="s">
        <v>39</v>
      </c>
      <c r="AA240" s="17" t="e">
        <f>VLOOKUP(F240,[2]Wait!$H$225:$I$260,2,0)</f>
        <v>#N/A</v>
      </c>
    </row>
    <row r="241" spans="1:27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1281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46272</v>
      </c>
      <c r="J241" s="15" t="s">
        <v>52</v>
      </c>
      <c r="K241" s="15" t="s">
        <v>28</v>
      </c>
      <c r="L241" s="15" t="s">
        <v>160</v>
      </c>
      <c r="M241" s="15" t="s">
        <v>76</v>
      </c>
      <c r="N241" s="15" t="s">
        <v>29</v>
      </c>
      <c r="O241" s="15" t="s">
        <v>1013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161</v>
      </c>
      <c r="V241" s="16"/>
      <c r="W241" s="16">
        <v>46270</v>
      </c>
      <c r="X241" s="15" t="s">
        <v>39</v>
      </c>
      <c r="Y241" s="16">
        <v>46270</v>
      </c>
      <c r="Z241" s="15" t="s">
        <v>39</v>
      </c>
      <c r="AA241" s="17" t="e">
        <f>VLOOKUP(F241,[2]Wait!$H$225:$I$260,2,0)</f>
        <v>#N/A</v>
      </c>
    </row>
    <row r="242" spans="1:27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1282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162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163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  <c r="AA242" s="17" t="e">
        <f>VLOOKUP(F242,[2]Wait!$H$225:$I$260,2,0)</f>
        <v>#N/A</v>
      </c>
    </row>
    <row r="243" spans="1:27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1283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1284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1285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  <c r="AA243" s="17" t="e">
        <f>VLOOKUP(F243,[2]Wait!$H$225:$I$260,2,0)</f>
        <v>#N/A</v>
      </c>
    </row>
    <row r="244" spans="1:27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1286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164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165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  <c r="AA244" s="17" t="e">
        <f>VLOOKUP(F244,[2]Wait!$H$225:$I$260,2,0)</f>
        <v>#N/A</v>
      </c>
    </row>
    <row r="245" spans="1:27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1287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46258</v>
      </c>
      <c r="J245" s="15" t="s">
        <v>52</v>
      </c>
      <c r="K245" s="15" t="s">
        <v>28</v>
      </c>
      <c r="L245" s="15" t="s">
        <v>166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167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  <c r="AA245" s="17" t="e">
        <f>VLOOKUP(F245,[2]Wait!$H$225:$I$260,2,0)</f>
        <v>#N/A</v>
      </c>
    </row>
    <row r="246" spans="1:27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1288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46259</v>
      </c>
      <c r="J246" s="15" t="s">
        <v>52</v>
      </c>
      <c r="K246" s="15" t="s">
        <v>28</v>
      </c>
      <c r="L246" s="15" t="s">
        <v>168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169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  <c r="AA246" s="17" t="e">
        <f>VLOOKUP(F246,[2]Wait!$H$225:$I$260,2,0)</f>
        <v>#N/A</v>
      </c>
    </row>
    <row r="247" spans="1:27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1289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46258</v>
      </c>
      <c r="J247" s="15" t="s">
        <v>52</v>
      </c>
      <c r="K247" s="15" t="s">
        <v>28</v>
      </c>
      <c r="L247" s="15" t="s">
        <v>170</v>
      </c>
      <c r="M247" s="15" t="s">
        <v>76</v>
      </c>
      <c r="N247" s="15" t="s">
        <v>29</v>
      </c>
      <c r="O247" s="15" t="s">
        <v>955</v>
      </c>
      <c r="P247" s="15" t="s">
        <v>41</v>
      </c>
      <c r="Q247" s="15" t="s">
        <v>42</v>
      </c>
      <c r="R247" s="15" t="s">
        <v>54</v>
      </c>
      <c r="S247" s="15" t="s">
        <v>32</v>
      </c>
      <c r="T247" s="15" t="s">
        <v>55</v>
      </c>
      <c r="U247" s="15" t="s">
        <v>171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  <c r="AA247" s="17" t="e">
        <f>VLOOKUP(F247,[2]Wait!$H$225:$I$260,2,0)</f>
        <v>#N/A</v>
      </c>
    </row>
    <row r="248" spans="1:27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1290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46259</v>
      </c>
      <c r="J248" s="15" t="s">
        <v>52</v>
      </c>
      <c r="K248" s="15" t="s">
        <v>28</v>
      </c>
      <c r="L248" s="15" t="s">
        <v>172</v>
      </c>
      <c r="M248" s="15" t="s">
        <v>76</v>
      </c>
      <c r="N248" s="15" t="s">
        <v>29</v>
      </c>
      <c r="O248" s="15" t="s">
        <v>955</v>
      </c>
      <c r="P248" s="15" t="s">
        <v>30</v>
      </c>
      <c r="Q248" s="15" t="s">
        <v>31</v>
      </c>
      <c r="R248" s="15" t="s">
        <v>54</v>
      </c>
      <c r="S248" s="15" t="s">
        <v>32</v>
      </c>
      <c r="T248" s="15" t="s">
        <v>55</v>
      </c>
      <c r="U248" s="15" t="s">
        <v>173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  <c r="AA248" s="17" t="e">
        <f>VLOOKUP(F248,[2]Wait!$H$225:$I$260,2,0)</f>
        <v>#N/A</v>
      </c>
    </row>
    <row r="249" spans="1:27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1291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174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175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  <c r="AA249" s="17" t="e">
        <f>VLOOKUP(F249,[2]Wait!$H$225:$I$260,2,0)</f>
        <v>#N/A</v>
      </c>
    </row>
    <row r="250" spans="1:27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1292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176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177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  <c r="AA250" s="17" t="e">
        <f>VLOOKUP(F250,[2]Wait!$H$225:$I$260,2,0)</f>
        <v>#N/A</v>
      </c>
    </row>
    <row r="251" spans="1:27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1293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1294</v>
      </c>
      <c r="M251" s="15" t="s">
        <v>76</v>
      </c>
      <c r="N251" s="15" t="s">
        <v>29</v>
      </c>
      <c r="O251" s="15" t="s">
        <v>955</v>
      </c>
      <c r="P251" s="15" t="s">
        <v>41</v>
      </c>
      <c r="Q251" s="15" t="s">
        <v>42</v>
      </c>
      <c r="R251" s="15" t="s">
        <v>54</v>
      </c>
      <c r="S251" s="15" t="s">
        <v>32</v>
      </c>
      <c r="T251" s="15" t="s">
        <v>55</v>
      </c>
      <c r="U251" s="15" t="s">
        <v>1295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  <c r="AA251" s="17" t="e">
        <f>VLOOKUP(F251,[2]Wait!$H$225:$I$260,2,0)</f>
        <v>#N/A</v>
      </c>
    </row>
    <row r="252" spans="1:27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1296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178</v>
      </c>
      <c r="M252" s="15" t="s">
        <v>76</v>
      </c>
      <c r="N252" s="15" t="s">
        <v>29</v>
      </c>
      <c r="O252" s="15" t="s">
        <v>955</v>
      </c>
      <c r="P252" s="15" t="s">
        <v>30</v>
      </c>
      <c r="Q252" s="15" t="s">
        <v>31</v>
      </c>
      <c r="R252" s="15" t="s">
        <v>54</v>
      </c>
      <c r="S252" s="15" t="s">
        <v>32</v>
      </c>
      <c r="T252" s="15" t="s">
        <v>55</v>
      </c>
      <c r="U252" s="15" t="s">
        <v>179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  <c r="AA252" s="17" t="e">
        <f>VLOOKUP(F252,[2]Wait!$H$225:$I$260,2,0)</f>
        <v>#N/A</v>
      </c>
    </row>
    <row r="253" spans="1:27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1297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1298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1299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  <c r="AA253" s="17" t="e">
        <f>VLOOKUP(F253,[2]Wait!$H$225:$I$260,2,0)</f>
        <v>#N/A</v>
      </c>
    </row>
    <row r="254" spans="1:27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1300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1301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1302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  <c r="AA254" s="17" t="e">
        <f>VLOOKUP(F254,[2]Wait!$H$225:$I$260,2,0)</f>
        <v>#N/A</v>
      </c>
    </row>
    <row r="255" spans="1:27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1303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46258</v>
      </c>
      <c r="J255" s="15" t="s">
        <v>52</v>
      </c>
      <c r="K255" s="15" t="s">
        <v>28</v>
      </c>
      <c r="L255" s="15" t="s">
        <v>180</v>
      </c>
      <c r="M255" s="15" t="s">
        <v>76</v>
      </c>
      <c r="N255" s="15" t="s">
        <v>29</v>
      </c>
      <c r="O255" s="15" t="s">
        <v>955</v>
      </c>
      <c r="P255" s="15" t="s">
        <v>41</v>
      </c>
      <c r="Q255" s="15" t="s">
        <v>42</v>
      </c>
      <c r="R255" s="15" t="s">
        <v>54</v>
      </c>
      <c r="S255" s="15" t="s">
        <v>32</v>
      </c>
      <c r="T255" s="15" t="s">
        <v>55</v>
      </c>
      <c r="U255" s="15" t="s">
        <v>181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  <c r="AA255" s="17" t="e">
        <f>VLOOKUP(F255,[2]Wait!$H$225:$I$260,2,0)</f>
        <v>#N/A</v>
      </c>
    </row>
    <row r="256" spans="1:27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1304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46275</v>
      </c>
      <c r="J256" s="15" t="s">
        <v>63</v>
      </c>
      <c r="K256" s="15" t="s">
        <v>28</v>
      </c>
      <c r="L256" s="15" t="s">
        <v>1305</v>
      </c>
      <c r="M256" s="15" t="s">
        <v>76</v>
      </c>
      <c r="N256" s="15" t="s">
        <v>29</v>
      </c>
      <c r="O256" s="15" t="s">
        <v>949</v>
      </c>
      <c r="P256" s="15" t="s">
        <v>30</v>
      </c>
      <c r="Q256" s="15" t="s">
        <v>31</v>
      </c>
      <c r="R256" s="15" t="s">
        <v>77</v>
      </c>
      <c r="S256" s="15" t="s">
        <v>32</v>
      </c>
      <c r="T256" s="15" t="s">
        <v>33</v>
      </c>
      <c r="U256" s="15" t="s">
        <v>1306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  <c r="AA256" s="17" t="e">
        <f>VLOOKUP(F256,[2]Wait!$H$225:$I$260,2,0)</f>
        <v>#N/A</v>
      </c>
    </row>
    <row r="257" spans="1:27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1307</v>
      </c>
      <c r="E257" s="15" t="s">
        <v>26</v>
      </c>
      <c r="F257" s="15" t="s">
        <v>3206</v>
      </c>
      <c r="G257" s="15" t="s">
        <v>35</v>
      </c>
      <c r="H257" s="15" t="s">
        <v>26</v>
      </c>
      <c r="I257" s="16">
        <v>46274</v>
      </c>
      <c r="J257" s="15" t="s">
        <v>63</v>
      </c>
      <c r="K257" s="15" t="s">
        <v>28</v>
      </c>
      <c r="L257" s="15" t="s">
        <v>564</v>
      </c>
      <c r="M257" s="15" t="s">
        <v>76</v>
      </c>
      <c r="N257" s="15" t="s">
        <v>29</v>
      </c>
      <c r="O257" s="15" t="s">
        <v>949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565</v>
      </c>
      <c r="V257" s="16"/>
      <c r="W257" s="16">
        <v>46263</v>
      </c>
      <c r="X257" s="15" t="s">
        <v>39</v>
      </c>
      <c r="Y257" s="16">
        <v>46263</v>
      </c>
      <c r="Z257" s="15" t="s">
        <v>39</v>
      </c>
      <c r="AA257" s="17" t="e">
        <f>VLOOKUP(F257,[2]Wait!$H$225:$I$260,2,0)</f>
        <v>#N/A</v>
      </c>
    </row>
    <row r="258" spans="1:27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1308</v>
      </c>
      <c r="E258" s="15" t="s">
        <v>26</v>
      </c>
      <c r="F258" s="15" t="s">
        <v>3207</v>
      </c>
      <c r="G258" s="15" t="s">
        <v>35</v>
      </c>
      <c r="H258" s="15" t="s">
        <v>74</v>
      </c>
      <c r="I258" s="16">
        <v>46274</v>
      </c>
      <c r="J258" s="15" t="s">
        <v>63</v>
      </c>
      <c r="K258" s="15" t="s">
        <v>28</v>
      </c>
      <c r="L258" s="15" t="s">
        <v>572</v>
      </c>
      <c r="M258" s="15" t="s">
        <v>76</v>
      </c>
      <c r="N258" s="15" t="s">
        <v>29</v>
      </c>
      <c r="O258" s="15" t="s">
        <v>946</v>
      </c>
      <c r="P258" s="15" t="s">
        <v>41</v>
      </c>
      <c r="Q258" s="15" t="s">
        <v>42</v>
      </c>
      <c r="R258" s="15" t="s">
        <v>77</v>
      </c>
      <c r="S258" s="15" t="s">
        <v>32</v>
      </c>
      <c r="T258" s="15" t="s">
        <v>78</v>
      </c>
      <c r="U258" s="15" t="s">
        <v>573</v>
      </c>
      <c r="V258" s="16"/>
      <c r="W258" s="16">
        <v>46259</v>
      </c>
      <c r="X258" s="15" t="s">
        <v>39</v>
      </c>
      <c r="Y258" s="16">
        <v>46259</v>
      </c>
      <c r="Z258" s="15" t="s">
        <v>39</v>
      </c>
      <c r="AA258" s="17" t="e">
        <f>VLOOKUP(F258,[2]Wait!$H$225:$I$260,2,0)</f>
        <v>#N/A</v>
      </c>
    </row>
    <row r="259" spans="1:27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1309</v>
      </c>
      <c r="E259" s="15" t="s">
        <v>26</v>
      </c>
      <c r="F259" s="15" t="s">
        <v>3208</v>
      </c>
      <c r="G259" s="15" t="s">
        <v>35</v>
      </c>
      <c r="H259" s="15" t="s">
        <v>26</v>
      </c>
      <c r="I259" s="16">
        <v>46274</v>
      </c>
      <c r="J259" s="15" t="s">
        <v>36</v>
      </c>
      <c r="K259" s="15" t="s">
        <v>28</v>
      </c>
      <c r="L259" s="15" t="s">
        <v>574</v>
      </c>
      <c r="M259" s="15" t="s">
        <v>76</v>
      </c>
      <c r="N259" s="15" t="s">
        <v>29</v>
      </c>
      <c r="O259" s="15" t="s">
        <v>949</v>
      </c>
      <c r="P259" s="15" t="s">
        <v>30</v>
      </c>
      <c r="Q259" s="15" t="s">
        <v>31</v>
      </c>
      <c r="R259" s="15" t="s">
        <v>77</v>
      </c>
      <c r="S259" s="15" t="s">
        <v>32</v>
      </c>
      <c r="T259" s="15" t="s">
        <v>33</v>
      </c>
      <c r="U259" s="15" t="s">
        <v>575</v>
      </c>
      <c r="V259" s="16"/>
      <c r="W259" s="16">
        <v>46263</v>
      </c>
      <c r="X259" s="15" t="s">
        <v>39</v>
      </c>
      <c r="Y259" s="16">
        <v>46263</v>
      </c>
      <c r="Z259" s="15" t="s">
        <v>39</v>
      </c>
      <c r="AA259" s="17" t="e">
        <f>VLOOKUP(F259,[2]Wait!$H$225:$I$260,2,0)</f>
        <v>#N/A</v>
      </c>
    </row>
    <row r="260" spans="1:27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2111</v>
      </c>
      <c r="E260" s="15" t="s">
        <v>26</v>
      </c>
      <c r="F260" s="15" t="s">
        <v>3209</v>
      </c>
      <c r="G260" s="15" t="s">
        <v>35</v>
      </c>
      <c r="H260" s="15" t="s">
        <v>74</v>
      </c>
      <c r="I260" s="16">
        <v>46289</v>
      </c>
      <c r="J260" s="15" t="s">
        <v>63</v>
      </c>
      <c r="K260" s="15" t="s">
        <v>28</v>
      </c>
      <c r="L260" s="15" t="s">
        <v>576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77</v>
      </c>
      <c r="S260" s="15" t="s">
        <v>32</v>
      </c>
      <c r="T260" s="15" t="s">
        <v>78</v>
      </c>
      <c r="U260" s="15" t="s">
        <v>577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  <c r="AA260" s="17" t="e">
        <f>VLOOKUP(F260,[2]Wait!$H$225:$I$260,2,0)</f>
        <v>#N/A</v>
      </c>
    </row>
    <row r="261" spans="1:27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1310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583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  <c r="AA261" s="17" t="e">
        <f>VLOOKUP(F261,[2]Wait!$H$225:$I$260,2,0)</f>
        <v>#N/A</v>
      </c>
    </row>
    <row r="262" spans="1:27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1311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46274</v>
      </c>
      <c r="J262" s="15" t="s">
        <v>36</v>
      </c>
      <c r="K262" s="15" t="s">
        <v>28</v>
      </c>
      <c r="L262" s="15" t="s">
        <v>584</v>
      </c>
      <c r="M262" s="15" t="s">
        <v>76</v>
      </c>
      <c r="N262" s="15" t="s">
        <v>29</v>
      </c>
      <c r="O262" s="15" t="s">
        <v>939</v>
      </c>
      <c r="P262" s="15" t="s">
        <v>41</v>
      </c>
      <c r="Q262" s="15" t="s">
        <v>42</v>
      </c>
      <c r="R262" s="15" t="s">
        <v>61</v>
      </c>
      <c r="S262" s="15" t="s">
        <v>32</v>
      </c>
      <c r="T262" s="15" t="s">
        <v>78</v>
      </c>
      <c r="U262" s="15" t="s">
        <v>62</v>
      </c>
      <c r="V262" s="16"/>
      <c r="W262" s="16">
        <v>46261</v>
      </c>
      <c r="X262" s="15" t="s">
        <v>39</v>
      </c>
      <c r="Y262" s="16">
        <v>46261</v>
      </c>
      <c r="Z262" s="15" t="s">
        <v>39</v>
      </c>
      <c r="AA262" s="17" t="e">
        <f>VLOOKUP(F262,[2]Wait!$H$225:$I$260,2,0)</f>
        <v>#N/A</v>
      </c>
    </row>
    <row r="263" spans="1:27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2141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46295</v>
      </c>
      <c r="J263" s="15" t="s">
        <v>36</v>
      </c>
      <c r="K263" s="15" t="s">
        <v>28</v>
      </c>
      <c r="L263" s="15" t="s">
        <v>2138</v>
      </c>
      <c r="M263" s="15" t="s">
        <v>76</v>
      </c>
      <c r="N263" s="15" t="s">
        <v>29</v>
      </c>
      <c r="O263" s="15" t="s">
        <v>1013</v>
      </c>
      <c r="P263" s="15" t="s">
        <v>26</v>
      </c>
      <c r="Q263" s="15" t="s">
        <v>26</v>
      </c>
      <c r="R263" s="15" t="s">
        <v>72</v>
      </c>
      <c r="S263" s="15" t="s">
        <v>32</v>
      </c>
      <c r="T263" s="15" t="s">
        <v>78</v>
      </c>
      <c r="U263" s="15" t="s">
        <v>2136</v>
      </c>
      <c r="V263" s="16"/>
      <c r="W263" s="16">
        <v>46270</v>
      </c>
      <c r="X263" s="15" t="s">
        <v>39</v>
      </c>
      <c r="Y263" s="16">
        <v>46270</v>
      </c>
      <c r="Z263" s="15" t="s">
        <v>39</v>
      </c>
      <c r="AA263" s="17" t="e">
        <f>VLOOKUP(F263,[2]Wait!$H$225:$I$260,2,0)</f>
        <v>#N/A</v>
      </c>
    </row>
    <row r="264" spans="1:27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2152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2153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2149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  <c r="AA264" s="17" t="e">
        <f>VLOOKUP(F264,[2]Wait!$H$225:$I$260,2,0)</f>
        <v>#N/A</v>
      </c>
    </row>
    <row r="265" spans="1:27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2158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2159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603</v>
      </c>
      <c r="S265" s="15" t="s">
        <v>32</v>
      </c>
      <c r="T265" s="15" t="s">
        <v>71</v>
      </c>
      <c r="U265" s="15" t="s">
        <v>925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  <c r="AA265" s="17" t="e">
        <f>VLOOKUP(F265,[2]Wait!$H$225:$I$260,2,0)</f>
        <v>#N/A</v>
      </c>
    </row>
    <row r="266" spans="1:27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2161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2162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  <c r="AA266" s="17" t="e">
        <f>VLOOKUP(F266,[2]Wait!$H$225:$I$260,2,0)</f>
        <v>#N/A</v>
      </c>
    </row>
    <row r="267" spans="1:27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2163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46288</v>
      </c>
      <c r="J267" s="15" t="s">
        <v>36</v>
      </c>
      <c r="K267" s="15" t="s">
        <v>28</v>
      </c>
      <c r="L267" s="15" t="s">
        <v>2164</v>
      </c>
      <c r="M267" s="15" t="s">
        <v>76</v>
      </c>
      <c r="N267" s="15" t="s">
        <v>29</v>
      </c>
      <c r="O267" s="15" t="s">
        <v>961</v>
      </c>
      <c r="P267" s="15" t="s">
        <v>26</v>
      </c>
      <c r="Q267" s="15" t="s">
        <v>26</v>
      </c>
      <c r="R267" s="15" t="s">
        <v>72</v>
      </c>
      <c r="S267" s="15" t="s">
        <v>32</v>
      </c>
      <c r="T267" s="15" t="s">
        <v>33</v>
      </c>
      <c r="U267" s="15" t="s">
        <v>1536</v>
      </c>
      <c r="V267" s="16"/>
      <c r="W267" s="16">
        <v>46267</v>
      </c>
      <c r="X267" s="15" t="s">
        <v>39</v>
      </c>
      <c r="Y267" s="16">
        <v>46267</v>
      </c>
      <c r="Z267" s="15" t="s">
        <v>39</v>
      </c>
      <c r="AA267" s="17" t="e">
        <f>VLOOKUP(F267,[2]Wait!$H$225:$I$260,2,0)</f>
        <v>#N/A</v>
      </c>
    </row>
    <row r="268" spans="1:27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1315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46274</v>
      </c>
      <c r="J268" s="15" t="s">
        <v>188</v>
      </c>
      <c r="K268" s="15" t="s">
        <v>28</v>
      </c>
      <c r="L268" s="15" t="s">
        <v>1316</v>
      </c>
      <c r="M268" s="15" t="s">
        <v>76</v>
      </c>
      <c r="N268" s="15" t="s">
        <v>29</v>
      </c>
      <c r="O268" s="15" t="s">
        <v>939</v>
      </c>
      <c r="P268" s="15" t="s">
        <v>41</v>
      </c>
      <c r="Q268" s="15" t="s">
        <v>42</v>
      </c>
      <c r="R268" s="15" t="s">
        <v>65</v>
      </c>
      <c r="S268" s="15" t="s">
        <v>32</v>
      </c>
      <c r="T268" s="15" t="s">
        <v>33</v>
      </c>
      <c r="U268" s="15" t="s">
        <v>1317</v>
      </c>
      <c r="V268" s="16"/>
      <c r="W268" s="16">
        <v>46261</v>
      </c>
      <c r="X268" s="15" t="s">
        <v>39</v>
      </c>
      <c r="Y268" s="16">
        <v>46261</v>
      </c>
      <c r="Z268" s="15" t="s">
        <v>39</v>
      </c>
      <c r="AA268" s="17" t="e">
        <f>VLOOKUP(F268,[2]Wait!$H$225:$I$260,2,0)</f>
        <v>#N/A</v>
      </c>
    </row>
    <row r="269" spans="1:27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2208</v>
      </c>
      <c r="E269" s="15" t="s">
        <v>26</v>
      </c>
      <c r="F269" s="15" t="s">
        <v>3218</v>
      </c>
      <c r="G269" s="15" t="s">
        <v>35</v>
      </c>
      <c r="H269" s="15" t="s">
        <v>26</v>
      </c>
      <c r="I269" s="16">
        <v>46288</v>
      </c>
      <c r="J269" s="15" t="s">
        <v>63</v>
      </c>
      <c r="K269" s="15" t="s">
        <v>28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  <c r="AA269" s="17" t="e">
        <f>VLOOKUP(F269,[2]Wait!$H$225:$I$260,2,0)</f>
        <v>#N/A</v>
      </c>
    </row>
    <row r="270" spans="1:27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2211</v>
      </c>
      <c r="E270" s="15" t="s">
        <v>26</v>
      </c>
      <c r="F270" s="15" t="s">
        <v>3218</v>
      </c>
      <c r="G270" s="15" t="s">
        <v>35</v>
      </c>
      <c r="H270" s="15" t="s">
        <v>26</v>
      </c>
      <c r="I270" s="16">
        <v>46288</v>
      </c>
      <c r="J270" s="15" t="s">
        <v>36</v>
      </c>
      <c r="K270" s="15" t="s">
        <v>58</v>
      </c>
      <c r="L270" s="15" t="s">
        <v>2209</v>
      </c>
      <c r="M270" s="15" t="s">
        <v>76</v>
      </c>
      <c r="N270" s="15" t="s">
        <v>29</v>
      </c>
      <c r="O270" s="15" t="s">
        <v>949</v>
      </c>
      <c r="P270" s="15" t="s">
        <v>30</v>
      </c>
      <c r="Q270" s="15" t="s">
        <v>31</v>
      </c>
      <c r="R270" s="15" t="s">
        <v>135</v>
      </c>
      <c r="S270" s="15" t="s">
        <v>32</v>
      </c>
      <c r="T270" s="15" t="s">
        <v>66</v>
      </c>
      <c r="U270" s="15" t="s">
        <v>2210</v>
      </c>
      <c r="V270" s="16"/>
      <c r="W270" s="16">
        <v>46254</v>
      </c>
      <c r="X270" s="15" t="s">
        <v>34</v>
      </c>
      <c r="Y270" s="16">
        <v>46254</v>
      </c>
      <c r="Z270" s="15" t="s">
        <v>57</v>
      </c>
      <c r="AA270" s="17" t="e">
        <f>VLOOKUP(F270,[2]Wait!$H$225:$I$260,2,0)</f>
        <v>#N/A</v>
      </c>
    </row>
    <row r="271" spans="1:27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2348</v>
      </c>
      <c r="E271" s="15" t="s">
        <v>2349</v>
      </c>
      <c r="F271" s="15" t="s">
        <v>2349</v>
      </c>
      <c r="G271" s="15" t="s">
        <v>194</v>
      </c>
      <c r="H271" s="15" t="s">
        <v>26</v>
      </c>
      <c r="I271" s="16">
        <v>46281</v>
      </c>
      <c r="J271" s="15" t="s">
        <v>683</v>
      </c>
      <c r="K271" s="15" t="s">
        <v>28</v>
      </c>
      <c r="L271" s="15" t="s">
        <v>2350</v>
      </c>
      <c r="M271" s="15" t="s">
        <v>76</v>
      </c>
      <c r="N271" s="15" t="s">
        <v>29</v>
      </c>
      <c r="O271" s="15" t="s">
        <v>1044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46258</v>
      </c>
      <c r="X271" s="15" t="s">
        <v>34</v>
      </c>
      <c r="Y271" s="16">
        <v>46274</v>
      </c>
      <c r="Z271" s="15" t="s">
        <v>57</v>
      </c>
      <c r="AA271" s="17" t="e">
        <f>VLOOKUP(F271,[2]Wait!$H$225:$I$260,2,0)</f>
        <v>#N/A</v>
      </c>
    </row>
    <row r="272" spans="1:27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2887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36</v>
      </c>
      <c r="K272" s="15" t="s">
        <v>28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  <c r="AA272" s="17" t="e">
        <f>VLOOKUP(F272,[2]Wait!$H$225:$I$260,2,0)</f>
        <v>#N/A</v>
      </c>
    </row>
    <row r="273" spans="1:27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2891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27</v>
      </c>
      <c r="K273" s="15" t="s">
        <v>58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  <c r="AA273" s="17" t="e">
        <f>VLOOKUP(F273,[2]Wait!$H$225:$I$260,2,0)</f>
        <v>#N/A</v>
      </c>
    </row>
    <row r="274" spans="1:27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2892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683</v>
      </c>
      <c r="K274" s="15" t="s">
        <v>59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  <c r="AA274" s="17" t="e">
        <f>VLOOKUP(F274,[2]Wait!$H$225:$I$260,2,0)</f>
        <v>#N/A</v>
      </c>
    </row>
    <row r="275" spans="1:27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2893</v>
      </c>
      <c r="E275" s="15" t="s">
        <v>2888</v>
      </c>
      <c r="F275" s="15" t="s">
        <v>2888</v>
      </c>
      <c r="G275" s="15" t="s">
        <v>194</v>
      </c>
      <c r="H275" s="15" t="s">
        <v>26</v>
      </c>
      <c r="I275" s="16">
        <v>46281</v>
      </c>
      <c r="J275" s="15" t="s">
        <v>36</v>
      </c>
      <c r="K275" s="15" t="s">
        <v>684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2890</v>
      </c>
      <c r="Y275" s="16">
        <v>46387</v>
      </c>
      <c r="Z275" s="15" t="s">
        <v>2890</v>
      </c>
      <c r="AA275" s="17" t="e">
        <f>VLOOKUP(F275,[2]Wait!$H$225:$I$260,2,0)</f>
        <v>#N/A</v>
      </c>
    </row>
    <row r="276" spans="1:27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2894</v>
      </c>
      <c r="E276" s="15" t="s">
        <v>2895</v>
      </c>
      <c r="F276" s="15" t="s">
        <v>2895</v>
      </c>
      <c r="G276" s="15" t="s">
        <v>194</v>
      </c>
      <c r="H276" s="15" t="s">
        <v>26</v>
      </c>
      <c r="I276" s="16">
        <v>46281</v>
      </c>
      <c r="J276" s="15" t="s">
        <v>683</v>
      </c>
      <c r="K276" s="15" t="s">
        <v>28</v>
      </c>
      <c r="L276" s="15" t="s">
        <v>2889</v>
      </c>
      <c r="M276" s="15" t="s">
        <v>76</v>
      </c>
      <c r="N276" s="15" t="s">
        <v>29</v>
      </c>
      <c r="O276" s="15" t="s">
        <v>2581</v>
      </c>
      <c r="P276" s="15" t="s">
        <v>26</v>
      </c>
      <c r="Q276" s="15" t="s">
        <v>26</v>
      </c>
      <c r="R276" s="15" t="s">
        <v>26</v>
      </c>
      <c r="S276" s="15" t="s">
        <v>32</v>
      </c>
      <c r="T276" s="15" t="s">
        <v>195</v>
      </c>
      <c r="U276" s="15" t="s">
        <v>26</v>
      </c>
      <c r="V276" s="16"/>
      <c r="W276" s="16">
        <v>46023</v>
      </c>
      <c r="X276" s="15" t="s">
        <v>2896</v>
      </c>
      <c r="Y276" s="16">
        <v>46387</v>
      </c>
      <c r="Z276" s="15" t="s">
        <v>2896</v>
      </c>
      <c r="AA276" s="17" t="e">
        <f>VLOOKUP(F276,[2]Wait!$H$225:$I$260,2,0)</f>
        <v>#N/A</v>
      </c>
    </row>
    <row r="277" spans="1:27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2359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46289</v>
      </c>
      <c r="J277" s="15" t="s">
        <v>36</v>
      </c>
      <c r="K277" s="15" t="s">
        <v>28</v>
      </c>
      <c r="L277" s="15" t="s">
        <v>687</v>
      </c>
      <c r="M277" s="15" t="s">
        <v>2904</v>
      </c>
      <c r="N277" s="15" t="s">
        <v>29</v>
      </c>
      <c r="O277" s="15" t="s">
        <v>946</v>
      </c>
      <c r="P277" s="15" t="s">
        <v>41</v>
      </c>
      <c r="Q277" s="15" t="s">
        <v>42</v>
      </c>
      <c r="R277" s="15" t="s">
        <v>43</v>
      </c>
      <c r="S277" s="15" t="s">
        <v>32</v>
      </c>
      <c r="T277" s="15" t="s">
        <v>71</v>
      </c>
      <c r="U277" s="15" t="s">
        <v>44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  <c r="AA277" s="17" t="e">
        <f>VLOOKUP(F277,[2]Wait!$H$225:$I$260,2,0)</f>
        <v>#N/A</v>
      </c>
    </row>
    <row r="278" spans="1:27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2380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46288</v>
      </c>
      <c r="J278" s="15" t="s">
        <v>82</v>
      </c>
      <c r="K278" s="15" t="s">
        <v>28</v>
      </c>
      <c r="L278" s="15" t="s">
        <v>2381</v>
      </c>
      <c r="M278" s="15" t="s">
        <v>1321</v>
      </c>
      <c r="N278" s="15" t="s">
        <v>29</v>
      </c>
      <c r="O278" s="15" t="s">
        <v>946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38</v>
      </c>
      <c r="U278" s="15" t="s">
        <v>964</v>
      </c>
      <c r="V278" s="16"/>
      <c r="W278" s="16">
        <v>46259</v>
      </c>
      <c r="X278" s="15" t="s">
        <v>39</v>
      </c>
      <c r="Y278" s="16">
        <v>46259</v>
      </c>
      <c r="Z278" s="15" t="s">
        <v>39</v>
      </c>
      <c r="AA278" s="17" t="e">
        <f>VLOOKUP(F278,[2]Wait!$H$225:$I$260,2,0)</f>
        <v>#N/A</v>
      </c>
    </row>
    <row r="279" spans="1:27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2382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46289</v>
      </c>
      <c r="J279" s="15" t="s">
        <v>36</v>
      </c>
      <c r="K279" s="15" t="s">
        <v>28</v>
      </c>
      <c r="L279" s="15" t="s">
        <v>2383</v>
      </c>
      <c r="M279" s="15" t="s">
        <v>1321</v>
      </c>
      <c r="N279" s="15" t="s">
        <v>29</v>
      </c>
      <c r="O279" s="15" t="s">
        <v>949</v>
      </c>
      <c r="P279" s="15" t="s">
        <v>26</v>
      </c>
      <c r="Q279" s="15" t="s">
        <v>26</v>
      </c>
      <c r="R279" s="15" t="s">
        <v>126</v>
      </c>
      <c r="S279" s="15" t="s">
        <v>32</v>
      </c>
      <c r="T279" s="15" t="s">
        <v>71</v>
      </c>
      <c r="U279" s="15" t="s">
        <v>1234</v>
      </c>
      <c r="V279" s="16"/>
      <c r="W279" s="16">
        <v>46263</v>
      </c>
      <c r="X279" s="15" t="s">
        <v>39</v>
      </c>
      <c r="Y279" s="16">
        <v>46263</v>
      </c>
      <c r="Z279" s="15" t="s">
        <v>39</v>
      </c>
      <c r="AA279" s="17" t="e">
        <f>VLOOKUP(F279,[2]Wait!$H$225:$I$260,2,0)</f>
        <v>#N/A</v>
      </c>
    </row>
    <row r="280" spans="1:27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1320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46275</v>
      </c>
      <c r="J280" s="15" t="s">
        <v>36</v>
      </c>
      <c r="K280" s="15" t="s">
        <v>28</v>
      </c>
      <c r="L280" s="15" t="s">
        <v>701</v>
      </c>
      <c r="M280" s="15" t="s">
        <v>1321</v>
      </c>
      <c r="N280" s="15" t="s">
        <v>29</v>
      </c>
      <c r="O280" s="15" t="s">
        <v>1070</v>
      </c>
      <c r="P280" s="15" t="s">
        <v>41</v>
      </c>
      <c r="Q280" s="15" t="s">
        <v>42</v>
      </c>
      <c r="R280" s="15" t="s">
        <v>72</v>
      </c>
      <c r="S280" s="15" t="s">
        <v>32</v>
      </c>
      <c r="T280" s="15" t="s">
        <v>691</v>
      </c>
      <c r="U280" s="15" t="s">
        <v>700</v>
      </c>
      <c r="V280" s="16"/>
      <c r="W280" s="16">
        <v>46265</v>
      </c>
      <c r="X280" s="15" t="s">
        <v>39</v>
      </c>
      <c r="Y280" s="16">
        <v>46265</v>
      </c>
      <c r="Z280" s="15" t="s">
        <v>39</v>
      </c>
      <c r="AA280" s="17" t="e">
        <f>VLOOKUP(F280,[2]Wait!$H$225:$I$260,2,0)</f>
        <v>#N/A</v>
      </c>
    </row>
    <row r="281" spans="1:27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2397</v>
      </c>
      <c r="E281" s="15" t="s">
        <v>26</v>
      </c>
      <c r="F281" s="15" t="s">
        <v>3223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28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  <c r="AA281" s="17" t="e">
        <f>VLOOKUP(F281,[2]Wait!$H$225:$I$260,2,0)</f>
        <v>#N/A</v>
      </c>
    </row>
    <row r="282" spans="1:27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2398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58</v>
      </c>
      <c r="L282" s="15" t="s">
        <v>702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703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  <c r="AA282" s="17" t="e">
        <f>VLOOKUP(F282,[2]Wait!$H$225:$I$260,2,0)</f>
        <v>#N/A</v>
      </c>
    </row>
    <row r="283" spans="1:27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2399</v>
      </c>
      <c r="E283" s="15" t="s">
        <v>26</v>
      </c>
      <c r="F283" s="15" t="s">
        <v>3224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28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  <c r="AA283" s="17" t="e">
        <f>VLOOKUP(F283,[2]Wait!$H$225:$I$260,2,0)</f>
        <v>#N/A</v>
      </c>
    </row>
    <row r="284" spans="1:27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2400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58</v>
      </c>
      <c r="L284" s="15" t="s">
        <v>706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707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  <c r="AA284" s="17" t="e">
        <f>VLOOKUP(F284,[2]Wait!$H$225:$I$260,2,0)</f>
        <v>#N/A</v>
      </c>
    </row>
    <row r="285" spans="1:27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2401</v>
      </c>
      <c r="E285" s="15" t="s">
        <v>26</v>
      </c>
      <c r="F285" s="15" t="s">
        <v>3225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28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  <c r="AA285" s="17" t="e">
        <f>VLOOKUP(F285,[2]Wait!$H$225:$I$260,2,0)</f>
        <v>#N/A</v>
      </c>
    </row>
    <row r="286" spans="1:27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2402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82</v>
      </c>
      <c r="K286" s="15" t="s">
        <v>58</v>
      </c>
      <c r="L286" s="15" t="s">
        <v>710</v>
      </c>
      <c r="M286" s="15" t="s">
        <v>1321</v>
      </c>
      <c r="N286" s="15" t="s">
        <v>29</v>
      </c>
      <c r="O286" s="15" t="s">
        <v>949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711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  <c r="AA286" s="17" t="e">
        <f>VLOOKUP(F286,[2]Wait!$H$225:$I$260,2,0)</f>
        <v>#N/A</v>
      </c>
    </row>
    <row r="287" spans="1:27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2403</v>
      </c>
      <c r="E287" s="15" t="s">
        <v>26</v>
      </c>
      <c r="F287" s="15" t="s">
        <v>3226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28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  <c r="AA287" s="17" t="e">
        <f>VLOOKUP(F287,[2]Wait!$H$225:$I$260,2,0)</f>
        <v>#N/A</v>
      </c>
    </row>
    <row r="288" spans="1:27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2404</v>
      </c>
      <c r="E288" s="15" t="s">
        <v>26</v>
      </c>
      <c r="F288" s="15" t="s">
        <v>3226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58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  <c r="AA288" s="17" t="e">
        <f>VLOOKUP(F288,[2]Wait!$H$225:$I$260,2,0)</f>
        <v>#N/A</v>
      </c>
    </row>
    <row r="289" spans="1:27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2405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46288</v>
      </c>
      <c r="J289" s="15" t="s">
        <v>36</v>
      </c>
      <c r="K289" s="15" t="s">
        <v>59</v>
      </c>
      <c r="L289" s="15" t="s">
        <v>730</v>
      </c>
      <c r="M289" s="15" t="s">
        <v>1321</v>
      </c>
      <c r="N289" s="15" t="s">
        <v>29</v>
      </c>
      <c r="O289" s="15" t="s">
        <v>961</v>
      </c>
      <c r="P289" s="15" t="s">
        <v>30</v>
      </c>
      <c r="Q289" s="15" t="s">
        <v>31</v>
      </c>
      <c r="R289" s="15" t="s">
        <v>121</v>
      </c>
      <c r="S289" s="15" t="s">
        <v>32</v>
      </c>
      <c r="T289" s="15" t="s">
        <v>78</v>
      </c>
      <c r="U289" s="15" t="s">
        <v>731</v>
      </c>
      <c r="V289" s="16"/>
      <c r="W289" s="16">
        <v>46254</v>
      </c>
      <c r="X289" s="15" t="s">
        <v>34</v>
      </c>
      <c r="Y289" s="16">
        <v>46254</v>
      </c>
      <c r="Z289" s="15" t="s">
        <v>57</v>
      </c>
      <c r="AA289" s="17" t="e">
        <f>VLOOKUP(F289,[2]Wait!$H$225:$I$260,2,0)</f>
        <v>#N/A</v>
      </c>
    </row>
    <row r="290" spans="1:27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1322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188</v>
      </c>
      <c r="K290" s="15" t="s">
        <v>28</v>
      </c>
      <c r="L290" s="15" t="s">
        <v>1323</v>
      </c>
      <c r="M290" s="15" t="s">
        <v>1321</v>
      </c>
      <c r="N290" s="15" t="s">
        <v>29</v>
      </c>
      <c r="O290" s="15" t="s">
        <v>939</v>
      </c>
      <c r="P290" s="15" t="s">
        <v>41</v>
      </c>
      <c r="Q290" s="15" t="s">
        <v>42</v>
      </c>
      <c r="R290" s="15" t="s">
        <v>95</v>
      </c>
      <c r="S290" s="15" t="s">
        <v>32</v>
      </c>
      <c r="T290" s="15" t="s">
        <v>78</v>
      </c>
      <c r="U290" s="15" t="s">
        <v>1324</v>
      </c>
      <c r="V290" s="16"/>
      <c r="W290" s="16">
        <v>46261</v>
      </c>
      <c r="X290" s="15" t="s">
        <v>39</v>
      </c>
      <c r="Y290" s="16">
        <v>46261</v>
      </c>
      <c r="Z290" s="15" t="s">
        <v>39</v>
      </c>
      <c r="AA290" s="17" t="e">
        <f>VLOOKUP(F290,[2]Wait!$H$225:$I$260,2,0)</f>
        <v>#N/A</v>
      </c>
    </row>
    <row r="291" spans="1:27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1325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52</v>
      </c>
      <c r="K291" s="15" t="s">
        <v>28</v>
      </c>
      <c r="L291" s="15" t="s">
        <v>738</v>
      </c>
      <c r="M291" s="15" t="s">
        <v>1321</v>
      </c>
      <c r="N291" s="15" t="s">
        <v>29</v>
      </c>
      <c r="O291" s="15" t="s">
        <v>955</v>
      </c>
      <c r="P291" s="15" t="s">
        <v>26</v>
      </c>
      <c r="Q291" s="15" t="s">
        <v>26</v>
      </c>
      <c r="R291" s="15" t="s">
        <v>95</v>
      </c>
      <c r="S291" s="15" t="s">
        <v>32</v>
      </c>
      <c r="T291" s="15" t="s">
        <v>71</v>
      </c>
      <c r="U291" s="15" t="s">
        <v>465</v>
      </c>
      <c r="V291" s="16"/>
      <c r="W291" s="16">
        <v>46269</v>
      </c>
      <c r="X291" s="15" t="s">
        <v>39</v>
      </c>
      <c r="Y291" s="16">
        <v>46269</v>
      </c>
      <c r="Z291" s="15" t="s">
        <v>39</v>
      </c>
      <c r="AA291" s="17" t="e">
        <f>VLOOKUP(F291,[2]Wait!$H$225:$I$260,2,0)</f>
        <v>#N/A</v>
      </c>
    </row>
    <row r="292" spans="1:27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1326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46274</v>
      </c>
      <c r="J292" s="15" t="s">
        <v>196</v>
      </c>
      <c r="K292" s="15" t="s">
        <v>28</v>
      </c>
      <c r="L292" s="15" t="s">
        <v>1327</v>
      </c>
      <c r="M292" s="15" t="s">
        <v>1321</v>
      </c>
      <c r="N292" s="15" t="s">
        <v>29</v>
      </c>
      <c r="O292" s="15" t="s">
        <v>946</v>
      </c>
      <c r="P292" s="15" t="s">
        <v>26</v>
      </c>
      <c r="Q292" s="15" t="s">
        <v>26</v>
      </c>
      <c r="R292" s="15" t="s">
        <v>135</v>
      </c>
      <c r="S292" s="15" t="s">
        <v>32</v>
      </c>
      <c r="T292" s="15" t="s">
        <v>367</v>
      </c>
      <c r="U292" s="15" t="s">
        <v>1328</v>
      </c>
      <c r="V292" s="16"/>
      <c r="W292" s="16">
        <v>46259</v>
      </c>
      <c r="X292" s="15" t="s">
        <v>39</v>
      </c>
      <c r="Y292" s="16">
        <v>46259</v>
      </c>
      <c r="Z292" s="15" t="s">
        <v>39</v>
      </c>
      <c r="AA292" s="17" t="e">
        <f>VLOOKUP(F292,[2]Wait!$H$225:$I$260,2,0)</f>
        <v>#N/A</v>
      </c>
    </row>
    <row r="293" spans="1:27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2415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46289</v>
      </c>
      <c r="J293" s="15" t="s">
        <v>36</v>
      </c>
      <c r="K293" s="15" t="s">
        <v>28</v>
      </c>
      <c r="L293" s="15" t="s">
        <v>2416</v>
      </c>
      <c r="M293" s="15" t="s">
        <v>1321</v>
      </c>
      <c r="N293" s="15" t="s">
        <v>29</v>
      </c>
      <c r="O293" s="15" t="s">
        <v>1070</v>
      </c>
      <c r="P293" s="15" t="s">
        <v>26</v>
      </c>
      <c r="Q293" s="15" t="s">
        <v>26</v>
      </c>
      <c r="R293" s="15" t="s">
        <v>43</v>
      </c>
      <c r="S293" s="15" t="s">
        <v>32</v>
      </c>
      <c r="T293" s="15" t="s">
        <v>71</v>
      </c>
      <c r="U293" s="15" t="s">
        <v>1002</v>
      </c>
      <c r="V293" s="16"/>
      <c r="W293" s="16">
        <v>46265</v>
      </c>
      <c r="X293" s="15" t="s">
        <v>39</v>
      </c>
      <c r="Y293" s="16">
        <v>46265</v>
      </c>
      <c r="Z293" s="15" t="s">
        <v>39</v>
      </c>
      <c r="AA293" s="17" t="e">
        <f>VLOOKUP(F293,[2]Wait!$H$225:$I$260,2,0)</f>
        <v>#N/A</v>
      </c>
    </row>
    <row r="294" spans="1:27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1329</v>
      </c>
      <c r="E294" s="15" t="s">
        <v>26</v>
      </c>
      <c r="F294" s="15" t="s">
        <v>3231</v>
      </c>
      <c r="G294" s="15" t="s">
        <v>35</v>
      </c>
      <c r="H294" s="15" t="s">
        <v>26</v>
      </c>
      <c r="I294" s="16">
        <v>46280</v>
      </c>
      <c r="J294" s="15" t="s">
        <v>36</v>
      </c>
      <c r="K294" s="15" t="s">
        <v>28</v>
      </c>
      <c r="L294" s="15" t="s">
        <v>745</v>
      </c>
      <c r="M294" s="15" t="s">
        <v>1321</v>
      </c>
      <c r="N294" s="15" t="s">
        <v>29</v>
      </c>
      <c r="O294" s="15" t="s">
        <v>961</v>
      </c>
      <c r="P294" s="15" t="s">
        <v>41</v>
      </c>
      <c r="Q294" s="15" t="s">
        <v>42</v>
      </c>
      <c r="R294" s="15" t="s">
        <v>253</v>
      </c>
      <c r="S294" s="15" t="s">
        <v>32</v>
      </c>
      <c r="T294" s="15" t="s">
        <v>691</v>
      </c>
      <c r="U294" s="15" t="s">
        <v>746</v>
      </c>
      <c r="V294" s="16"/>
      <c r="W294" s="16">
        <v>46267</v>
      </c>
      <c r="X294" s="15" t="s">
        <v>39</v>
      </c>
      <c r="Y294" s="16">
        <v>46267</v>
      </c>
      <c r="Z294" s="15" t="s">
        <v>39</v>
      </c>
      <c r="AA294" s="17" t="e">
        <f>VLOOKUP(F294,[2]Wait!$H$225:$I$260,2,0)</f>
        <v>#N/A</v>
      </c>
    </row>
    <row r="295" spans="1:27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1336</v>
      </c>
      <c r="E295" s="15" t="s">
        <v>26</v>
      </c>
      <c r="F295" s="15" t="s">
        <v>3232</v>
      </c>
      <c r="G295" s="15" t="s">
        <v>35</v>
      </c>
      <c r="H295" s="15" t="s">
        <v>74</v>
      </c>
      <c r="I295" s="16">
        <v>46274</v>
      </c>
      <c r="J295" s="15" t="s">
        <v>63</v>
      </c>
      <c r="K295" s="15" t="s">
        <v>28</v>
      </c>
      <c r="L295" s="15" t="s">
        <v>1337</v>
      </c>
      <c r="M295" s="15" t="s">
        <v>1338</v>
      </c>
      <c r="N295" s="15" t="s">
        <v>29</v>
      </c>
      <c r="O295" s="15" t="s">
        <v>939</v>
      </c>
      <c r="P295" s="15" t="s">
        <v>26</v>
      </c>
      <c r="Q295" s="15" t="s">
        <v>26</v>
      </c>
      <c r="R295" s="15" t="s">
        <v>65</v>
      </c>
      <c r="S295" s="15" t="s">
        <v>32</v>
      </c>
      <c r="T295" s="15" t="s">
        <v>70</v>
      </c>
      <c r="U295" s="15" t="s">
        <v>1197</v>
      </c>
      <c r="V295" s="16"/>
      <c r="W295" s="16">
        <v>46261</v>
      </c>
      <c r="X295" s="15" t="s">
        <v>39</v>
      </c>
      <c r="Y295" s="16">
        <v>46261</v>
      </c>
      <c r="Z295" s="15" t="s">
        <v>39</v>
      </c>
      <c r="AA295" s="17" t="e">
        <f>VLOOKUP(F295,[2]Wait!$H$225:$I$260,2,0)</f>
        <v>#N/A</v>
      </c>
    </row>
    <row r="296" spans="1:27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2463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46289</v>
      </c>
      <c r="J296" s="15" t="s">
        <v>63</v>
      </c>
      <c r="K296" s="15" t="s">
        <v>28</v>
      </c>
      <c r="L296" s="15" t="s">
        <v>388</v>
      </c>
      <c r="M296" s="15" t="s">
        <v>189</v>
      </c>
      <c r="N296" s="15" t="s">
        <v>29</v>
      </c>
      <c r="O296" s="15" t="s">
        <v>949</v>
      </c>
      <c r="P296" s="15" t="s">
        <v>30</v>
      </c>
      <c r="Q296" s="15" t="s">
        <v>31</v>
      </c>
      <c r="R296" s="15" t="s">
        <v>37</v>
      </c>
      <c r="S296" s="15" t="s">
        <v>32</v>
      </c>
      <c r="T296" s="15" t="s">
        <v>78</v>
      </c>
      <c r="U296" s="15" t="s">
        <v>389</v>
      </c>
      <c r="V296" s="16"/>
      <c r="W296" s="16">
        <v>46263</v>
      </c>
      <c r="X296" s="15" t="s">
        <v>39</v>
      </c>
      <c r="Y296" s="16">
        <v>46263</v>
      </c>
      <c r="Z296" s="15" t="s">
        <v>39</v>
      </c>
      <c r="AA296" s="17" t="e">
        <f>VLOOKUP(F296,[2]Wait!$H$225:$I$260,2,0)</f>
        <v>#N/A</v>
      </c>
    </row>
    <row r="297" spans="1:27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1344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46271</v>
      </c>
      <c r="J297" s="15" t="s">
        <v>36</v>
      </c>
      <c r="K297" s="15" t="s">
        <v>28</v>
      </c>
      <c r="L297" s="15" t="s">
        <v>1345</v>
      </c>
      <c r="M297" s="15" t="s">
        <v>189</v>
      </c>
      <c r="N297" s="15" t="s">
        <v>29</v>
      </c>
      <c r="O297" s="15" t="s">
        <v>939</v>
      </c>
      <c r="P297" s="15" t="s">
        <v>30</v>
      </c>
      <c r="Q297" s="15" t="s">
        <v>31</v>
      </c>
      <c r="R297" s="15" t="s">
        <v>69</v>
      </c>
      <c r="S297" s="15" t="s">
        <v>32</v>
      </c>
      <c r="T297" s="15" t="s">
        <v>78</v>
      </c>
      <c r="U297" s="15" t="s">
        <v>1092</v>
      </c>
      <c r="V297" s="16"/>
      <c r="W297" s="16">
        <v>46261</v>
      </c>
      <c r="X297" s="15" t="s">
        <v>39</v>
      </c>
      <c r="Y297" s="16">
        <v>46261</v>
      </c>
      <c r="Z297" s="15" t="s">
        <v>39</v>
      </c>
      <c r="AA297" s="17" t="e">
        <f>VLOOKUP(F297,[2]Wait!$H$225:$I$260,2,0)</f>
        <v>#N/A</v>
      </c>
    </row>
    <row r="298" spans="1:27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1346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46274</v>
      </c>
      <c r="J298" s="15" t="s">
        <v>52</v>
      </c>
      <c r="K298" s="15" t="s">
        <v>28</v>
      </c>
      <c r="L298" s="15" t="s">
        <v>466</v>
      </c>
      <c r="M298" s="15" t="s">
        <v>189</v>
      </c>
      <c r="N298" s="15" t="s">
        <v>29</v>
      </c>
      <c r="O298" s="15" t="s">
        <v>949</v>
      </c>
      <c r="P298" s="15" t="s">
        <v>26</v>
      </c>
      <c r="Q298" s="15" t="s">
        <v>26</v>
      </c>
      <c r="R298" s="15" t="s">
        <v>95</v>
      </c>
      <c r="S298" s="15" t="s">
        <v>32</v>
      </c>
      <c r="T298" s="15" t="s">
        <v>38</v>
      </c>
      <c r="U298" s="15" t="s">
        <v>465</v>
      </c>
      <c r="V298" s="16"/>
      <c r="W298" s="16">
        <v>46263</v>
      </c>
      <c r="X298" s="15" t="s">
        <v>39</v>
      </c>
      <c r="Y298" s="16">
        <v>46263</v>
      </c>
      <c r="Z298" s="15" t="s">
        <v>39</v>
      </c>
      <c r="AA298" s="17" t="e">
        <f>VLOOKUP(F298,[2]Wait!$H$225:$I$260,2,0)</f>
        <v>#N/A</v>
      </c>
    </row>
    <row r="299" spans="1:27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2057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46289</v>
      </c>
      <c r="J299" s="15" t="s">
        <v>63</v>
      </c>
      <c r="K299" s="15" t="s">
        <v>28</v>
      </c>
      <c r="L299" s="15" t="s">
        <v>514</v>
      </c>
      <c r="M299" s="15" t="s">
        <v>189</v>
      </c>
      <c r="N299" s="15" t="s">
        <v>29</v>
      </c>
      <c r="O299" s="15" t="s">
        <v>946</v>
      </c>
      <c r="P299" s="15" t="s">
        <v>41</v>
      </c>
      <c r="Q299" s="15" t="s">
        <v>42</v>
      </c>
      <c r="R299" s="15" t="s">
        <v>135</v>
      </c>
      <c r="S299" s="15" t="s">
        <v>32</v>
      </c>
      <c r="T299" s="15" t="s">
        <v>78</v>
      </c>
      <c r="U299" s="15" t="s">
        <v>515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  <c r="AA299" s="17" t="e">
        <f>VLOOKUP(F299,[2]Wait!$H$225:$I$260,2,0)</f>
        <v>#N/A</v>
      </c>
    </row>
    <row r="300" spans="1:27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1347</v>
      </c>
      <c r="E300" s="15" t="s">
        <v>26</v>
      </c>
      <c r="F300" s="15" t="s">
        <v>3237</v>
      </c>
      <c r="G300" s="15" t="s">
        <v>35</v>
      </c>
      <c r="H300" s="15" t="s">
        <v>26</v>
      </c>
      <c r="I300" s="16">
        <v>46266</v>
      </c>
      <c r="J300" s="15" t="s">
        <v>82</v>
      </c>
      <c r="K300" s="15" t="s">
        <v>28</v>
      </c>
      <c r="L300" s="15" t="s">
        <v>1348</v>
      </c>
      <c r="M300" s="15" t="s">
        <v>189</v>
      </c>
      <c r="N300" s="15" t="s">
        <v>29</v>
      </c>
      <c r="O300" s="15" t="s">
        <v>946</v>
      </c>
      <c r="P300" s="15" t="s">
        <v>26</v>
      </c>
      <c r="Q300" s="15" t="s">
        <v>26</v>
      </c>
      <c r="R300" s="15" t="s">
        <v>49</v>
      </c>
      <c r="S300" s="15" t="s">
        <v>32</v>
      </c>
      <c r="T300" s="15" t="s">
        <v>78</v>
      </c>
      <c r="U300" s="15" t="s">
        <v>1272</v>
      </c>
      <c r="V300" s="16"/>
      <c r="W300" s="16">
        <v>46259</v>
      </c>
      <c r="X300" s="15" t="s">
        <v>39</v>
      </c>
      <c r="Y300" s="16">
        <v>46259</v>
      </c>
      <c r="Z300" s="15" t="s">
        <v>39</v>
      </c>
      <c r="AA300" s="17" t="e">
        <f>VLOOKUP(F300,[2]Wait!$H$225:$I$260,2,0)</f>
        <v>#N/A</v>
      </c>
    </row>
    <row r="301" spans="1:27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1349</v>
      </c>
      <c r="E301" s="15" t="s">
        <v>26</v>
      </c>
      <c r="F301" s="15" t="s">
        <v>3238</v>
      </c>
      <c r="G301" s="15" t="s">
        <v>35</v>
      </c>
      <c r="H301" s="15" t="s">
        <v>74</v>
      </c>
      <c r="I301" s="16">
        <v>46274</v>
      </c>
      <c r="J301" s="15" t="s">
        <v>63</v>
      </c>
      <c r="K301" s="15" t="s">
        <v>28</v>
      </c>
      <c r="L301" s="15" t="s">
        <v>1350</v>
      </c>
      <c r="M301" s="15" t="s">
        <v>189</v>
      </c>
      <c r="N301" s="15" t="s">
        <v>29</v>
      </c>
      <c r="O301" s="15" t="s">
        <v>939</v>
      </c>
      <c r="P301" s="15" t="s">
        <v>41</v>
      </c>
      <c r="Q301" s="15" t="s">
        <v>42</v>
      </c>
      <c r="R301" s="15" t="s">
        <v>61</v>
      </c>
      <c r="S301" s="15" t="s">
        <v>32</v>
      </c>
      <c r="T301" s="15" t="s">
        <v>78</v>
      </c>
      <c r="U301" s="15" t="s">
        <v>1037</v>
      </c>
      <c r="V301" s="16"/>
      <c r="W301" s="16">
        <v>46261</v>
      </c>
      <c r="X301" s="15" t="s">
        <v>39</v>
      </c>
      <c r="Y301" s="16">
        <v>46261</v>
      </c>
      <c r="Z301" s="15" t="s">
        <v>39</v>
      </c>
      <c r="AA301" s="17" t="e">
        <f>VLOOKUP(F301,[2]Wait!$H$225:$I$260,2,0)</f>
        <v>#N/A</v>
      </c>
    </row>
    <row r="302" spans="1:27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1351</v>
      </c>
      <c r="E302" s="15" t="s">
        <v>1352</v>
      </c>
      <c r="F302" s="15" t="s">
        <v>1352</v>
      </c>
      <c r="G302" s="15" t="s">
        <v>194</v>
      </c>
      <c r="H302" s="15" t="s">
        <v>26</v>
      </c>
      <c r="I302" s="16">
        <v>46278</v>
      </c>
      <c r="J302" s="15" t="s">
        <v>63</v>
      </c>
      <c r="K302" s="15" t="s">
        <v>28</v>
      </c>
      <c r="L302" s="15" t="s">
        <v>1353</v>
      </c>
      <c r="M302" s="15" t="s">
        <v>189</v>
      </c>
      <c r="N302" s="15" t="s">
        <v>29</v>
      </c>
      <c r="O302" s="15" t="s">
        <v>1044</v>
      </c>
      <c r="P302" s="15" t="s">
        <v>26</v>
      </c>
      <c r="Q302" s="15" t="s">
        <v>26</v>
      </c>
      <c r="R302" s="15" t="s">
        <v>26</v>
      </c>
      <c r="S302" s="15" t="s">
        <v>63</v>
      </c>
      <c r="T302" s="15" t="s">
        <v>195</v>
      </c>
      <c r="U302" s="15" t="s">
        <v>26</v>
      </c>
      <c r="V302" s="16"/>
      <c r="W302" s="16">
        <v>46273</v>
      </c>
      <c r="X302" s="15" t="s">
        <v>1354</v>
      </c>
      <c r="Y302" s="16">
        <v>46273</v>
      </c>
      <c r="Z302" s="15" t="s">
        <v>226</v>
      </c>
      <c r="AA302" s="17" t="e">
        <f>VLOOKUP(F302,[2]Wait!$H$225:$I$260,2,0)</f>
        <v>#N/A</v>
      </c>
    </row>
    <row r="303" spans="1:27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1355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46274</v>
      </c>
      <c r="J303" s="15" t="s">
        <v>36</v>
      </c>
      <c r="K303" s="15" t="s">
        <v>28</v>
      </c>
      <c r="L303" s="15" t="s">
        <v>779</v>
      </c>
      <c r="M303" s="15" t="s">
        <v>1356</v>
      </c>
      <c r="N303" s="15" t="s">
        <v>29</v>
      </c>
      <c r="O303" s="15" t="s">
        <v>939</v>
      </c>
      <c r="P303" s="15" t="s">
        <v>30</v>
      </c>
      <c r="Q303" s="15" t="s">
        <v>31</v>
      </c>
      <c r="R303" s="15" t="s">
        <v>135</v>
      </c>
      <c r="S303" s="15" t="s">
        <v>32</v>
      </c>
      <c r="T303" s="15" t="s">
        <v>66</v>
      </c>
      <c r="U303" s="15" t="s">
        <v>780</v>
      </c>
      <c r="V303" s="16"/>
      <c r="W303" s="16">
        <v>46261</v>
      </c>
      <c r="X303" s="15" t="s">
        <v>39</v>
      </c>
      <c r="Y303" s="16">
        <v>46261</v>
      </c>
      <c r="Z303" s="15" t="s">
        <v>39</v>
      </c>
      <c r="AA303" s="17" t="e">
        <f>VLOOKUP(F303,[2]Wait!$H$225:$I$260,2,0)</f>
        <v>#N/A</v>
      </c>
    </row>
    <row r="304" spans="1:27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1357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46280</v>
      </c>
      <c r="J304" s="15" t="s">
        <v>36</v>
      </c>
      <c r="K304" s="15" t="s">
        <v>28</v>
      </c>
      <c r="L304" s="15" t="s">
        <v>1358</v>
      </c>
      <c r="M304" s="15" t="s">
        <v>1359</v>
      </c>
      <c r="N304" s="15" t="s">
        <v>29</v>
      </c>
      <c r="O304" s="15" t="s">
        <v>961</v>
      </c>
      <c r="P304" s="15" t="s">
        <v>26</v>
      </c>
      <c r="Q304" s="15" t="s">
        <v>26</v>
      </c>
      <c r="R304" s="15" t="s">
        <v>72</v>
      </c>
      <c r="S304" s="15" t="s">
        <v>32</v>
      </c>
      <c r="T304" s="15" t="s">
        <v>71</v>
      </c>
      <c r="U304" s="15" t="s">
        <v>947</v>
      </c>
      <c r="V304" s="16"/>
      <c r="W304" s="16">
        <v>46267</v>
      </c>
      <c r="X304" s="15" t="s">
        <v>39</v>
      </c>
      <c r="Y304" s="16">
        <v>46267</v>
      </c>
      <c r="Z304" s="15" t="s">
        <v>39</v>
      </c>
      <c r="AA304" s="17" t="e">
        <f>VLOOKUP(F304,[2]Wait!$H$225:$I$260,2,0)</f>
        <v>#N/A</v>
      </c>
    </row>
    <row r="305" spans="1:27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2509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46289</v>
      </c>
      <c r="J305" s="15" t="s">
        <v>52</v>
      </c>
      <c r="K305" s="15" t="s">
        <v>28</v>
      </c>
      <c r="L305" s="15" t="s">
        <v>777</v>
      </c>
      <c r="M305" s="15" t="s">
        <v>1359</v>
      </c>
      <c r="N305" s="15" t="s">
        <v>29</v>
      </c>
      <c r="O305" s="15" t="s">
        <v>1070</v>
      </c>
      <c r="P305" s="15" t="s">
        <v>26</v>
      </c>
      <c r="Q305" s="15" t="s">
        <v>26</v>
      </c>
      <c r="R305" s="15" t="s">
        <v>95</v>
      </c>
      <c r="S305" s="15" t="s">
        <v>32</v>
      </c>
      <c r="T305" s="15" t="s">
        <v>70</v>
      </c>
      <c r="U305" s="15" t="s">
        <v>778</v>
      </c>
      <c r="V305" s="16"/>
      <c r="W305" s="16">
        <v>46265</v>
      </c>
      <c r="X305" s="15" t="s">
        <v>39</v>
      </c>
      <c r="Y305" s="16">
        <v>46265</v>
      </c>
      <c r="Z305" s="15" t="s">
        <v>39</v>
      </c>
      <c r="AA305" s="17" t="e">
        <f>VLOOKUP(F305,[2]Wait!$H$225:$I$260,2,0)</f>
        <v>#N/A</v>
      </c>
    </row>
    <row r="306" spans="1:27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2510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46290</v>
      </c>
      <c r="J306" s="15" t="s">
        <v>82</v>
      </c>
      <c r="K306" s="15" t="s">
        <v>28</v>
      </c>
      <c r="L306" s="15" t="s">
        <v>783</v>
      </c>
      <c r="M306" s="15" t="s">
        <v>1359</v>
      </c>
      <c r="N306" s="15" t="s">
        <v>29</v>
      </c>
      <c r="O306" s="15" t="s">
        <v>939</v>
      </c>
      <c r="P306" s="15" t="s">
        <v>30</v>
      </c>
      <c r="Q306" s="15" t="s">
        <v>31</v>
      </c>
      <c r="R306" s="15" t="s">
        <v>126</v>
      </c>
      <c r="S306" s="15" t="s">
        <v>32</v>
      </c>
      <c r="T306" s="15" t="s">
        <v>33</v>
      </c>
      <c r="U306" s="15" t="s">
        <v>289</v>
      </c>
      <c r="V306" s="16"/>
      <c r="W306" s="16">
        <v>46261</v>
      </c>
      <c r="X306" s="15" t="s">
        <v>39</v>
      </c>
      <c r="Y306" s="16">
        <v>46261</v>
      </c>
      <c r="Z306" s="15" t="s">
        <v>39</v>
      </c>
      <c r="AA306" s="17" t="e">
        <f>VLOOKUP(F306,[2]Wait!$H$225:$I$260,2,0)</f>
        <v>#N/A</v>
      </c>
    </row>
    <row r="307" spans="1:27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2512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46288</v>
      </c>
      <c r="J307" s="15" t="s">
        <v>36</v>
      </c>
      <c r="K307" s="15" t="s">
        <v>28</v>
      </c>
      <c r="L307" s="15" t="s">
        <v>2513</v>
      </c>
      <c r="M307" s="15" t="s">
        <v>1359</v>
      </c>
      <c r="N307" s="15" t="s">
        <v>29</v>
      </c>
      <c r="O307" s="15" t="s">
        <v>961</v>
      </c>
      <c r="P307" s="15" t="s">
        <v>26</v>
      </c>
      <c r="Q307" s="15" t="s">
        <v>26</v>
      </c>
      <c r="R307" s="15" t="s">
        <v>72</v>
      </c>
      <c r="S307" s="15" t="s">
        <v>32</v>
      </c>
      <c r="T307" s="15" t="s">
        <v>71</v>
      </c>
      <c r="U307" s="15" t="s">
        <v>953</v>
      </c>
      <c r="V307" s="16"/>
      <c r="W307" s="16">
        <v>46267</v>
      </c>
      <c r="X307" s="15" t="s">
        <v>39</v>
      </c>
      <c r="Y307" s="16">
        <v>46267</v>
      </c>
      <c r="Z307" s="15" t="s">
        <v>39</v>
      </c>
      <c r="AA307" s="17" t="e">
        <f>VLOOKUP(F307,[2]Wait!$H$225:$I$260,2,0)</f>
        <v>#N/A</v>
      </c>
    </row>
    <row r="308" spans="1:27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1361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188</v>
      </c>
      <c r="K308" s="15" t="s">
        <v>28</v>
      </c>
      <c r="L308" s="15" t="s">
        <v>454</v>
      </c>
      <c r="M308" s="15" t="s">
        <v>1359</v>
      </c>
      <c r="N308" s="15" t="s">
        <v>29</v>
      </c>
      <c r="O308" s="15" t="s">
        <v>939</v>
      </c>
      <c r="P308" s="15" t="s">
        <v>41</v>
      </c>
      <c r="Q308" s="15" t="s">
        <v>42</v>
      </c>
      <c r="R308" s="15" t="s">
        <v>95</v>
      </c>
      <c r="S308" s="15" t="s">
        <v>32</v>
      </c>
      <c r="T308" s="15" t="s">
        <v>78</v>
      </c>
      <c r="U308" s="15" t="s">
        <v>455</v>
      </c>
      <c r="V308" s="16"/>
      <c r="W308" s="16">
        <v>46261</v>
      </c>
      <c r="X308" s="15" t="s">
        <v>39</v>
      </c>
      <c r="Y308" s="16">
        <v>46261</v>
      </c>
      <c r="Z308" s="15" t="s">
        <v>39</v>
      </c>
      <c r="AA308" s="17" t="e">
        <f>VLOOKUP(F308,[2]Wait!$H$225:$I$260,2,0)</f>
        <v>#N/A</v>
      </c>
    </row>
    <row r="309" spans="1:27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1362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46274</v>
      </c>
      <c r="J309" s="15" t="s">
        <v>36</v>
      </c>
      <c r="K309" s="15" t="s">
        <v>28</v>
      </c>
      <c r="L309" s="15" t="s">
        <v>789</v>
      </c>
      <c r="M309" s="15" t="s">
        <v>1359</v>
      </c>
      <c r="N309" s="15" t="s">
        <v>29</v>
      </c>
      <c r="O309" s="15" t="s">
        <v>946</v>
      </c>
      <c r="P309" s="15" t="s">
        <v>26</v>
      </c>
      <c r="Q309" s="15" t="s">
        <v>26</v>
      </c>
      <c r="R309" s="15" t="s">
        <v>135</v>
      </c>
      <c r="S309" s="15" t="s">
        <v>32</v>
      </c>
      <c r="T309" s="15" t="s">
        <v>78</v>
      </c>
      <c r="U309" s="15" t="s">
        <v>461</v>
      </c>
      <c r="V309" s="16"/>
      <c r="W309" s="16">
        <v>46259</v>
      </c>
      <c r="X309" s="15" t="s">
        <v>39</v>
      </c>
      <c r="Y309" s="16">
        <v>46259</v>
      </c>
      <c r="Z309" s="15" t="s">
        <v>39</v>
      </c>
      <c r="AA309" s="17" t="e">
        <f>VLOOKUP(F309,[2]Wait!$H$225:$I$260,2,0)</f>
        <v>#N/A</v>
      </c>
    </row>
    <row r="310" spans="1:27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2058</v>
      </c>
      <c r="E310" s="15" t="s">
        <v>26</v>
      </c>
      <c r="F310" s="15" t="s">
        <v>3246</v>
      </c>
      <c r="G310" s="15" t="s">
        <v>35</v>
      </c>
      <c r="H310" s="15" t="s">
        <v>26</v>
      </c>
      <c r="I310" s="16">
        <v>46295</v>
      </c>
      <c r="J310" s="15" t="s">
        <v>47</v>
      </c>
      <c r="K310" s="15" t="s">
        <v>28</v>
      </c>
      <c r="L310" s="15" t="s">
        <v>516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121</v>
      </c>
      <c r="S310" s="15" t="s">
        <v>32</v>
      </c>
      <c r="T310" s="15" t="s">
        <v>78</v>
      </c>
      <c r="U310" s="15" t="s">
        <v>515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  <c r="AA310" s="17" t="e">
        <f>VLOOKUP(F310,[2]Wait!$H$225:$I$260,2,0)</f>
        <v>#N/A</v>
      </c>
    </row>
    <row r="311" spans="1:27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2531</v>
      </c>
      <c r="E311" s="15" t="s">
        <v>26</v>
      </c>
      <c r="F311" s="15" t="s">
        <v>3247</v>
      </c>
      <c r="G311" s="15" t="s">
        <v>35</v>
      </c>
      <c r="H311" s="15" t="s">
        <v>74</v>
      </c>
      <c r="I311" s="16">
        <v>46289</v>
      </c>
      <c r="J311" s="15" t="s">
        <v>47</v>
      </c>
      <c r="K311" s="15" t="s">
        <v>28</v>
      </c>
      <c r="L311" s="15" t="s">
        <v>2532</v>
      </c>
      <c r="M311" s="15" t="s">
        <v>1359</v>
      </c>
      <c r="N311" s="15" t="s">
        <v>29</v>
      </c>
      <c r="O311" s="15" t="s">
        <v>939</v>
      </c>
      <c r="P311" s="15" t="s">
        <v>41</v>
      </c>
      <c r="Q311" s="15" t="s">
        <v>42</v>
      </c>
      <c r="R311" s="15" t="s">
        <v>49</v>
      </c>
      <c r="S311" s="15" t="s">
        <v>32</v>
      </c>
      <c r="T311" s="15" t="s">
        <v>78</v>
      </c>
      <c r="U311" s="15" t="s">
        <v>1272</v>
      </c>
      <c r="V311" s="16"/>
      <c r="W311" s="16">
        <v>46261</v>
      </c>
      <c r="X311" s="15" t="s">
        <v>39</v>
      </c>
      <c r="Y311" s="16">
        <v>46261</v>
      </c>
      <c r="Z311" s="15" t="s">
        <v>39</v>
      </c>
      <c r="AA311" s="17" t="e">
        <f>VLOOKUP(F311,[2]Wait!$H$225:$I$260,2,0)</f>
        <v>#N/A</v>
      </c>
    </row>
    <row r="312" spans="1:27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1367</v>
      </c>
      <c r="E312" s="15" t="s">
        <v>26</v>
      </c>
      <c r="F312" s="15" t="s">
        <v>3248</v>
      </c>
      <c r="G312" s="15" t="s">
        <v>35</v>
      </c>
      <c r="H312" s="15" t="s">
        <v>26</v>
      </c>
      <c r="I312" s="16">
        <v>46272</v>
      </c>
      <c r="J312" s="15" t="s">
        <v>52</v>
      </c>
      <c r="K312" s="15" t="s">
        <v>28</v>
      </c>
      <c r="L312" s="15" t="s">
        <v>192</v>
      </c>
      <c r="M312" s="15" t="s">
        <v>1359</v>
      </c>
      <c r="N312" s="15" t="s">
        <v>29</v>
      </c>
      <c r="O312" s="15" t="s">
        <v>1013</v>
      </c>
      <c r="P312" s="15" t="s">
        <v>41</v>
      </c>
      <c r="Q312" s="15" t="s">
        <v>42</v>
      </c>
      <c r="R312" s="15" t="s">
        <v>95</v>
      </c>
      <c r="S312" s="15" t="s">
        <v>32</v>
      </c>
      <c r="T312" s="15" t="s">
        <v>55</v>
      </c>
      <c r="U312" s="15" t="s">
        <v>193</v>
      </c>
      <c r="V312" s="16"/>
      <c r="W312" s="16">
        <v>46270</v>
      </c>
      <c r="X312" s="15" t="s">
        <v>39</v>
      </c>
      <c r="Y312" s="16">
        <v>46270</v>
      </c>
      <c r="Z312" s="15" t="s">
        <v>39</v>
      </c>
      <c r="AA312" s="17" t="e">
        <f>VLOOKUP(F312,[2]Wait!$H$225:$I$260,2,0)</f>
        <v>#N/A</v>
      </c>
    </row>
    <row r="313" spans="1:27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2551</v>
      </c>
      <c r="E313" s="15" t="s">
        <v>2552</v>
      </c>
      <c r="F313" s="15" t="s">
        <v>2552</v>
      </c>
      <c r="G313" s="15" t="s">
        <v>194</v>
      </c>
      <c r="H313" s="15" t="s">
        <v>26</v>
      </c>
      <c r="I313" s="16">
        <v>46275</v>
      </c>
      <c r="J313" s="15" t="s">
        <v>36</v>
      </c>
      <c r="K313" s="15" t="s">
        <v>28</v>
      </c>
      <c r="L313" s="15" t="s">
        <v>2553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46272</v>
      </c>
      <c r="X313" s="15" t="s">
        <v>2554</v>
      </c>
      <c r="Y313" s="16">
        <v>46272</v>
      </c>
      <c r="Z313" s="15" t="s">
        <v>226</v>
      </c>
      <c r="AA313" s="17" t="e">
        <f>VLOOKUP(F313,[2]Wait!$H$225:$I$260,2,0)</f>
        <v>#N/A</v>
      </c>
    </row>
    <row r="314" spans="1:27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2578</v>
      </c>
      <c r="E314" s="15" t="s">
        <v>2579</v>
      </c>
      <c r="F314" s="15" t="s">
        <v>2579</v>
      </c>
      <c r="G314" s="15" t="s">
        <v>194</v>
      </c>
      <c r="H314" s="15" t="s">
        <v>26</v>
      </c>
      <c r="I314" s="16">
        <v>46289</v>
      </c>
      <c r="J314" s="15" t="s">
        <v>32</v>
      </c>
      <c r="K314" s="15" t="s">
        <v>28</v>
      </c>
      <c r="L314" s="15" t="s">
        <v>2580</v>
      </c>
      <c r="M314" s="15" t="s">
        <v>1359</v>
      </c>
      <c r="N314" s="15" t="s">
        <v>29</v>
      </c>
      <c r="O314" s="15" t="s">
        <v>1044</v>
      </c>
      <c r="P314" s="15" t="s">
        <v>26</v>
      </c>
      <c r="Q314" s="15" t="s">
        <v>26</v>
      </c>
      <c r="R314" s="15" t="s">
        <v>26</v>
      </c>
      <c r="S314" s="15" t="s">
        <v>32</v>
      </c>
      <c r="T314" s="15" t="s">
        <v>195</v>
      </c>
      <c r="U314" s="15" t="s">
        <v>26</v>
      </c>
      <c r="V314" s="16"/>
      <c r="W314" s="16">
        <v>46023</v>
      </c>
      <c r="X314" s="15" t="s">
        <v>2582</v>
      </c>
      <c r="Y314" s="16">
        <v>46387</v>
      </c>
      <c r="Z314" s="15" t="s">
        <v>226</v>
      </c>
      <c r="AA314" s="17" t="e">
        <f>VLOOKUP(F314,[2]Wait!$H$225:$I$260,2,0)</f>
        <v>#N/A</v>
      </c>
    </row>
    <row r="315" spans="1:27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1371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46275</v>
      </c>
      <c r="J315" s="15" t="s">
        <v>63</v>
      </c>
      <c r="K315" s="15" t="s">
        <v>28</v>
      </c>
      <c r="L315" s="15" t="s">
        <v>1372</v>
      </c>
      <c r="M315" s="15" t="s">
        <v>197</v>
      </c>
      <c r="N315" s="15" t="s">
        <v>29</v>
      </c>
      <c r="O315" s="15" t="s">
        <v>939</v>
      </c>
      <c r="P315" s="15" t="s">
        <v>30</v>
      </c>
      <c r="Q315" s="15" t="s">
        <v>31</v>
      </c>
      <c r="R315" s="15" t="s">
        <v>603</v>
      </c>
      <c r="S315" s="15" t="s">
        <v>32</v>
      </c>
      <c r="T315" s="15" t="s">
        <v>66</v>
      </c>
      <c r="U315" s="15" t="s">
        <v>1160</v>
      </c>
      <c r="V315" s="16"/>
      <c r="W315" s="16">
        <v>46261</v>
      </c>
      <c r="X315" s="15" t="s">
        <v>39</v>
      </c>
      <c r="Y315" s="16">
        <v>46261</v>
      </c>
      <c r="Z315" s="15" t="s">
        <v>39</v>
      </c>
      <c r="AA315" s="17" t="e">
        <f>VLOOKUP(F315,[2]Wait!$H$225:$I$260,2,0)</f>
        <v>#N/A</v>
      </c>
    </row>
    <row r="316" spans="1:27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2691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46294</v>
      </c>
      <c r="J316" s="15" t="s">
        <v>110</v>
      </c>
      <c r="K316" s="15" t="s">
        <v>28</v>
      </c>
      <c r="L316" s="15" t="s">
        <v>2692</v>
      </c>
      <c r="M316" s="15" t="s">
        <v>1375</v>
      </c>
      <c r="N316" s="15" t="s">
        <v>29</v>
      </c>
      <c r="O316" s="15" t="s">
        <v>949</v>
      </c>
      <c r="P316" s="15" t="s">
        <v>26</v>
      </c>
      <c r="Q316" s="15" t="s">
        <v>26</v>
      </c>
      <c r="R316" s="15" t="s">
        <v>37</v>
      </c>
      <c r="S316" s="15" t="s">
        <v>32</v>
      </c>
      <c r="T316" s="15" t="s">
        <v>136</v>
      </c>
      <c r="U316" s="15" t="s">
        <v>2693</v>
      </c>
      <c r="V316" s="16"/>
      <c r="W316" s="16">
        <v>46263</v>
      </c>
      <c r="X316" s="15" t="s">
        <v>39</v>
      </c>
      <c r="Y316" s="16">
        <v>46263</v>
      </c>
      <c r="Z316" s="15" t="s">
        <v>39</v>
      </c>
      <c r="AA316" s="17" t="e">
        <f>VLOOKUP(F316,[2]Wait!$H$225:$I$260,2,0)</f>
        <v>#N/A</v>
      </c>
    </row>
    <row r="317" spans="1:27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1373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46274</v>
      </c>
      <c r="J317" s="15" t="s">
        <v>63</v>
      </c>
      <c r="K317" s="15" t="s">
        <v>28</v>
      </c>
      <c r="L317" s="15" t="s">
        <v>1374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  <c r="AA317" s="17" t="e">
        <f>VLOOKUP(F317,[2]Wait!$H$225:$I$260,2,0)</f>
        <v>#N/A</v>
      </c>
    </row>
    <row r="318" spans="1:27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1377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46280</v>
      </c>
      <c r="J318" s="15" t="s">
        <v>63</v>
      </c>
      <c r="K318" s="15" t="s">
        <v>28</v>
      </c>
      <c r="L318" s="15" t="s">
        <v>1378</v>
      </c>
      <c r="M318" s="15" t="s">
        <v>1375</v>
      </c>
      <c r="N318" s="15" t="s">
        <v>29</v>
      </c>
      <c r="O318" s="15" t="s">
        <v>939</v>
      </c>
      <c r="P318" s="15" t="s">
        <v>30</v>
      </c>
      <c r="Q318" s="15" t="s">
        <v>31</v>
      </c>
      <c r="R318" s="15" t="s">
        <v>603</v>
      </c>
      <c r="S318" s="15" t="s">
        <v>32</v>
      </c>
      <c r="T318" s="15" t="s">
        <v>66</v>
      </c>
      <c r="U318" s="15" t="s">
        <v>1376</v>
      </c>
      <c r="V318" s="16"/>
      <c r="W318" s="16">
        <v>46261</v>
      </c>
      <c r="X318" s="15" t="s">
        <v>39</v>
      </c>
      <c r="Y318" s="16">
        <v>46261</v>
      </c>
      <c r="Z318" s="15" t="s">
        <v>39</v>
      </c>
      <c r="AA318" s="17" t="e">
        <f>VLOOKUP(F318,[2]Wait!$H$225:$I$260,2,0)</f>
        <v>#N/A</v>
      </c>
    </row>
    <row r="319" spans="1:27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2696</v>
      </c>
      <c r="E319" s="15" t="s">
        <v>26</v>
      </c>
      <c r="F319" s="15" t="s">
        <v>3253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28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  <c r="AA319" s="17" t="e">
        <f>VLOOKUP(F319,[2]Wait!$H$225:$I$260,2,0)</f>
        <v>#N/A</v>
      </c>
    </row>
    <row r="320" spans="1:27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2697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46294</v>
      </c>
      <c r="J320" s="15" t="s">
        <v>110</v>
      </c>
      <c r="K320" s="15" t="s">
        <v>58</v>
      </c>
      <c r="L320" s="15" t="s">
        <v>836</v>
      </c>
      <c r="M320" s="15" t="s">
        <v>1375</v>
      </c>
      <c r="N320" s="15" t="s">
        <v>29</v>
      </c>
      <c r="O320" s="15" t="s">
        <v>949</v>
      </c>
      <c r="P320" s="15" t="s">
        <v>41</v>
      </c>
      <c r="Q320" s="15" t="s">
        <v>42</v>
      </c>
      <c r="R320" s="15" t="s">
        <v>77</v>
      </c>
      <c r="S320" s="15" t="s">
        <v>32</v>
      </c>
      <c r="T320" s="15" t="s">
        <v>136</v>
      </c>
      <c r="U320" s="15" t="s">
        <v>837</v>
      </c>
      <c r="V320" s="16"/>
      <c r="W320" s="16">
        <v>46254</v>
      </c>
      <c r="X320" s="15" t="s">
        <v>34</v>
      </c>
      <c r="Y320" s="16">
        <v>46254</v>
      </c>
      <c r="Z320" s="15" t="s">
        <v>57</v>
      </c>
      <c r="AA320" s="17" t="e">
        <f>VLOOKUP(F320,[2]Wait!$H$225:$I$260,2,0)</f>
        <v>#N/A</v>
      </c>
    </row>
    <row r="321" spans="1:27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1379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46268</v>
      </c>
      <c r="J321" s="15" t="s">
        <v>52</v>
      </c>
      <c r="K321" s="15" t="s">
        <v>28</v>
      </c>
      <c r="L321" s="15" t="s">
        <v>202</v>
      </c>
      <c r="M321" s="15" t="s">
        <v>1375</v>
      </c>
      <c r="N321" s="15" t="s">
        <v>29</v>
      </c>
      <c r="O321" s="15" t="s">
        <v>991</v>
      </c>
      <c r="P321" s="15" t="s">
        <v>26</v>
      </c>
      <c r="Q321" s="15" t="s">
        <v>26</v>
      </c>
      <c r="R321" s="15" t="s">
        <v>95</v>
      </c>
      <c r="S321" s="15" t="s">
        <v>32</v>
      </c>
      <c r="T321" s="15" t="s">
        <v>70</v>
      </c>
      <c r="U321" s="15" t="s">
        <v>203</v>
      </c>
      <c r="V321" s="16"/>
      <c r="W321" s="16">
        <v>46258</v>
      </c>
      <c r="X321" s="15" t="s">
        <v>39</v>
      </c>
      <c r="Y321" s="16">
        <v>46258</v>
      </c>
      <c r="Z321" s="15" t="s">
        <v>39</v>
      </c>
      <c r="AA321" s="17" t="e">
        <f>VLOOKUP(F321,[2]Wait!$H$225:$I$260,2,0)</f>
        <v>#N/A</v>
      </c>
    </row>
    <row r="322" spans="1:27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1380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46274</v>
      </c>
      <c r="J322" s="15" t="s">
        <v>188</v>
      </c>
      <c r="K322" s="15" t="s">
        <v>28</v>
      </c>
      <c r="L322" s="15" t="s">
        <v>1381</v>
      </c>
      <c r="M322" s="15" t="s">
        <v>1375</v>
      </c>
      <c r="N322" s="15" t="s">
        <v>29</v>
      </c>
      <c r="O322" s="15" t="s">
        <v>939</v>
      </c>
      <c r="P322" s="15" t="s">
        <v>41</v>
      </c>
      <c r="Q322" s="15" t="s">
        <v>42</v>
      </c>
      <c r="R322" s="15" t="s">
        <v>95</v>
      </c>
      <c r="S322" s="15" t="s">
        <v>32</v>
      </c>
      <c r="T322" s="15" t="s">
        <v>33</v>
      </c>
      <c r="U322" s="15" t="s">
        <v>1382</v>
      </c>
      <c r="V322" s="16"/>
      <c r="W322" s="16">
        <v>46261</v>
      </c>
      <c r="X322" s="15" t="s">
        <v>39</v>
      </c>
      <c r="Y322" s="16">
        <v>46261</v>
      </c>
      <c r="Z322" s="15" t="s">
        <v>39</v>
      </c>
      <c r="AA322" s="17" t="e">
        <f>VLOOKUP(F322,[2]Wait!$H$225:$I$260,2,0)</f>
        <v>#N/A</v>
      </c>
    </row>
    <row r="323" spans="1:27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1383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46280</v>
      </c>
      <c r="J323" s="15" t="s">
        <v>36</v>
      </c>
      <c r="K323" s="15" t="s">
        <v>28</v>
      </c>
      <c r="L323" s="15" t="s">
        <v>1384</v>
      </c>
      <c r="M323" s="15" t="s">
        <v>1375</v>
      </c>
      <c r="N323" s="15" t="s">
        <v>29</v>
      </c>
      <c r="O323" s="15" t="s">
        <v>1070</v>
      </c>
      <c r="P323" s="15" t="s">
        <v>41</v>
      </c>
      <c r="Q323" s="15" t="s">
        <v>42</v>
      </c>
      <c r="R323" s="15" t="s">
        <v>72</v>
      </c>
      <c r="S323" s="15" t="s">
        <v>32</v>
      </c>
      <c r="T323" s="15" t="s">
        <v>107</v>
      </c>
      <c r="U323" s="15" t="s">
        <v>1385</v>
      </c>
      <c r="V323" s="16"/>
      <c r="W323" s="16">
        <v>46265</v>
      </c>
      <c r="X323" s="15" t="s">
        <v>39</v>
      </c>
      <c r="Y323" s="16">
        <v>46265</v>
      </c>
      <c r="Z323" s="15" t="s">
        <v>39</v>
      </c>
      <c r="AA323" s="17" t="e">
        <f>VLOOKUP(F323,[2]Wait!$H$225:$I$260,2,0)</f>
        <v>#N/A</v>
      </c>
    </row>
    <row r="324" spans="1:27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1389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1390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1388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  <c r="AA324" s="17" t="e">
        <f>VLOOKUP(F324,[2]Wait!$H$225:$I$260,2,0)</f>
        <v>#N/A</v>
      </c>
    </row>
    <row r="325" spans="1:27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1395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46274</v>
      </c>
      <c r="J325" s="15" t="s">
        <v>188</v>
      </c>
      <c r="K325" s="15" t="s">
        <v>28</v>
      </c>
      <c r="L325" s="15" t="s">
        <v>873</v>
      </c>
      <c r="M325" s="15" t="s">
        <v>1375</v>
      </c>
      <c r="N325" s="15" t="s">
        <v>29</v>
      </c>
      <c r="O325" s="15" t="s">
        <v>949</v>
      </c>
      <c r="P325" s="15" t="s">
        <v>41</v>
      </c>
      <c r="Q325" s="15" t="s">
        <v>42</v>
      </c>
      <c r="R325" s="15" t="s">
        <v>286</v>
      </c>
      <c r="S325" s="15" t="s">
        <v>32</v>
      </c>
      <c r="T325" s="15" t="s">
        <v>78</v>
      </c>
      <c r="U325" s="15" t="s">
        <v>872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  <c r="AA325" s="17" t="e">
        <f>VLOOKUP(F325,[2]Wait!$H$225:$I$260,2,0)</f>
        <v>#N/A</v>
      </c>
    </row>
    <row r="326" spans="1:27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1396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46277</v>
      </c>
      <c r="J326" s="15" t="s">
        <v>63</v>
      </c>
      <c r="K326" s="15" t="s">
        <v>28</v>
      </c>
      <c r="L326" s="15" t="s">
        <v>1397</v>
      </c>
      <c r="M326" s="15" t="s">
        <v>1398</v>
      </c>
      <c r="N326" s="15" t="s">
        <v>29</v>
      </c>
      <c r="O326" s="15" t="s">
        <v>949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33</v>
      </c>
      <c r="U326" s="15" t="s">
        <v>1399</v>
      </c>
      <c r="V326" s="16"/>
      <c r="W326" s="16">
        <v>46263</v>
      </c>
      <c r="X326" s="15" t="s">
        <v>39</v>
      </c>
      <c r="Y326" s="16">
        <v>46263</v>
      </c>
      <c r="Z326" s="15" t="s">
        <v>39</v>
      </c>
      <c r="AA326" s="17" t="e">
        <f>VLOOKUP(F326,[2]Wait!$H$225:$I$260,2,0)</f>
        <v>#N/A</v>
      </c>
    </row>
    <row r="327" spans="1:27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1400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46272</v>
      </c>
      <c r="J327" s="15" t="s">
        <v>52</v>
      </c>
      <c r="K327" s="15" t="s">
        <v>28</v>
      </c>
      <c r="L327" s="15" t="s">
        <v>205</v>
      </c>
      <c r="M327" s="15" t="s">
        <v>1401</v>
      </c>
      <c r="N327" s="15" t="s">
        <v>29</v>
      </c>
      <c r="O327" s="15" t="s">
        <v>955</v>
      </c>
      <c r="P327" s="15" t="s">
        <v>41</v>
      </c>
      <c r="Q327" s="15" t="s">
        <v>42</v>
      </c>
      <c r="R327" s="15" t="s">
        <v>88</v>
      </c>
      <c r="S327" s="15" t="s">
        <v>32</v>
      </c>
      <c r="T327" s="15" t="s">
        <v>55</v>
      </c>
      <c r="U327" s="15" t="s">
        <v>206</v>
      </c>
      <c r="V327" s="16"/>
      <c r="W327" s="16">
        <v>46269</v>
      </c>
      <c r="X327" s="15" t="s">
        <v>39</v>
      </c>
      <c r="Y327" s="16">
        <v>46269</v>
      </c>
      <c r="Z327" s="15" t="s">
        <v>39</v>
      </c>
      <c r="AA327" s="17" t="e">
        <f>VLOOKUP(F327,[2]Wait!$H$225:$I$260,2,0)</f>
        <v>#N/A</v>
      </c>
    </row>
    <row r="328" spans="1:27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1402</v>
      </c>
      <c r="E328" s="15" t="s">
        <v>26</v>
      </c>
      <c r="F328" s="15" t="s">
        <v>3261</v>
      </c>
      <c r="G328" s="15" t="s">
        <v>35</v>
      </c>
      <c r="H328" s="15" t="s">
        <v>26</v>
      </c>
      <c r="I328" s="16">
        <v>46259</v>
      </c>
      <c r="J328" s="15" t="s">
        <v>36</v>
      </c>
      <c r="K328" s="15" t="s">
        <v>28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  <c r="AA328" s="17" t="e">
        <f>VLOOKUP(F328,[2]Wait!$H$225:$I$260,2,0)</f>
        <v>#N/A</v>
      </c>
    </row>
    <row r="329" spans="1:27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1403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46259</v>
      </c>
      <c r="J329" s="15" t="s">
        <v>52</v>
      </c>
      <c r="K329" s="15" t="s">
        <v>58</v>
      </c>
      <c r="L329" s="15" t="s">
        <v>207</v>
      </c>
      <c r="M329" s="15" t="s">
        <v>1401</v>
      </c>
      <c r="N329" s="15" t="s">
        <v>29</v>
      </c>
      <c r="O329" s="15" t="s">
        <v>991</v>
      </c>
      <c r="P329" s="15" t="s">
        <v>26</v>
      </c>
      <c r="Q329" s="15" t="s">
        <v>26</v>
      </c>
      <c r="R329" s="15" t="s">
        <v>118</v>
      </c>
      <c r="S329" s="15" t="s">
        <v>32</v>
      </c>
      <c r="T329" s="15" t="s">
        <v>70</v>
      </c>
      <c r="U329" s="15" t="s">
        <v>208</v>
      </c>
      <c r="V329" s="16"/>
      <c r="W329" s="16">
        <v>46254</v>
      </c>
      <c r="X329" s="15" t="s">
        <v>34</v>
      </c>
      <c r="Y329" s="16">
        <v>46254</v>
      </c>
      <c r="Z329" s="15" t="s">
        <v>57</v>
      </c>
      <c r="AA329" s="17" t="e">
        <f>VLOOKUP(F329,[2]Wait!$H$225:$I$260,2,0)</f>
        <v>#N/A</v>
      </c>
    </row>
    <row r="330" spans="1:27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1404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46260</v>
      </c>
      <c r="J330" s="15" t="s">
        <v>82</v>
      </c>
      <c r="K330" s="15" t="s">
        <v>28</v>
      </c>
      <c r="L330" s="15" t="s">
        <v>1405</v>
      </c>
      <c r="M330" s="15" t="s">
        <v>1401</v>
      </c>
      <c r="N330" s="15" t="s">
        <v>29</v>
      </c>
      <c r="O330" s="15" t="s">
        <v>955</v>
      </c>
      <c r="P330" s="15" t="s">
        <v>41</v>
      </c>
      <c r="Q330" s="15" t="s">
        <v>42</v>
      </c>
      <c r="R330" s="15" t="s">
        <v>121</v>
      </c>
      <c r="S330" s="15" t="s">
        <v>32</v>
      </c>
      <c r="T330" s="15" t="s">
        <v>55</v>
      </c>
      <c r="U330" s="15" t="s">
        <v>1406</v>
      </c>
      <c r="V330" s="16"/>
      <c r="W330" s="16">
        <v>46269</v>
      </c>
      <c r="X330" s="15" t="s">
        <v>39</v>
      </c>
      <c r="Y330" s="16">
        <v>46269</v>
      </c>
      <c r="Z330" s="15" t="s">
        <v>39</v>
      </c>
      <c r="AA330" s="17" t="e">
        <f>VLOOKUP(F330,[2]Wait!$H$225:$I$260,2,0)</f>
        <v>#N/A</v>
      </c>
    </row>
    <row r="331" spans="1:27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1407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46274</v>
      </c>
      <c r="J331" s="15" t="s">
        <v>188</v>
      </c>
      <c r="K331" s="15" t="s">
        <v>28</v>
      </c>
      <c r="L331" s="15" t="s">
        <v>1408</v>
      </c>
      <c r="M331" s="15" t="s">
        <v>1401</v>
      </c>
      <c r="N331" s="15" t="s">
        <v>29</v>
      </c>
      <c r="O331" s="15" t="s">
        <v>939</v>
      </c>
      <c r="P331" s="15" t="s">
        <v>41</v>
      </c>
      <c r="Q331" s="15" t="s">
        <v>42</v>
      </c>
      <c r="R331" s="15" t="s">
        <v>61</v>
      </c>
      <c r="S331" s="15" t="s">
        <v>32</v>
      </c>
      <c r="T331" s="15" t="s">
        <v>78</v>
      </c>
      <c r="U331" s="15" t="s">
        <v>1184</v>
      </c>
      <c r="V331" s="16"/>
      <c r="W331" s="16">
        <v>46261</v>
      </c>
      <c r="X331" s="15" t="s">
        <v>39</v>
      </c>
      <c r="Y331" s="16">
        <v>46261</v>
      </c>
      <c r="Z331" s="15" t="s">
        <v>39</v>
      </c>
      <c r="AA331" s="17" t="e">
        <f>VLOOKUP(F331,[2]Wait!$H$225:$I$260,2,0)</f>
        <v>#N/A</v>
      </c>
    </row>
    <row r="332" spans="1:27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1409</v>
      </c>
      <c r="E332" s="15" t="s">
        <v>26</v>
      </c>
      <c r="F332" s="15" t="s">
        <v>3264</v>
      </c>
      <c r="G332" s="15" t="s">
        <v>35</v>
      </c>
      <c r="H332" s="15" t="s">
        <v>26</v>
      </c>
      <c r="I332" s="16">
        <v>46280</v>
      </c>
      <c r="J332" s="15" t="s">
        <v>36</v>
      </c>
      <c r="K332" s="15" t="s">
        <v>28</v>
      </c>
      <c r="L332" s="15" t="s">
        <v>1410</v>
      </c>
      <c r="M332" s="15" t="s">
        <v>1401</v>
      </c>
      <c r="N332" s="15" t="s">
        <v>29</v>
      </c>
      <c r="O332" s="15" t="s">
        <v>1070</v>
      </c>
      <c r="P332" s="15" t="s">
        <v>41</v>
      </c>
      <c r="Q332" s="15" t="s">
        <v>42</v>
      </c>
      <c r="R332" s="15" t="s">
        <v>72</v>
      </c>
      <c r="S332" s="15" t="s">
        <v>32</v>
      </c>
      <c r="T332" s="15" t="s">
        <v>107</v>
      </c>
      <c r="U332" s="15" t="s">
        <v>1385</v>
      </c>
      <c r="V332" s="16"/>
      <c r="W332" s="16">
        <v>46265</v>
      </c>
      <c r="X332" s="15" t="s">
        <v>39</v>
      </c>
      <c r="Y332" s="16">
        <v>46265</v>
      </c>
      <c r="Z332" s="15" t="s">
        <v>39</v>
      </c>
      <c r="AA332" s="17" t="e">
        <f>VLOOKUP(F332,[2]Wait!$H$225:$I$260,2,0)</f>
        <v>#N/A</v>
      </c>
    </row>
    <row r="333" spans="1:27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1416</v>
      </c>
      <c r="E333" s="15" t="s">
        <v>1417</v>
      </c>
      <c r="F333" s="15" t="s">
        <v>1417</v>
      </c>
      <c r="G333" s="15" t="s">
        <v>194</v>
      </c>
      <c r="H333" s="15" t="s">
        <v>26</v>
      </c>
      <c r="I333" s="16">
        <v>46272</v>
      </c>
      <c r="J333" s="15" t="s">
        <v>36</v>
      </c>
      <c r="K333" s="15" t="s">
        <v>28</v>
      </c>
      <c r="L333" s="15" t="s">
        <v>209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  <c r="AA333" s="17" t="e">
        <f>VLOOKUP(F333,[2]Wait!$H$225:$I$260,2,0)</f>
        <v>#N/A</v>
      </c>
    </row>
    <row r="334" spans="1:27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1418</v>
      </c>
      <c r="E334" s="15" t="s">
        <v>1419</v>
      </c>
      <c r="F334" s="15" t="s">
        <v>1419</v>
      </c>
      <c r="G334" s="15" t="s">
        <v>194</v>
      </c>
      <c r="H334" s="15" t="s">
        <v>26</v>
      </c>
      <c r="I334" s="16">
        <v>46259</v>
      </c>
      <c r="J334" s="15" t="s">
        <v>36</v>
      </c>
      <c r="K334" s="15" t="s">
        <v>28</v>
      </c>
      <c r="L334" s="15" t="s">
        <v>1420</v>
      </c>
      <c r="M334" s="15" t="s">
        <v>1401</v>
      </c>
      <c r="N334" s="15" t="s">
        <v>29</v>
      </c>
      <c r="O334" s="15" t="s">
        <v>1044</v>
      </c>
      <c r="P334" s="15" t="s">
        <v>26</v>
      </c>
      <c r="Q334" s="15" t="s">
        <v>26</v>
      </c>
      <c r="R334" s="15" t="s">
        <v>26</v>
      </c>
      <c r="S334" s="15" t="s">
        <v>36</v>
      </c>
      <c r="T334" s="15" t="s">
        <v>195</v>
      </c>
      <c r="U334" s="15" t="s">
        <v>26</v>
      </c>
      <c r="V334" s="16"/>
      <c r="W334" s="16">
        <v>46258</v>
      </c>
      <c r="X334" s="15" t="s">
        <v>34</v>
      </c>
      <c r="Y334" s="16">
        <v>46260</v>
      </c>
      <c r="Z334" s="15" t="s">
        <v>1135</v>
      </c>
      <c r="AA334" s="17" t="e">
        <f>VLOOKUP(F334,[2]Wait!$H$225:$I$260,2,0)</f>
        <v>#N/A</v>
      </c>
    </row>
    <row r="335" spans="1:27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1421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907</v>
      </c>
      <c r="M335" s="15" t="s">
        <v>1422</v>
      </c>
      <c r="N335" s="15" t="s">
        <v>29</v>
      </c>
      <c r="O335" s="15" t="s">
        <v>939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66</v>
      </c>
      <c r="U335" s="15" t="s">
        <v>908</v>
      </c>
      <c r="V335" s="16">
        <v>46272</v>
      </c>
      <c r="W335" s="16">
        <v>46261</v>
      </c>
      <c r="X335" s="15" t="s">
        <v>39</v>
      </c>
      <c r="Y335" s="16">
        <v>46261</v>
      </c>
      <c r="Z335" s="15" t="s">
        <v>39</v>
      </c>
      <c r="AA335" s="17" t="e">
        <f>VLOOKUP(F335,[2]Wait!$H$225:$I$260,2,0)</f>
        <v>#N/A</v>
      </c>
    </row>
    <row r="336" spans="1:27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1423</v>
      </c>
      <c r="E336" s="15" t="s">
        <v>26</v>
      </c>
      <c r="F336" s="15" t="s">
        <v>3266</v>
      </c>
      <c r="G336" s="15" t="s">
        <v>35</v>
      </c>
      <c r="H336" s="15" t="s">
        <v>26</v>
      </c>
      <c r="I336" s="16">
        <v>46277</v>
      </c>
      <c r="J336" s="15" t="s">
        <v>36</v>
      </c>
      <c r="K336" s="15" t="s">
        <v>28</v>
      </c>
      <c r="L336" s="15" t="s">
        <v>909</v>
      </c>
      <c r="M336" s="15" t="s">
        <v>1422</v>
      </c>
      <c r="N336" s="15" t="s">
        <v>29</v>
      </c>
      <c r="O336" s="15" t="s">
        <v>949</v>
      </c>
      <c r="P336" s="15" t="s">
        <v>30</v>
      </c>
      <c r="Q336" s="15" t="s">
        <v>31</v>
      </c>
      <c r="R336" s="15" t="s">
        <v>253</v>
      </c>
      <c r="S336" s="15" t="s">
        <v>32</v>
      </c>
      <c r="T336" s="15" t="s">
        <v>78</v>
      </c>
      <c r="U336" s="15" t="s">
        <v>910</v>
      </c>
      <c r="V336" s="16">
        <v>46258</v>
      </c>
      <c r="W336" s="16">
        <v>46263</v>
      </c>
      <c r="X336" s="15" t="s">
        <v>39</v>
      </c>
      <c r="Y336" s="16">
        <v>46263</v>
      </c>
      <c r="Z336" s="15" t="s">
        <v>39</v>
      </c>
      <c r="AA336" s="17" t="e">
        <f>VLOOKUP(F336,[2]Wait!$H$225:$I$260,2,0)</f>
        <v>#N/A</v>
      </c>
    </row>
    <row r="337" spans="1:27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1190</v>
      </c>
      <c r="E337" s="15" t="s">
        <v>1191</v>
      </c>
      <c r="F337" s="15" t="s">
        <v>3267</v>
      </c>
      <c r="G337" s="15" t="s">
        <v>273</v>
      </c>
      <c r="H337" s="15" t="s">
        <v>26</v>
      </c>
      <c r="I337" s="16">
        <v>46274</v>
      </c>
      <c r="J337" s="15" t="s">
        <v>36</v>
      </c>
      <c r="K337" s="15" t="s">
        <v>28</v>
      </c>
      <c r="L337" s="15" t="s">
        <v>1192</v>
      </c>
      <c r="M337" s="15" t="s">
        <v>1425</v>
      </c>
      <c r="N337" s="15" t="s">
        <v>29</v>
      </c>
      <c r="O337" s="15" t="s">
        <v>1193</v>
      </c>
      <c r="P337" s="15" t="s">
        <v>214</v>
      </c>
      <c r="Q337" s="15" t="s">
        <v>215</v>
      </c>
      <c r="R337" s="15" t="s">
        <v>285</v>
      </c>
      <c r="S337" s="15" t="s">
        <v>32</v>
      </c>
      <c r="T337" s="15" t="s">
        <v>66</v>
      </c>
      <c r="U337" s="15" t="s">
        <v>1194</v>
      </c>
      <c r="V337" s="16">
        <v>46288</v>
      </c>
      <c r="W337" s="16">
        <v>46256</v>
      </c>
      <c r="X337" s="15" t="s">
        <v>34</v>
      </c>
      <c r="Y337" s="16">
        <v>46267</v>
      </c>
      <c r="Z337" s="15" t="s">
        <v>34</v>
      </c>
      <c r="AA337" s="17" t="e">
        <f>VLOOKUP(F337,[2]Wait!$H$225:$I$260,2,0)</f>
        <v>#N/A</v>
      </c>
    </row>
    <row r="338" spans="1:27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1215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46274</v>
      </c>
      <c r="J338" s="15" t="s">
        <v>188</v>
      </c>
      <c r="K338" s="15" t="s">
        <v>28</v>
      </c>
      <c r="L338" s="15" t="s">
        <v>1216</v>
      </c>
      <c r="M338" s="15" t="s">
        <v>1425</v>
      </c>
      <c r="N338" s="15" t="s">
        <v>29</v>
      </c>
      <c r="O338" s="15" t="s">
        <v>939</v>
      </c>
      <c r="P338" s="15" t="s">
        <v>26</v>
      </c>
      <c r="Q338" s="15" t="s">
        <v>26</v>
      </c>
      <c r="R338" s="15" t="s">
        <v>95</v>
      </c>
      <c r="S338" s="15" t="s">
        <v>32</v>
      </c>
      <c r="T338" s="15" t="s">
        <v>70</v>
      </c>
      <c r="U338" s="15" t="s">
        <v>1217</v>
      </c>
      <c r="V338" s="16">
        <v>46277</v>
      </c>
      <c r="W338" s="16">
        <v>46261</v>
      </c>
      <c r="X338" s="15" t="s">
        <v>39</v>
      </c>
      <c r="Y338" s="16">
        <v>46261</v>
      </c>
      <c r="Z338" s="15" t="s">
        <v>39</v>
      </c>
      <c r="AA338" s="17" t="e">
        <f>VLOOKUP(F338,[2]Wait!$H$225:$I$260,2,0)</f>
        <v>#N/A</v>
      </c>
    </row>
    <row r="339" spans="1:27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1424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46258</v>
      </c>
      <c r="J339" s="15" t="s">
        <v>52</v>
      </c>
      <c r="K339" s="15" t="s">
        <v>28</v>
      </c>
      <c r="L339" s="15" t="s">
        <v>91</v>
      </c>
      <c r="M339" s="15" t="s">
        <v>1425</v>
      </c>
      <c r="N339" s="15" t="s">
        <v>29</v>
      </c>
      <c r="O339" s="15" t="s">
        <v>955</v>
      </c>
      <c r="P339" s="15" t="s">
        <v>30</v>
      </c>
      <c r="Q339" s="15" t="s">
        <v>31</v>
      </c>
      <c r="R339" s="15" t="s">
        <v>54</v>
      </c>
      <c r="S339" s="15" t="s">
        <v>32</v>
      </c>
      <c r="T339" s="15" t="s">
        <v>55</v>
      </c>
      <c r="U339" s="15" t="s">
        <v>210</v>
      </c>
      <c r="V339" s="16">
        <v>46253</v>
      </c>
      <c r="W339" s="16">
        <v>46269</v>
      </c>
      <c r="X339" s="15" t="s">
        <v>39</v>
      </c>
      <c r="Y339" s="16">
        <v>46269</v>
      </c>
      <c r="Z339" s="15" t="s">
        <v>39</v>
      </c>
      <c r="AA339" s="17" t="e">
        <f>VLOOKUP(F339,[2]Wait!$H$225:$I$260,2,0)</f>
        <v>#N/A</v>
      </c>
    </row>
    <row r="340" spans="1:27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1426</v>
      </c>
      <c r="E340" s="15" t="s">
        <v>26</v>
      </c>
      <c r="F340" s="15" t="s">
        <v>3270</v>
      </c>
      <c r="G340" s="15" t="s">
        <v>35</v>
      </c>
      <c r="H340" s="15" t="s">
        <v>26</v>
      </c>
      <c r="I340" s="16">
        <v>46273</v>
      </c>
      <c r="J340" s="15" t="s">
        <v>52</v>
      </c>
      <c r="K340" s="15" t="s">
        <v>28</v>
      </c>
      <c r="L340" s="15" t="s">
        <v>287</v>
      </c>
      <c r="M340" s="15" t="s">
        <v>1425</v>
      </c>
      <c r="N340" s="15" t="s">
        <v>29</v>
      </c>
      <c r="O340" s="15" t="s">
        <v>949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288</v>
      </c>
      <c r="V340" s="16">
        <v>46273</v>
      </c>
      <c r="W340" s="16">
        <v>46263</v>
      </c>
      <c r="X340" s="15" t="s">
        <v>39</v>
      </c>
      <c r="Y340" s="16">
        <v>46263</v>
      </c>
      <c r="Z340" s="15" t="s">
        <v>39</v>
      </c>
      <c r="AA340" s="17" t="e">
        <f>VLOOKUP(F340,[2]Wait!$H$225:$I$260,2,0)</f>
        <v>#N/A</v>
      </c>
    </row>
    <row r="341" spans="1:27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1427</v>
      </c>
      <c r="E341" s="15" t="s">
        <v>26</v>
      </c>
      <c r="F341" s="15" t="s">
        <v>3271</v>
      </c>
      <c r="G341" s="15" t="s">
        <v>35</v>
      </c>
      <c r="H341" s="15" t="s">
        <v>93</v>
      </c>
      <c r="I341" s="16">
        <v>46273</v>
      </c>
      <c r="J341" s="15" t="s">
        <v>52</v>
      </c>
      <c r="K341" s="15" t="s">
        <v>28</v>
      </c>
      <c r="L341" s="15" t="s">
        <v>94</v>
      </c>
      <c r="M341" s="15" t="s">
        <v>1425</v>
      </c>
      <c r="N341" s="15" t="s">
        <v>29</v>
      </c>
      <c r="O341" s="15" t="s">
        <v>939</v>
      </c>
      <c r="P341" s="15" t="s">
        <v>30</v>
      </c>
      <c r="Q341" s="15" t="s">
        <v>31</v>
      </c>
      <c r="R341" s="15" t="s">
        <v>95</v>
      </c>
      <c r="S341" s="15" t="s">
        <v>32</v>
      </c>
      <c r="T341" s="15" t="s">
        <v>55</v>
      </c>
      <c r="U341" s="15" t="s">
        <v>96</v>
      </c>
      <c r="V341" s="16">
        <v>46269</v>
      </c>
      <c r="W341" s="16">
        <v>46261</v>
      </c>
      <c r="X341" s="15" t="s">
        <v>39</v>
      </c>
      <c r="Y341" s="16">
        <v>46261</v>
      </c>
      <c r="Z341" s="15" t="s">
        <v>39</v>
      </c>
      <c r="AA341" s="17" t="e">
        <f>VLOOKUP(F341,[2]Wait!$H$225:$I$260,2,0)</f>
        <v>#N/A</v>
      </c>
    </row>
    <row r="342" spans="1:27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1224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46274</v>
      </c>
      <c r="J342" s="15" t="s">
        <v>188</v>
      </c>
      <c r="K342" s="15" t="s">
        <v>28</v>
      </c>
      <c r="L342" s="15" t="s">
        <v>1225</v>
      </c>
      <c r="M342" s="15" t="s">
        <v>1425</v>
      </c>
      <c r="N342" s="15" t="s">
        <v>29</v>
      </c>
      <c r="O342" s="15" t="s">
        <v>939</v>
      </c>
      <c r="P342" s="15" t="s">
        <v>41</v>
      </c>
      <c r="Q342" s="15" t="s">
        <v>42</v>
      </c>
      <c r="R342" s="15" t="s">
        <v>95</v>
      </c>
      <c r="S342" s="15" t="s">
        <v>32</v>
      </c>
      <c r="T342" s="15" t="s">
        <v>33</v>
      </c>
      <c r="U342" s="15" t="s">
        <v>1226</v>
      </c>
      <c r="V342" s="16">
        <v>46274</v>
      </c>
      <c r="W342" s="16">
        <v>46261</v>
      </c>
      <c r="X342" s="15" t="s">
        <v>39</v>
      </c>
      <c r="Y342" s="16">
        <v>46261</v>
      </c>
      <c r="Z342" s="15" t="s">
        <v>39</v>
      </c>
      <c r="AA342" s="17" t="e">
        <f>VLOOKUP(F342,[2]Wait!$H$225:$I$260,2,0)</f>
        <v>#N/A</v>
      </c>
    </row>
    <row r="343" spans="1:27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1428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46273</v>
      </c>
      <c r="J343" s="15" t="s">
        <v>36</v>
      </c>
      <c r="K343" s="15" t="s">
        <v>28</v>
      </c>
      <c r="L343" s="15" t="s">
        <v>1429</v>
      </c>
      <c r="M343" s="15" t="s">
        <v>1425</v>
      </c>
      <c r="N343" s="15" t="s">
        <v>29</v>
      </c>
      <c r="O343" s="15" t="s">
        <v>946</v>
      </c>
      <c r="P343" s="15" t="s">
        <v>26</v>
      </c>
      <c r="Q343" s="15" t="s">
        <v>26</v>
      </c>
      <c r="R343" s="15" t="s">
        <v>61</v>
      </c>
      <c r="S343" s="15" t="s">
        <v>32</v>
      </c>
      <c r="T343" s="15" t="s">
        <v>38</v>
      </c>
      <c r="U343" s="15" t="s">
        <v>1430</v>
      </c>
      <c r="V343" s="16">
        <v>46273</v>
      </c>
      <c r="W343" s="16">
        <v>46259</v>
      </c>
      <c r="X343" s="15" t="s">
        <v>39</v>
      </c>
      <c r="Y343" s="16">
        <v>46259</v>
      </c>
      <c r="Z343" s="15" t="s">
        <v>39</v>
      </c>
      <c r="AA343" s="17" t="e">
        <f>VLOOKUP(F343,[2]Wait!$H$225:$I$260,2,0)</f>
        <v>#N/A</v>
      </c>
    </row>
    <row r="344" spans="1:27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1431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46278</v>
      </c>
      <c r="J344" s="15" t="s">
        <v>63</v>
      </c>
      <c r="K344" s="15" t="s">
        <v>28</v>
      </c>
      <c r="L344" s="15" t="s">
        <v>1432</v>
      </c>
      <c r="M344" s="15" t="s">
        <v>1425</v>
      </c>
      <c r="N344" s="15" t="s">
        <v>29</v>
      </c>
      <c r="O344" s="15" t="s">
        <v>939</v>
      </c>
      <c r="P344" s="15" t="s">
        <v>41</v>
      </c>
      <c r="Q344" s="15" t="s">
        <v>42</v>
      </c>
      <c r="R344" s="15" t="s">
        <v>43</v>
      </c>
      <c r="S344" s="15" t="s">
        <v>32</v>
      </c>
      <c r="T344" s="15" t="s">
        <v>78</v>
      </c>
      <c r="U344" s="15" t="s">
        <v>1433</v>
      </c>
      <c r="V344" s="16">
        <v>46278</v>
      </c>
      <c r="W344" s="16">
        <v>46261</v>
      </c>
      <c r="X344" s="15" t="s">
        <v>39</v>
      </c>
      <c r="Y344" s="16">
        <v>46261</v>
      </c>
      <c r="Z344" s="15" t="s">
        <v>39</v>
      </c>
      <c r="AA344" s="17" t="e">
        <f>VLOOKUP(F344,[2]Wait!$H$225:$I$260,2,0)</f>
        <v>#N/A</v>
      </c>
    </row>
    <row r="345" spans="1:27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1434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46273</v>
      </c>
      <c r="J345" s="15" t="s">
        <v>36</v>
      </c>
      <c r="K345" s="15" t="s">
        <v>28</v>
      </c>
      <c r="L345" s="15" t="s">
        <v>368</v>
      </c>
      <c r="M345" s="15" t="s">
        <v>1425</v>
      </c>
      <c r="N345" s="15" t="s">
        <v>29</v>
      </c>
      <c r="O345" s="15" t="s">
        <v>946</v>
      </c>
      <c r="P345" s="15" t="s">
        <v>26</v>
      </c>
      <c r="Q345" s="15" t="s">
        <v>26</v>
      </c>
      <c r="R345" s="15" t="s">
        <v>61</v>
      </c>
      <c r="S345" s="15" t="s">
        <v>32</v>
      </c>
      <c r="T345" s="15" t="s">
        <v>38</v>
      </c>
      <c r="U345" s="15" t="s">
        <v>112</v>
      </c>
      <c r="V345" s="16">
        <v>46273</v>
      </c>
      <c r="W345" s="16">
        <v>46259</v>
      </c>
      <c r="X345" s="15" t="s">
        <v>39</v>
      </c>
      <c r="Y345" s="16">
        <v>46259</v>
      </c>
      <c r="Z345" s="15" t="s">
        <v>39</v>
      </c>
      <c r="AA345" s="17" t="e">
        <f>VLOOKUP(F345,[2]Wait!$H$225:$I$260,2,0)</f>
        <v>#N/A</v>
      </c>
    </row>
    <row r="346" spans="1:27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1435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46270</v>
      </c>
      <c r="J346" s="15" t="s">
        <v>36</v>
      </c>
      <c r="K346" s="15" t="s">
        <v>28</v>
      </c>
      <c r="L346" s="15" t="s">
        <v>211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46270</v>
      </c>
      <c r="W346" s="16">
        <v>46259</v>
      </c>
      <c r="X346" s="15" t="s">
        <v>39</v>
      </c>
      <c r="Y346" s="16">
        <v>46259</v>
      </c>
      <c r="Z346" s="15" t="s">
        <v>39</v>
      </c>
      <c r="AA346" s="17" t="e">
        <f>VLOOKUP(F346,[2]Wait!$H$225:$I$260,2,0)</f>
        <v>#N/A</v>
      </c>
    </row>
    <row r="347" spans="1:27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1436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373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  <c r="AA347" s="17" t="e">
        <f>VLOOKUP(F347,[2]Wait!$H$225:$I$260,2,0)</f>
        <v>#N/A</v>
      </c>
    </row>
    <row r="348" spans="1:27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1437</v>
      </c>
      <c r="E348" s="15" t="s">
        <v>26</v>
      </c>
      <c r="F348" s="15" t="s">
        <v>3278</v>
      </c>
      <c r="G348" s="15" t="s">
        <v>35</v>
      </c>
      <c r="H348" s="15" t="s">
        <v>26</v>
      </c>
      <c r="I348" s="16">
        <v>46274</v>
      </c>
      <c r="J348" s="15" t="s">
        <v>36</v>
      </c>
      <c r="K348" s="15" t="s">
        <v>28</v>
      </c>
      <c r="L348" s="15" t="s">
        <v>374</v>
      </c>
      <c r="M348" s="15" t="s">
        <v>1425</v>
      </c>
      <c r="N348" s="15" t="s">
        <v>29</v>
      </c>
      <c r="O348" s="15" t="s">
        <v>946</v>
      </c>
      <c r="P348" s="15" t="s">
        <v>30</v>
      </c>
      <c r="Q348" s="15" t="s">
        <v>31</v>
      </c>
      <c r="R348" s="15" t="s">
        <v>65</v>
      </c>
      <c r="S348" s="15" t="s">
        <v>32</v>
      </c>
      <c r="T348" s="15" t="s">
        <v>66</v>
      </c>
      <c r="U348" s="15" t="s">
        <v>212</v>
      </c>
      <c r="V348" s="16">
        <v>46274</v>
      </c>
      <c r="W348" s="16">
        <v>46259</v>
      </c>
      <c r="X348" s="15" t="s">
        <v>39</v>
      </c>
      <c r="Y348" s="16">
        <v>46259</v>
      </c>
      <c r="Z348" s="15" t="s">
        <v>39</v>
      </c>
      <c r="AA348" s="17" t="e">
        <f>VLOOKUP(F348,[2]Wait!$H$225:$I$260,2,0)</f>
        <v>#N/A</v>
      </c>
    </row>
    <row r="349" spans="1:27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1438</v>
      </c>
      <c r="E349" s="15" t="s">
        <v>26</v>
      </c>
      <c r="F349" s="15" t="s">
        <v>3279</v>
      </c>
      <c r="G349" s="15" t="s">
        <v>35</v>
      </c>
      <c r="H349" s="15" t="s">
        <v>74</v>
      </c>
      <c r="I349" s="16">
        <v>46275</v>
      </c>
      <c r="J349" s="15" t="s">
        <v>63</v>
      </c>
      <c r="K349" s="15" t="s">
        <v>28</v>
      </c>
      <c r="L349" s="15" t="s">
        <v>1439</v>
      </c>
      <c r="M349" s="15" t="s">
        <v>1425</v>
      </c>
      <c r="N349" s="15" t="s">
        <v>29</v>
      </c>
      <c r="O349" s="15" t="s">
        <v>939</v>
      </c>
      <c r="P349" s="15" t="s">
        <v>26</v>
      </c>
      <c r="Q349" s="15" t="s">
        <v>26</v>
      </c>
      <c r="R349" s="15" t="s">
        <v>379</v>
      </c>
      <c r="S349" s="15" t="s">
        <v>32</v>
      </c>
      <c r="T349" s="15" t="s">
        <v>78</v>
      </c>
      <c r="U349" s="15" t="s">
        <v>969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  <c r="AA349" s="17" t="e">
        <f>VLOOKUP(F349,[2]Wait!$H$225:$I$260,2,0)</f>
        <v>#N/A</v>
      </c>
    </row>
    <row r="350" spans="1:27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1440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46275</v>
      </c>
      <c r="J350" s="15" t="s">
        <v>36</v>
      </c>
      <c r="K350" s="15" t="s">
        <v>28</v>
      </c>
      <c r="L350" s="15" t="s">
        <v>390</v>
      </c>
      <c r="M350" s="15" t="s">
        <v>1425</v>
      </c>
      <c r="N350" s="15" t="s">
        <v>29</v>
      </c>
      <c r="O350" s="15" t="s">
        <v>939</v>
      </c>
      <c r="P350" s="15" t="s">
        <v>41</v>
      </c>
      <c r="Q350" s="15" t="s">
        <v>42</v>
      </c>
      <c r="R350" s="15" t="s">
        <v>43</v>
      </c>
      <c r="S350" s="15" t="s">
        <v>32</v>
      </c>
      <c r="T350" s="15" t="s">
        <v>66</v>
      </c>
      <c r="U350" s="15" t="s">
        <v>391</v>
      </c>
      <c r="V350" s="16">
        <v>46275</v>
      </c>
      <c r="W350" s="16">
        <v>46261</v>
      </c>
      <c r="X350" s="15" t="s">
        <v>39</v>
      </c>
      <c r="Y350" s="16">
        <v>46261</v>
      </c>
      <c r="Z350" s="15" t="s">
        <v>39</v>
      </c>
      <c r="AA350" s="17" t="e">
        <f>VLOOKUP(F350,[2]Wait!$H$225:$I$260,2,0)</f>
        <v>#N/A</v>
      </c>
    </row>
    <row r="351" spans="1:27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1245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46274</v>
      </c>
      <c r="J351" s="15" t="s">
        <v>188</v>
      </c>
      <c r="K351" s="15" t="s">
        <v>28</v>
      </c>
      <c r="L351" s="15" t="s">
        <v>1246</v>
      </c>
      <c r="M351" s="15" t="s">
        <v>1425</v>
      </c>
      <c r="N351" s="15" t="s">
        <v>29</v>
      </c>
      <c r="O351" s="15" t="s">
        <v>949</v>
      </c>
      <c r="P351" s="15" t="s">
        <v>41</v>
      </c>
      <c r="Q351" s="15" t="s">
        <v>42</v>
      </c>
      <c r="R351" s="15" t="s">
        <v>1240</v>
      </c>
      <c r="S351" s="15" t="s">
        <v>32</v>
      </c>
      <c r="T351" s="15" t="s">
        <v>78</v>
      </c>
      <c r="U351" s="15" t="s">
        <v>1247</v>
      </c>
      <c r="V351" s="16">
        <v>46280</v>
      </c>
      <c r="W351" s="16">
        <v>46263</v>
      </c>
      <c r="X351" s="15" t="s">
        <v>39</v>
      </c>
      <c r="Y351" s="16">
        <v>46263</v>
      </c>
      <c r="Z351" s="15" t="s">
        <v>39</v>
      </c>
      <c r="AA351" s="17" t="e">
        <f>VLOOKUP(F351,[2]Wait!$H$225:$I$260,2,0)</f>
        <v>#N/A</v>
      </c>
    </row>
    <row r="352" spans="1:27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1441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1442</v>
      </c>
      <c r="M352" s="15" t="s">
        <v>1425</v>
      </c>
      <c r="N352" s="15" t="s">
        <v>29</v>
      </c>
      <c r="O352" s="15" t="s">
        <v>949</v>
      </c>
      <c r="P352" s="15" t="s">
        <v>30</v>
      </c>
      <c r="Q352" s="15" t="s">
        <v>31</v>
      </c>
      <c r="R352" s="15" t="s">
        <v>285</v>
      </c>
      <c r="S352" s="15" t="s">
        <v>32</v>
      </c>
      <c r="T352" s="15" t="s">
        <v>66</v>
      </c>
      <c r="U352" s="15" t="s">
        <v>1443</v>
      </c>
      <c r="V352" s="16">
        <v>46277</v>
      </c>
      <c r="W352" s="16">
        <v>46263</v>
      </c>
      <c r="X352" s="15" t="s">
        <v>39</v>
      </c>
      <c r="Y352" s="16">
        <v>46263</v>
      </c>
      <c r="Z352" s="15" t="s">
        <v>39</v>
      </c>
      <c r="AA352" s="17" t="e">
        <f>VLOOKUP(F352,[2]Wait!$H$225:$I$260,2,0)</f>
        <v>#N/A</v>
      </c>
    </row>
    <row r="353" spans="1:27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1444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1445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  <c r="AA353" s="17" t="e">
        <f>VLOOKUP(F353,[2]Wait!$H$225:$I$260,2,0)</f>
        <v>#N/A</v>
      </c>
    </row>
    <row r="354" spans="1:27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987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36</v>
      </c>
      <c r="K354" s="15" t="s">
        <v>28</v>
      </c>
      <c r="L354" s="15" t="s">
        <v>988</v>
      </c>
      <c r="M354" s="15" t="s">
        <v>1425</v>
      </c>
      <c r="N354" s="15" t="s">
        <v>29</v>
      </c>
      <c r="O354" s="15" t="s">
        <v>939</v>
      </c>
      <c r="P354" s="15" t="s">
        <v>30</v>
      </c>
      <c r="Q354" s="15" t="s">
        <v>31</v>
      </c>
      <c r="R354" s="15" t="s">
        <v>72</v>
      </c>
      <c r="S354" s="15" t="s">
        <v>32</v>
      </c>
      <c r="T354" s="15" t="s">
        <v>66</v>
      </c>
      <c r="U354" s="15" t="s">
        <v>989</v>
      </c>
      <c r="V354" s="16">
        <v>46277</v>
      </c>
      <c r="W354" s="16">
        <v>46261</v>
      </c>
      <c r="X354" s="15" t="s">
        <v>39</v>
      </c>
      <c r="Y354" s="16">
        <v>46261</v>
      </c>
      <c r="Z354" s="15" t="s">
        <v>39</v>
      </c>
      <c r="AA354" s="17" t="e">
        <f>VLOOKUP(F354,[2]Wait!$H$225:$I$260,2,0)</f>
        <v>#N/A</v>
      </c>
    </row>
    <row r="355" spans="1:27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992</v>
      </c>
      <c r="E355" s="15" t="s">
        <v>26</v>
      </c>
      <c r="F355" s="15" t="s">
        <v>3285</v>
      </c>
      <c r="G355" s="15" t="s">
        <v>35</v>
      </c>
      <c r="H355" s="15" t="s">
        <v>26</v>
      </c>
      <c r="I355" s="16">
        <v>46277</v>
      </c>
      <c r="J355" s="15" t="s">
        <v>82</v>
      </c>
      <c r="K355" s="15" t="s">
        <v>28</v>
      </c>
      <c r="L355" s="15" t="s">
        <v>443</v>
      </c>
      <c r="M355" s="15" t="s">
        <v>1425</v>
      </c>
      <c r="N355" s="15" t="s">
        <v>29</v>
      </c>
      <c r="O355" s="15" t="s">
        <v>991</v>
      </c>
      <c r="P355" s="15" t="s">
        <v>26</v>
      </c>
      <c r="Q355" s="15" t="s">
        <v>26</v>
      </c>
      <c r="R355" s="15" t="s">
        <v>150</v>
      </c>
      <c r="S355" s="15" t="s">
        <v>32</v>
      </c>
      <c r="T355" s="15" t="s">
        <v>70</v>
      </c>
      <c r="U355" s="15" t="s">
        <v>444</v>
      </c>
      <c r="V355" s="16">
        <v>46277</v>
      </c>
      <c r="W355" s="16">
        <v>46258</v>
      </c>
      <c r="X355" s="15" t="s">
        <v>39</v>
      </c>
      <c r="Y355" s="16">
        <v>46258</v>
      </c>
      <c r="Z355" s="15" t="s">
        <v>39</v>
      </c>
      <c r="AA355" s="17" t="e">
        <f>VLOOKUP(F355,[2]Wait!$H$225:$I$260,2,0)</f>
        <v>#N/A</v>
      </c>
    </row>
    <row r="356" spans="1:27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1257</v>
      </c>
      <c r="E356" s="15" t="s">
        <v>26</v>
      </c>
      <c r="F356" s="15" t="s">
        <v>3286</v>
      </c>
      <c r="G356" s="15" t="s">
        <v>35</v>
      </c>
      <c r="H356" s="15" t="s">
        <v>74</v>
      </c>
      <c r="I356" s="16">
        <v>46277</v>
      </c>
      <c r="J356" s="15" t="s">
        <v>63</v>
      </c>
      <c r="K356" s="15" t="s">
        <v>28</v>
      </c>
      <c r="L356" s="15" t="s">
        <v>1258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37</v>
      </c>
      <c r="S356" s="15" t="s">
        <v>32</v>
      </c>
      <c r="T356" s="15" t="s">
        <v>78</v>
      </c>
      <c r="U356" s="15" t="s">
        <v>1254</v>
      </c>
      <c r="V356" s="16">
        <v>46277</v>
      </c>
      <c r="W356" s="16">
        <v>46261</v>
      </c>
      <c r="X356" s="15" t="s">
        <v>39</v>
      </c>
      <c r="Y356" s="16">
        <v>46261</v>
      </c>
      <c r="Z356" s="15" t="s">
        <v>39</v>
      </c>
      <c r="AA356" s="17" t="e">
        <f>VLOOKUP(F356,[2]Wait!$H$225:$I$260,2,0)</f>
        <v>#N/A</v>
      </c>
    </row>
    <row r="357" spans="1:27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1446</v>
      </c>
      <c r="E357" s="15" t="s">
        <v>26</v>
      </c>
      <c r="F357" s="15" t="s">
        <v>3287</v>
      </c>
      <c r="G357" s="15" t="s">
        <v>35</v>
      </c>
      <c r="H357" s="15" t="s">
        <v>26</v>
      </c>
      <c r="I357" s="16">
        <v>46273</v>
      </c>
      <c r="J357" s="15" t="s">
        <v>36</v>
      </c>
      <c r="K357" s="15" t="s">
        <v>28</v>
      </c>
      <c r="L357" s="15" t="s">
        <v>132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95</v>
      </c>
      <c r="S357" s="15" t="s">
        <v>32</v>
      </c>
      <c r="T357" s="15" t="s">
        <v>71</v>
      </c>
      <c r="U357" s="15" t="s">
        <v>133</v>
      </c>
      <c r="V357" s="16">
        <v>46270</v>
      </c>
      <c r="W357" s="16">
        <v>46261</v>
      </c>
      <c r="X357" s="15" t="s">
        <v>39</v>
      </c>
      <c r="Y357" s="16">
        <v>46261</v>
      </c>
      <c r="Z357" s="15" t="s">
        <v>39</v>
      </c>
      <c r="AA357" s="17" t="e">
        <f>VLOOKUP(F357,[2]Wait!$H$225:$I$260,2,0)</f>
        <v>#N/A</v>
      </c>
    </row>
    <row r="358" spans="1:27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1447</v>
      </c>
      <c r="E358" s="15" t="s">
        <v>26</v>
      </c>
      <c r="F358" s="15" t="s">
        <v>3288</v>
      </c>
      <c r="G358" s="15" t="s">
        <v>35</v>
      </c>
      <c r="H358" s="15" t="s">
        <v>74</v>
      </c>
      <c r="I358" s="16">
        <v>46278</v>
      </c>
      <c r="J358" s="15" t="s">
        <v>63</v>
      </c>
      <c r="K358" s="15" t="s">
        <v>28</v>
      </c>
      <c r="L358" s="15" t="s">
        <v>456</v>
      </c>
      <c r="M358" s="15" t="s">
        <v>1425</v>
      </c>
      <c r="N358" s="15" t="s">
        <v>29</v>
      </c>
      <c r="O358" s="15" t="s">
        <v>939</v>
      </c>
      <c r="P358" s="15" t="s">
        <v>41</v>
      </c>
      <c r="Q358" s="15" t="s">
        <v>42</v>
      </c>
      <c r="R358" s="15" t="s">
        <v>135</v>
      </c>
      <c r="S358" s="15" t="s">
        <v>32</v>
      </c>
      <c r="T358" s="15" t="s">
        <v>78</v>
      </c>
      <c r="U358" s="15" t="s">
        <v>457</v>
      </c>
      <c r="V358" s="16">
        <v>46278</v>
      </c>
      <c r="W358" s="16">
        <v>46261</v>
      </c>
      <c r="X358" s="15" t="s">
        <v>39</v>
      </c>
      <c r="Y358" s="16">
        <v>46261</v>
      </c>
      <c r="Z358" s="15" t="s">
        <v>39</v>
      </c>
      <c r="AA358" s="17" t="e">
        <f>VLOOKUP(F358,[2]Wait!$H$225:$I$260,2,0)</f>
        <v>#N/A</v>
      </c>
    </row>
    <row r="359" spans="1:27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2845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2846</v>
      </c>
      <c r="M359" s="15" t="s">
        <v>1425</v>
      </c>
      <c r="N359" s="15" t="s">
        <v>29</v>
      </c>
      <c r="O359" s="15" t="s">
        <v>949</v>
      </c>
      <c r="P359" s="15" t="s">
        <v>30</v>
      </c>
      <c r="Q359" s="15" t="s">
        <v>31</v>
      </c>
      <c r="R359" s="15" t="s">
        <v>135</v>
      </c>
      <c r="S359" s="15" t="s">
        <v>32</v>
      </c>
      <c r="T359" s="15" t="s">
        <v>33</v>
      </c>
      <c r="U359" s="15" t="s">
        <v>1328</v>
      </c>
      <c r="V359" s="16">
        <v>46278</v>
      </c>
      <c r="W359" s="16">
        <v>46263</v>
      </c>
      <c r="X359" s="15" t="s">
        <v>39</v>
      </c>
      <c r="Y359" s="16">
        <v>46263</v>
      </c>
      <c r="Z359" s="15" t="s">
        <v>39</v>
      </c>
      <c r="AA359" s="17" t="e">
        <f>VLOOKUP(F359,[2]Wait!$H$225:$I$260,2,0)</f>
        <v>#N/A</v>
      </c>
    </row>
    <row r="360" spans="1:27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1262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46278</v>
      </c>
      <c r="J360" s="15" t="s">
        <v>63</v>
      </c>
      <c r="K360" s="15" t="s">
        <v>28</v>
      </c>
      <c r="L360" s="15" t="s">
        <v>1263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1115</v>
      </c>
      <c r="V360" s="16">
        <v>46280</v>
      </c>
      <c r="W360" s="16">
        <v>46261</v>
      </c>
      <c r="X360" s="15" t="s">
        <v>39</v>
      </c>
      <c r="Y360" s="16">
        <v>46261</v>
      </c>
      <c r="Z360" s="15" t="s">
        <v>39</v>
      </c>
      <c r="AA360" s="17" t="e">
        <f>VLOOKUP(F360,[2]Wait!$H$225:$I$260,2,0)</f>
        <v>#N/A</v>
      </c>
    </row>
    <row r="361" spans="1:27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1448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479</v>
      </c>
      <c r="M361" s="15" t="s">
        <v>1425</v>
      </c>
      <c r="N361" s="15" t="s">
        <v>29</v>
      </c>
      <c r="O361" s="15" t="s">
        <v>939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46</v>
      </c>
      <c r="V361" s="16">
        <v>46272</v>
      </c>
      <c r="W361" s="16">
        <v>46261</v>
      </c>
      <c r="X361" s="15" t="s">
        <v>39</v>
      </c>
      <c r="Y361" s="16">
        <v>46261</v>
      </c>
      <c r="Z361" s="15" t="s">
        <v>39</v>
      </c>
      <c r="AA361" s="17" t="e">
        <f>VLOOKUP(F361,[2]Wait!$H$225:$I$260,2,0)</f>
        <v>#N/A</v>
      </c>
    </row>
    <row r="362" spans="1:27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1449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480</v>
      </c>
      <c r="M362" s="15" t="s">
        <v>1425</v>
      </c>
      <c r="N362" s="15" t="s">
        <v>29</v>
      </c>
      <c r="O362" s="15" t="s">
        <v>949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146</v>
      </c>
      <c r="V362" s="16">
        <v>46272</v>
      </c>
      <c r="W362" s="16">
        <v>46263</v>
      </c>
      <c r="X362" s="15" t="s">
        <v>39</v>
      </c>
      <c r="Y362" s="16">
        <v>46263</v>
      </c>
      <c r="Z362" s="15" t="s">
        <v>39</v>
      </c>
      <c r="AA362" s="17" t="e">
        <f>VLOOKUP(F362,[2]Wait!$H$225:$I$260,2,0)</f>
        <v>#N/A</v>
      </c>
    </row>
    <row r="363" spans="1:27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1450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46272</v>
      </c>
      <c r="J363" s="15" t="s">
        <v>63</v>
      </c>
      <c r="K363" s="15" t="s">
        <v>28</v>
      </c>
      <c r="L363" s="15" t="s">
        <v>1451</v>
      </c>
      <c r="M363" s="15" t="s">
        <v>1425</v>
      </c>
      <c r="N363" s="15" t="s">
        <v>29</v>
      </c>
      <c r="O363" s="15" t="s">
        <v>939</v>
      </c>
      <c r="P363" s="15" t="s">
        <v>41</v>
      </c>
      <c r="Q363" s="15" t="s">
        <v>42</v>
      </c>
      <c r="R363" s="15" t="s">
        <v>43</v>
      </c>
      <c r="S363" s="15" t="s">
        <v>32</v>
      </c>
      <c r="T363" s="15" t="s">
        <v>33</v>
      </c>
      <c r="U363" s="15" t="s">
        <v>1002</v>
      </c>
      <c r="V363" s="16">
        <v>46272</v>
      </c>
      <c r="W363" s="16">
        <v>46261</v>
      </c>
      <c r="X363" s="15" t="s">
        <v>39</v>
      </c>
      <c r="Y363" s="16">
        <v>46261</v>
      </c>
      <c r="Z363" s="15" t="s">
        <v>39</v>
      </c>
      <c r="AA363" s="17" t="e">
        <f>VLOOKUP(F363,[2]Wait!$H$225:$I$260,2,0)</f>
        <v>#N/A</v>
      </c>
    </row>
    <row r="364" spans="1:27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1452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46274</v>
      </c>
      <c r="J364" s="15" t="s">
        <v>196</v>
      </c>
      <c r="K364" s="15" t="s">
        <v>28</v>
      </c>
      <c r="L364" s="15" t="s">
        <v>1453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135</v>
      </c>
      <c r="S364" s="15" t="s">
        <v>32</v>
      </c>
      <c r="T364" s="15" t="s">
        <v>367</v>
      </c>
      <c r="U364" s="15" t="s">
        <v>1454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  <c r="AA364" s="17" t="e">
        <f>VLOOKUP(F364,[2]Wait!$H$225:$I$260,2,0)</f>
        <v>#N/A</v>
      </c>
    </row>
    <row r="365" spans="1:27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1455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46272</v>
      </c>
      <c r="J365" s="15" t="s">
        <v>36</v>
      </c>
      <c r="K365" s="15" t="s">
        <v>28</v>
      </c>
      <c r="L365" s="15" t="s">
        <v>900</v>
      </c>
      <c r="M365" s="15" t="s">
        <v>1425</v>
      </c>
      <c r="N365" s="15" t="s">
        <v>29</v>
      </c>
      <c r="O365" s="15" t="s">
        <v>946</v>
      </c>
      <c r="P365" s="15" t="s">
        <v>26</v>
      </c>
      <c r="Q365" s="15" t="s">
        <v>26</v>
      </c>
      <c r="R365" s="15" t="s">
        <v>253</v>
      </c>
      <c r="S365" s="15" t="s">
        <v>32</v>
      </c>
      <c r="T365" s="15" t="s">
        <v>70</v>
      </c>
      <c r="U365" s="15" t="s">
        <v>901</v>
      </c>
      <c r="V365" s="16">
        <v>46272</v>
      </c>
      <c r="W365" s="16">
        <v>46259</v>
      </c>
      <c r="X365" s="15" t="s">
        <v>39</v>
      </c>
      <c r="Y365" s="16">
        <v>46259</v>
      </c>
      <c r="Z365" s="15" t="s">
        <v>39</v>
      </c>
      <c r="AA365" s="17" t="e">
        <f>VLOOKUP(F365,[2]Wait!$H$225:$I$260,2,0)</f>
        <v>#N/A</v>
      </c>
    </row>
    <row r="366" spans="1:27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1456</v>
      </c>
      <c r="E366" s="15" t="s">
        <v>26</v>
      </c>
      <c r="F366" s="15" t="s">
        <v>3296</v>
      </c>
      <c r="G366" s="15" t="s">
        <v>35</v>
      </c>
      <c r="H366" s="15" t="s">
        <v>26</v>
      </c>
      <c r="I366" s="16">
        <v>46274</v>
      </c>
      <c r="J366" s="15" t="s">
        <v>63</v>
      </c>
      <c r="K366" s="15" t="s">
        <v>28</v>
      </c>
      <c r="L366" s="15" t="s">
        <v>496</v>
      </c>
      <c r="M366" s="15" t="s">
        <v>1425</v>
      </c>
      <c r="N366" s="15" t="s">
        <v>29</v>
      </c>
      <c r="O366" s="15" t="s">
        <v>949</v>
      </c>
      <c r="P366" s="15" t="s">
        <v>30</v>
      </c>
      <c r="Q366" s="15" t="s">
        <v>31</v>
      </c>
      <c r="R366" s="15" t="s">
        <v>253</v>
      </c>
      <c r="S366" s="15" t="s">
        <v>32</v>
      </c>
      <c r="T366" s="15" t="s">
        <v>33</v>
      </c>
      <c r="U366" s="15" t="s">
        <v>495</v>
      </c>
      <c r="V366" s="16">
        <v>46274</v>
      </c>
      <c r="W366" s="16">
        <v>46263</v>
      </c>
      <c r="X366" s="15" t="s">
        <v>39</v>
      </c>
      <c r="Y366" s="16">
        <v>46263</v>
      </c>
      <c r="Z366" s="15" t="s">
        <v>39</v>
      </c>
      <c r="AA366" s="17" t="e">
        <f>VLOOKUP(F366,[2]Wait!$H$225:$I$260,2,0)</f>
        <v>#N/A</v>
      </c>
    </row>
    <row r="367" spans="1:27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1457</v>
      </c>
      <c r="E367" s="15" t="s">
        <v>26</v>
      </c>
      <c r="F367" s="15" t="s">
        <v>3297</v>
      </c>
      <c r="G367" s="15" t="s">
        <v>35</v>
      </c>
      <c r="H367" s="15" t="s">
        <v>74</v>
      </c>
      <c r="I367" s="16">
        <v>46278</v>
      </c>
      <c r="J367" s="15" t="s">
        <v>63</v>
      </c>
      <c r="K367" s="15" t="s">
        <v>28</v>
      </c>
      <c r="L367" s="15" t="s">
        <v>497</v>
      </c>
      <c r="M367" s="15" t="s">
        <v>1425</v>
      </c>
      <c r="N367" s="15" t="s">
        <v>29</v>
      </c>
      <c r="O367" s="15" t="s">
        <v>939</v>
      </c>
      <c r="P367" s="15" t="s">
        <v>41</v>
      </c>
      <c r="Q367" s="15" t="s">
        <v>42</v>
      </c>
      <c r="R367" s="15" t="s">
        <v>253</v>
      </c>
      <c r="S367" s="15" t="s">
        <v>32</v>
      </c>
      <c r="T367" s="15" t="s">
        <v>78</v>
      </c>
      <c r="U367" s="15" t="s">
        <v>498</v>
      </c>
      <c r="V367" s="16">
        <v>46278</v>
      </c>
      <c r="W367" s="16">
        <v>46261</v>
      </c>
      <c r="X367" s="15" t="s">
        <v>39</v>
      </c>
      <c r="Y367" s="16">
        <v>46261</v>
      </c>
      <c r="Z367" s="15" t="s">
        <v>39</v>
      </c>
      <c r="AA367" s="17" t="e">
        <f>VLOOKUP(F367,[2]Wait!$H$225:$I$260,2,0)</f>
        <v>#N/A</v>
      </c>
    </row>
    <row r="368" spans="1:27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1458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46277</v>
      </c>
      <c r="J368" s="15" t="s">
        <v>63</v>
      </c>
      <c r="K368" s="15" t="s">
        <v>28</v>
      </c>
      <c r="L368" s="15" t="s">
        <v>499</v>
      </c>
      <c r="M368" s="15" t="s">
        <v>1425</v>
      </c>
      <c r="N368" s="15" t="s">
        <v>29</v>
      </c>
      <c r="O368" s="15" t="s">
        <v>949</v>
      </c>
      <c r="P368" s="15" t="s">
        <v>30</v>
      </c>
      <c r="Q368" s="15" t="s">
        <v>31</v>
      </c>
      <c r="R368" s="15" t="s">
        <v>253</v>
      </c>
      <c r="S368" s="15" t="s">
        <v>32</v>
      </c>
      <c r="T368" s="15" t="s">
        <v>78</v>
      </c>
      <c r="U368" s="15" t="s">
        <v>500</v>
      </c>
      <c r="V368" s="16">
        <v>46277</v>
      </c>
      <c r="W368" s="16">
        <v>46263</v>
      </c>
      <c r="X368" s="15" t="s">
        <v>39</v>
      </c>
      <c r="Y368" s="16">
        <v>46263</v>
      </c>
      <c r="Z368" s="15" t="s">
        <v>39</v>
      </c>
      <c r="AA368" s="17" t="e">
        <f>VLOOKUP(F368,[2]Wait!$H$225:$I$260,2,0)</f>
        <v>#N/A</v>
      </c>
    </row>
    <row r="369" spans="1:27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1012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46272</v>
      </c>
      <c r="J369" s="15" t="s">
        <v>82</v>
      </c>
      <c r="K369" s="15" t="s">
        <v>28</v>
      </c>
      <c r="L369" s="15" t="s">
        <v>155</v>
      </c>
      <c r="M369" s="15" t="s">
        <v>1425</v>
      </c>
      <c r="N369" s="15" t="s">
        <v>29</v>
      </c>
      <c r="O369" s="15" t="s">
        <v>1013</v>
      </c>
      <c r="P369" s="15" t="s">
        <v>41</v>
      </c>
      <c r="Q369" s="15" t="s">
        <v>42</v>
      </c>
      <c r="R369" s="15" t="s">
        <v>126</v>
      </c>
      <c r="S369" s="15" t="s">
        <v>32</v>
      </c>
      <c r="T369" s="15" t="s">
        <v>55</v>
      </c>
      <c r="U369" s="15" t="s">
        <v>156</v>
      </c>
      <c r="V369" s="16">
        <v>46274</v>
      </c>
      <c r="W369" s="16">
        <v>46270</v>
      </c>
      <c r="X369" s="15" t="s">
        <v>39</v>
      </c>
      <c r="Y369" s="16">
        <v>46270</v>
      </c>
      <c r="Z369" s="15" t="s">
        <v>39</v>
      </c>
      <c r="AA369" s="17" t="e">
        <f>VLOOKUP(F369,[2]Wait!$H$225:$I$260,2,0)</f>
        <v>#N/A</v>
      </c>
    </row>
    <row r="370" spans="1:27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1459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46259</v>
      </c>
      <c r="J370" s="15" t="s">
        <v>52</v>
      </c>
      <c r="K370" s="15" t="s">
        <v>28</v>
      </c>
      <c r="L370" s="15" t="s">
        <v>219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220</v>
      </c>
      <c r="V370" s="16">
        <v>46259</v>
      </c>
      <c r="W370" s="16">
        <v>46269</v>
      </c>
      <c r="X370" s="15" t="s">
        <v>39</v>
      </c>
      <c r="Y370" s="16">
        <v>46269</v>
      </c>
      <c r="Z370" s="15" t="s">
        <v>39</v>
      </c>
      <c r="AA370" s="17" t="e">
        <f>VLOOKUP(F370,[2]Wait!$H$225:$I$260,2,0)</f>
        <v>#N/A</v>
      </c>
    </row>
    <row r="371" spans="1:27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1460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46258</v>
      </c>
      <c r="J371" s="15" t="s">
        <v>52</v>
      </c>
      <c r="K371" s="15" t="s">
        <v>28</v>
      </c>
      <c r="L371" s="15" t="s">
        <v>1461</v>
      </c>
      <c r="M371" s="15" t="s">
        <v>1425</v>
      </c>
      <c r="N371" s="15" t="s">
        <v>29</v>
      </c>
      <c r="O371" s="15" t="s">
        <v>955</v>
      </c>
      <c r="P371" s="15" t="s">
        <v>41</v>
      </c>
      <c r="Q371" s="15" t="s">
        <v>42</v>
      </c>
      <c r="R371" s="15" t="s">
        <v>54</v>
      </c>
      <c r="S371" s="15" t="s">
        <v>32</v>
      </c>
      <c r="T371" s="15" t="s">
        <v>55</v>
      </c>
      <c r="U371" s="15" t="s">
        <v>1462</v>
      </c>
      <c r="V371" s="16">
        <v>46256</v>
      </c>
      <c r="W371" s="16">
        <v>46269</v>
      </c>
      <c r="X371" s="15" t="s">
        <v>39</v>
      </c>
      <c r="Y371" s="16">
        <v>46269</v>
      </c>
      <c r="Z371" s="15" t="s">
        <v>39</v>
      </c>
      <c r="AA371" s="17" t="e">
        <f>VLOOKUP(F371,[2]Wait!$H$225:$I$260,2,0)</f>
        <v>#N/A</v>
      </c>
    </row>
    <row r="372" spans="1:27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1463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46259</v>
      </c>
      <c r="J372" s="15" t="s">
        <v>52</v>
      </c>
      <c r="K372" s="15" t="s">
        <v>28</v>
      </c>
      <c r="L372" s="15" t="s">
        <v>221</v>
      </c>
      <c r="M372" s="15" t="s">
        <v>1425</v>
      </c>
      <c r="N372" s="15" t="s">
        <v>29</v>
      </c>
      <c r="O372" s="15" t="s">
        <v>1013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222</v>
      </c>
      <c r="V372" s="16">
        <v>46259</v>
      </c>
      <c r="W372" s="16">
        <v>46270</v>
      </c>
      <c r="X372" s="15" t="s">
        <v>39</v>
      </c>
      <c r="Y372" s="16">
        <v>46270</v>
      </c>
      <c r="Z372" s="15" t="s">
        <v>39</v>
      </c>
      <c r="AA372" s="17" t="e">
        <f>VLOOKUP(F372,[2]Wait!$H$225:$I$260,2,0)</f>
        <v>#N/A</v>
      </c>
    </row>
    <row r="373" spans="1:27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1464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46258</v>
      </c>
      <c r="J373" s="15" t="s">
        <v>52</v>
      </c>
      <c r="K373" s="15" t="s">
        <v>28</v>
      </c>
      <c r="L373" s="15" t="s">
        <v>223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95</v>
      </c>
      <c r="S373" s="15" t="s">
        <v>32</v>
      </c>
      <c r="T373" s="15" t="s">
        <v>55</v>
      </c>
      <c r="U373" s="15" t="s">
        <v>224</v>
      </c>
      <c r="V373" s="16">
        <v>46253</v>
      </c>
      <c r="W373" s="16">
        <v>46269</v>
      </c>
      <c r="X373" s="15" t="s">
        <v>39</v>
      </c>
      <c r="Y373" s="16">
        <v>46269</v>
      </c>
      <c r="Z373" s="15" t="s">
        <v>39</v>
      </c>
      <c r="AA373" s="17" t="e">
        <f>VLOOKUP(F373,[2]Wait!$H$225:$I$260,2,0)</f>
        <v>#N/A</v>
      </c>
    </row>
    <row r="374" spans="1:27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1465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1466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1467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  <c r="AA374" s="17" t="e">
        <f>VLOOKUP(F374,[2]Wait!$H$225:$I$260,2,0)</f>
        <v>#N/A</v>
      </c>
    </row>
    <row r="375" spans="1:27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1468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1469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1470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  <c r="AA375" s="17" t="e">
        <f>VLOOKUP(F375,[2]Wait!$H$225:$I$260,2,0)</f>
        <v>#N/A</v>
      </c>
    </row>
    <row r="376" spans="1:27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1471</v>
      </c>
      <c r="E376" s="15" t="s">
        <v>26</v>
      </c>
      <c r="F376" s="15" t="s">
        <v>3306</v>
      </c>
      <c r="G376" s="15" t="s">
        <v>35</v>
      </c>
      <c r="H376" s="15" t="s">
        <v>26</v>
      </c>
      <c r="I376" s="16">
        <v>46259</v>
      </c>
      <c r="J376" s="15" t="s">
        <v>52</v>
      </c>
      <c r="K376" s="15" t="s">
        <v>28</v>
      </c>
      <c r="L376" s="15" t="s">
        <v>1472</v>
      </c>
      <c r="M376" s="15" t="s">
        <v>1425</v>
      </c>
      <c r="N376" s="15" t="s">
        <v>29</v>
      </c>
      <c r="O376" s="15" t="s">
        <v>955</v>
      </c>
      <c r="P376" s="15" t="s">
        <v>41</v>
      </c>
      <c r="Q376" s="15" t="s">
        <v>42</v>
      </c>
      <c r="R376" s="15" t="s">
        <v>54</v>
      </c>
      <c r="S376" s="15" t="s">
        <v>32</v>
      </c>
      <c r="T376" s="15" t="s">
        <v>55</v>
      </c>
      <c r="U376" s="15" t="s">
        <v>1473</v>
      </c>
      <c r="V376" s="16">
        <v>46259</v>
      </c>
      <c r="W376" s="16">
        <v>46269</v>
      </c>
      <c r="X376" s="15" t="s">
        <v>39</v>
      </c>
      <c r="Y376" s="16">
        <v>46269</v>
      </c>
      <c r="Z376" s="15" t="s">
        <v>39</v>
      </c>
      <c r="AA376" s="17" t="e">
        <f>VLOOKUP(F376,[2]Wait!$H$225:$I$260,2,0)</f>
        <v>#N/A</v>
      </c>
    </row>
    <row r="377" spans="1:27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1474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46277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604</v>
      </c>
      <c r="V377" s="16">
        <v>46277</v>
      </c>
      <c r="W377" s="16">
        <v>46261</v>
      </c>
      <c r="X377" s="15" t="s">
        <v>39</v>
      </c>
      <c r="Y377" s="16">
        <v>46261</v>
      </c>
      <c r="Z377" s="15" t="s">
        <v>39</v>
      </c>
      <c r="AA377" s="17" t="e">
        <f>VLOOKUP(F377,[2]Wait!$H$225:$I$260,2,0)</f>
        <v>#N/A</v>
      </c>
    </row>
    <row r="378" spans="1:27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2143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46289</v>
      </c>
      <c r="J378" s="15" t="s">
        <v>63</v>
      </c>
      <c r="K378" s="15" t="s">
        <v>28</v>
      </c>
      <c r="L378" s="15" t="s">
        <v>602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607</v>
      </c>
      <c r="V378" s="16">
        <v>46289</v>
      </c>
      <c r="W378" s="16">
        <v>46261</v>
      </c>
      <c r="X378" s="15" t="s">
        <v>39</v>
      </c>
      <c r="Y378" s="16">
        <v>46261</v>
      </c>
      <c r="Z378" s="15" t="s">
        <v>39</v>
      </c>
      <c r="AA378" s="17" t="e">
        <f>VLOOKUP(F378,[2]Wait!$H$225:$I$260,2,0)</f>
        <v>#N/A</v>
      </c>
    </row>
    <row r="379" spans="1:27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1475</v>
      </c>
      <c r="E379" s="15" t="s">
        <v>26</v>
      </c>
      <c r="F379" s="15" t="s">
        <v>3309</v>
      </c>
      <c r="G379" s="15" t="s">
        <v>35</v>
      </c>
      <c r="H379" s="15" t="s">
        <v>74</v>
      </c>
      <c r="I379" s="16">
        <v>46275</v>
      </c>
      <c r="J379" s="15" t="s">
        <v>63</v>
      </c>
      <c r="K379" s="15" t="s">
        <v>28</v>
      </c>
      <c r="L379" s="15" t="s">
        <v>605</v>
      </c>
      <c r="M379" s="15" t="s">
        <v>1425</v>
      </c>
      <c r="N379" s="15" t="s">
        <v>29</v>
      </c>
      <c r="O379" s="15" t="s">
        <v>939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78</v>
      </c>
      <c r="U379" s="15" t="s">
        <v>608</v>
      </c>
      <c r="V379" s="16">
        <v>46278</v>
      </c>
      <c r="W379" s="16">
        <v>46261</v>
      </c>
      <c r="X379" s="15" t="s">
        <v>39</v>
      </c>
      <c r="Y379" s="16">
        <v>46261</v>
      </c>
      <c r="Z379" s="15" t="s">
        <v>39</v>
      </c>
      <c r="AA379" s="17" t="e">
        <f>VLOOKUP(F379,[2]Wait!$H$225:$I$260,2,0)</f>
        <v>#N/A</v>
      </c>
    </row>
    <row r="380" spans="1:27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2150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46289</v>
      </c>
      <c r="J380" s="15" t="s">
        <v>63</v>
      </c>
      <c r="K380" s="15" t="s">
        <v>28</v>
      </c>
      <c r="L380" s="15" t="s">
        <v>2151</v>
      </c>
      <c r="M380" s="15" t="s">
        <v>1425</v>
      </c>
      <c r="N380" s="15" t="s">
        <v>29</v>
      </c>
      <c r="O380" s="15" t="s">
        <v>949</v>
      </c>
      <c r="P380" s="15" t="s">
        <v>41</v>
      </c>
      <c r="Q380" s="15" t="s">
        <v>42</v>
      </c>
      <c r="R380" s="15" t="s">
        <v>603</v>
      </c>
      <c r="S380" s="15" t="s">
        <v>32</v>
      </c>
      <c r="T380" s="15" t="s">
        <v>66</v>
      </c>
      <c r="U380" s="15" t="s">
        <v>2149</v>
      </c>
      <c r="V380" s="16">
        <v>46289</v>
      </c>
      <c r="W380" s="16">
        <v>46263</v>
      </c>
      <c r="X380" s="15" t="s">
        <v>39</v>
      </c>
      <c r="Y380" s="16">
        <v>46263</v>
      </c>
      <c r="Z380" s="15" t="s">
        <v>39</v>
      </c>
      <c r="AA380" s="17" t="e">
        <f>VLOOKUP(F380,[2]Wait!$H$225:$I$260,2,0)</f>
        <v>#N/A</v>
      </c>
    </row>
    <row r="381" spans="1:27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1476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36</v>
      </c>
      <c r="K381" s="15" t="s">
        <v>28</v>
      </c>
      <c r="L381" s="15" t="s">
        <v>1477</v>
      </c>
      <c r="M381" s="15" t="s">
        <v>1425</v>
      </c>
      <c r="N381" s="15" t="s">
        <v>29</v>
      </c>
      <c r="O381" s="15" t="s">
        <v>946</v>
      </c>
      <c r="P381" s="15" t="s">
        <v>41</v>
      </c>
      <c r="Q381" s="15" t="s">
        <v>42</v>
      </c>
      <c r="R381" s="15" t="s">
        <v>69</v>
      </c>
      <c r="S381" s="15" t="s">
        <v>32</v>
      </c>
      <c r="T381" s="15" t="s">
        <v>33</v>
      </c>
      <c r="U381" s="15" t="s">
        <v>1478</v>
      </c>
      <c r="V381" s="16">
        <v>46273</v>
      </c>
      <c r="W381" s="16">
        <v>46259</v>
      </c>
      <c r="X381" s="15" t="s">
        <v>39</v>
      </c>
      <c r="Y381" s="16">
        <v>46259</v>
      </c>
      <c r="Z381" s="15" t="s">
        <v>39</v>
      </c>
      <c r="AA381" s="17" t="e">
        <f>VLOOKUP(F381,[2]Wait!$H$225:$I$260,2,0)</f>
        <v>#N/A</v>
      </c>
    </row>
    <row r="382" spans="1:27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1312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46273</v>
      </c>
      <c r="J382" s="15" t="s">
        <v>188</v>
      </c>
      <c r="K382" s="15" t="s">
        <v>28</v>
      </c>
      <c r="L382" s="15" t="s">
        <v>1313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95</v>
      </c>
      <c r="S382" s="15" t="s">
        <v>32</v>
      </c>
      <c r="T382" s="15" t="s">
        <v>33</v>
      </c>
      <c r="U382" s="15" t="s">
        <v>1314</v>
      </c>
      <c r="V382" s="16">
        <v>46268</v>
      </c>
      <c r="W382" s="16">
        <v>46261</v>
      </c>
      <c r="X382" s="15" t="s">
        <v>39</v>
      </c>
      <c r="Y382" s="16">
        <v>46261</v>
      </c>
      <c r="Z382" s="15" t="s">
        <v>39</v>
      </c>
      <c r="AA382" s="17" t="e">
        <f>VLOOKUP(F382,[2]Wait!$H$225:$I$260,2,0)</f>
        <v>#N/A</v>
      </c>
    </row>
    <row r="383" spans="1:27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1318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46274</v>
      </c>
      <c r="J383" s="15" t="s">
        <v>188</v>
      </c>
      <c r="K383" s="15" t="s">
        <v>28</v>
      </c>
      <c r="L383" s="15" t="s">
        <v>1319</v>
      </c>
      <c r="M383" s="15" t="s">
        <v>1425</v>
      </c>
      <c r="N383" s="15" t="s">
        <v>29</v>
      </c>
      <c r="O383" s="15" t="s">
        <v>939</v>
      </c>
      <c r="P383" s="15" t="s">
        <v>41</v>
      </c>
      <c r="Q383" s="15" t="s">
        <v>42</v>
      </c>
      <c r="R383" s="15" t="s">
        <v>65</v>
      </c>
      <c r="S383" s="15" t="s">
        <v>32</v>
      </c>
      <c r="T383" s="15" t="s">
        <v>33</v>
      </c>
      <c r="U383" s="15" t="s">
        <v>1317</v>
      </c>
      <c r="V383" s="16">
        <v>46274</v>
      </c>
      <c r="W383" s="16">
        <v>46261</v>
      </c>
      <c r="X383" s="15" t="s">
        <v>39</v>
      </c>
      <c r="Y383" s="16">
        <v>46261</v>
      </c>
      <c r="Z383" s="15" t="s">
        <v>39</v>
      </c>
      <c r="AA383" s="17" t="e">
        <f>VLOOKUP(F383,[2]Wait!$H$225:$I$260,2,0)</f>
        <v>#N/A</v>
      </c>
    </row>
    <row r="384" spans="1:27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1484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667</v>
      </c>
      <c r="M384" s="15" t="s">
        <v>1425</v>
      </c>
      <c r="N384" s="15" t="s">
        <v>29</v>
      </c>
      <c r="O384" s="15" t="s">
        <v>949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668</v>
      </c>
      <c r="V384" s="16">
        <v>46278</v>
      </c>
      <c r="W384" s="16">
        <v>46263</v>
      </c>
      <c r="X384" s="15" t="s">
        <v>39</v>
      </c>
      <c r="Y384" s="16">
        <v>46263</v>
      </c>
      <c r="Z384" s="15" t="s">
        <v>39</v>
      </c>
      <c r="AA384" s="17" t="e">
        <f>VLOOKUP(F384,[2]Wait!$H$225:$I$260,2,0)</f>
        <v>#N/A</v>
      </c>
    </row>
    <row r="385" spans="1:27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1485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669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670</v>
      </c>
      <c r="V385" s="16">
        <v>46277</v>
      </c>
      <c r="W385" s="16">
        <v>46261</v>
      </c>
      <c r="X385" s="15" t="s">
        <v>39</v>
      </c>
      <c r="Y385" s="16">
        <v>46261</v>
      </c>
      <c r="Z385" s="15" t="s">
        <v>39</v>
      </c>
      <c r="AA385" s="17" t="e">
        <f>VLOOKUP(F385,[2]Wait!$H$225:$I$260,2,0)</f>
        <v>#N/A</v>
      </c>
    </row>
    <row r="386" spans="1:27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1486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671</v>
      </c>
      <c r="M386" s="15" t="s">
        <v>1425</v>
      </c>
      <c r="N386" s="15" t="s">
        <v>29</v>
      </c>
      <c r="O386" s="15" t="s">
        <v>939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66</v>
      </c>
      <c r="U386" s="15" t="s">
        <v>672</v>
      </c>
      <c r="V386" s="16">
        <v>46278</v>
      </c>
      <c r="W386" s="16">
        <v>46261</v>
      </c>
      <c r="X386" s="15" t="s">
        <v>39</v>
      </c>
      <c r="Y386" s="16">
        <v>46261</v>
      </c>
      <c r="Z386" s="15" t="s">
        <v>39</v>
      </c>
      <c r="AA386" s="17" t="e">
        <f>VLOOKUP(F386,[2]Wait!$H$225:$I$260,2,0)</f>
        <v>#N/A</v>
      </c>
    </row>
    <row r="387" spans="1:27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1487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46278</v>
      </c>
      <c r="J387" s="15" t="s">
        <v>63</v>
      </c>
      <c r="K387" s="15" t="s">
        <v>28</v>
      </c>
      <c r="L387" s="15" t="s">
        <v>675</v>
      </c>
      <c r="M387" s="15" t="s">
        <v>1425</v>
      </c>
      <c r="N387" s="15" t="s">
        <v>29</v>
      </c>
      <c r="O387" s="15" t="s">
        <v>949</v>
      </c>
      <c r="P387" s="15" t="s">
        <v>41</v>
      </c>
      <c r="Q387" s="15" t="s">
        <v>42</v>
      </c>
      <c r="R387" s="15" t="s">
        <v>253</v>
      </c>
      <c r="S387" s="15" t="s">
        <v>32</v>
      </c>
      <c r="T387" s="15" t="s">
        <v>70</v>
      </c>
      <c r="U387" s="15" t="s">
        <v>676</v>
      </c>
      <c r="V387" s="16">
        <v>46278</v>
      </c>
      <c r="W387" s="16">
        <v>46263</v>
      </c>
      <c r="X387" s="15" t="s">
        <v>39</v>
      </c>
      <c r="Y387" s="16">
        <v>46263</v>
      </c>
      <c r="Z387" s="15" t="s">
        <v>39</v>
      </c>
      <c r="AA387" s="17" t="e">
        <f>VLOOKUP(F387,[2]Wait!$H$225:$I$260,2,0)</f>
        <v>#N/A</v>
      </c>
    </row>
    <row r="388" spans="1:27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1488</v>
      </c>
      <c r="E388" s="15" t="s">
        <v>26</v>
      </c>
      <c r="F388" s="15" t="s">
        <v>3318</v>
      </c>
      <c r="G388" s="15" t="s">
        <v>35</v>
      </c>
      <c r="H388" s="15" t="s">
        <v>26</v>
      </c>
      <c r="I388" s="16">
        <v>46274</v>
      </c>
      <c r="J388" s="15" t="s">
        <v>110</v>
      </c>
      <c r="K388" s="15" t="s">
        <v>28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  <c r="AA388" s="17" t="e">
        <f>VLOOKUP(F388,[2]Wait!$H$225:$I$260,2,0)</f>
        <v>#N/A</v>
      </c>
    </row>
    <row r="389" spans="1:27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1491</v>
      </c>
      <c r="E389" s="15" t="s">
        <v>26</v>
      </c>
      <c r="F389" s="15" t="s">
        <v>3318</v>
      </c>
      <c r="G389" s="15" t="s">
        <v>35</v>
      </c>
      <c r="H389" s="15" t="s">
        <v>26</v>
      </c>
      <c r="I389" s="16">
        <v>46274</v>
      </c>
      <c r="J389" s="15" t="s">
        <v>27</v>
      </c>
      <c r="K389" s="15" t="s">
        <v>58</v>
      </c>
      <c r="L389" s="15" t="s">
        <v>1489</v>
      </c>
      <c r="M389" s="15" t="s">
        <v>1425</v>
      </c>
      <c r="N389" s="15" t="s">
        <v>29</v>
      </c>
      <c r="O389" s="15" t="s">
        <v>949</v>
      </c>
      <c r="P389" s="15" t="s">
        <v>30</v>
      </c>
      <c r="Q389" s="15" t="s">
        <v>31</v>
      </c>
      <c r="R389" s="15" t="s">
        <v>121</v>
      </c>
      <c r="S389" s="15" t="s">
        <v>32</v>
      </c>
      <c r="T389" s="15" t="s">
        <v>136</v>
      </c>
      <c r="U389" s="15" t="s">
        <v>1490</v>
      </c>
      <c r="V389" s="16">
        <v>46274</v>
      </c>
      <c r="W389" s="16">
        <v>46263</v>
      </c>
      <c r="X389" s="15" t="s">
        <v>39</v>
      </c>
      <c r="Y389" s="16">
        <v>46263</v>
      </c>
      <c r="Z389" s="15" t="s">
        <v>39</v>
      </c>
      <c r="AA389" s="17" t="e">
        <f>VLOOKUP(F389,[2]Wait!$H$225:$I$260,2,0)</f>
        <v>#N/A</v>
      </c>
    </row>
    <row r="390" spans="1:27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1492</v>
      </c>
      <c r="E390" s="15" t="s">
        <v>1493</v>
      </c>
      <c r="F390" s="15" t="s">
        <v>3319</v>
      </c>
      <c r="G390" s="15" t="s">
        <v>25</v>
      </c>
      <c r="H390" s="15" t="s">
        <v>26</v>
      </c>
      <c r="I390" s="16">
        <v>46280</v>
      </c>
      <c r="J390" s="15" t="s">
        <v>36</v>
      </c>
      <c r="K390" s="15" t="s">
        <v>28</v>
      </c>
      <c r="L390" s="15" t="s">
        <v>1494</v>
      </c>
      <c r="M390" s="15" t="s">
        <v>1425</v>
      </c>
      <c r="N390" s="15" t="s">
        <v>29</v>
      </c>
      <c r="O390" s="15" t="s">
        <v>1044</v>
      </c>
      <c r="P390" s="15" t="s">
        <v>30</v>
      </c>
      <c r="Q390" s="15" t="s">
        <v>31</v>
      </c>
      <c r="R390" s="15" t="s">
        <v>26</v>
      </c>
      <c r="S390" s="15" t="s">
        <v>32</v>
      </c>
      <c r="T390" s="15" t="s">
        <v>530</v>
      </c>
      <c r="U390" s="15" t="s">
        <v>1495</v>
      </c>
      <c r="V390" s="16">
        <v>46278</v>
      </c>
      <c r="W390" s="16">
        <v>46258</v>
      </c>
      <c r="X390" s="15" t="s">
        <v>34</v>
      </c>
      <c r="Y390" s="16">
        <v>46274</v>
      </c>
      <c r="Z390" s="15" t="s">
        <v>57</v>
      </c>
      <c r="AA390" s="17" t="e">
        <f>VLOOKUP(F390,[2]Wait!$H$225:$I$260,2,0)</f>
        <v>#N/A</v>
      </c>
    </row>
    <row r="391" spans="1:27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1045</v>
      </c>
      <c r="E391" s="15" t="s">
        <v>1046</v>
      </c>
      <c r="F391" s="15" t="s">
        <v>1046</v>
      </c>
      <c r="G391" s="15" t="s">
        <v>194</v>
      </c>
      <c r="H391" s="15" t="s">
        <v>26</v>
      </c>
      <c r="I391" s="16">
        <v>46273</v>
      </c>
      <c r="J391" s="15" t="s">
        <v>683</v>
      </c>
      <c r="K391" s="15" t="s">
        <v>28</v>
      </c>
      <c r="L391" s="15" t="s">
        <v>1047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46272</v>
      </c>
      <c r="W391" s="16">
        <v>46258</v>
      </c>
      <c r="X391" s="15" t="s">
        <v>34</v>
      </c>
      <c r="Y391" s="16">
        <v>46274</v>
      </c>
      <c r="Z391" s="15" t="s">
        <v>57</v>
      </c>
      <c r="AA391" s="17" t="e">
        <f>VLOOKUP(F391,[2]Wait!$H$225:$I$260,2,0)</f>
        <v>#N/A</v>
      </c>
    </row>
    <row r="392" spans="1:27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1614</v>
      </c>
      <c r="E392" s="15" t="s">
        <v>1615</v>
      </c>
      <c r="F392" s="15" t="s">
        <v>1615</v>
      </c>
      <c r="G392" s="15" t="s">
        <v>194</v>
      </c>
      <c r="H392" s="15" t="s">
        <v>26</v>
      </c>
      <c r="I392" s="16">
        <v>46280</v>
      </c>
      <c r="J392" s="15" t="s">
        <v>683</v>
      </c>
      <c r="K392" s="15" t="s">
        <v>28</v>
      </c>
      <c r="L392" s="15" t="s">
        <v>1616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46269</v>
      </c>
      <c r="W392" s="16">
        <v>46258</v>
      </c>
      <c r="X392" s="15" t="s">
        <v>34</v>
      </c>
      <c r="Y392" s="16">
        <v>46274</v>
      </c>
      <c r="Z392" s="15" t="s">
        <v>57</v>
      </c>
      <c r="AA392" s="17" t="e">
        <f>VLOOKUP(F392,[2]Wait!$H$225:$I$260,2,0)</f>
        <v>#N/A</v>
      </c>
    </row>
    <row r="393" spans="1:27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2855</v>
      </c>
      <c r="E393" s="15" t="s">
        <v>2856</v>
      </c>
      <c r="F393" s="15" t="s">
        <v>2856</v>
      </c>
      <c r="G393" s="15" t="s">
        <v>194</v>
      </c>
      <c r="H393" s="15" t="s">
        <v>26</v>
      </c>
      <c r="I393" s="16">
        <v>46280</v>
      </c>
      <c r="J393" s="15" t="s">
        <v>225</v>
      </c>
      <c r="K393" s="15" t="s">
        <v>28</v>
      </c>
      <c r="L393" s="15" t="s">
        <v>2857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32</v>
      </c>
      <c r="T393" s="15" t="s">
        <v>195</v>
      </c>
      <c r="U393" s="15" t="s">
        <v>26</v>
      </c>
      <c r="V393" s="16">
        <v>46261</v>
      </c>
      <c r="W393" s="16">
        <v>46258</v>
      </c>
      <c r="X393" s="15" t="s">
        <v>34</v>
      </c>
      <c r="Y393" s="16">
        <v>46274</v>
      </c>
      <c r="Z393" s="15" t="s">
        <v>57</v>
      </c>
      <c r="AA393" s="17" t="e">
        <f>VLOOKUP(F393,[2]Wait!$H$225:$I$260,2,0)</f>
        <v>#N/A</v>
      </c>
    </row>
    <row r="394" spans="1:27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1496</v>
      </c>
      <c r="E394" s="15" t="s">
        <v>1497</v>
      </c>
      <c r="F394" s="15" t="s">
        <v>1497</v>
      </c>
      <c r="G394" s="15" t="s">
        <v>194</v>
      </c>
      <c r="H394" s="15" t="s">
        <v>26</v>
      </c>
      <c r="I394" s="16">
        <v>46269</v>
      </c>
      <c r="J394" s="15" t="s">
        <v>27</v>
      </c>
      <c r="K394" s="15" t="s">
        <v>28</v>
      </c>
      <c r="L394" s="15" t="s">
        <v>1498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27</v>
      </c>
      <c r="T394" s="15" t="s">
        <v>195</v>
      </c>
      <c r="U394" s="15" t="s">
        <v>26</v>
      </c>
      <c r="V394" s="16">
        <v>46269</v>
      </c>
      <c r="W394" s="16">
        <v>46269</v>
      </c>
      <c r="X394" s="15" t="s">
        <v>1134</v>
      </c>
      <c r="Y394" s="16">
        <v>46273</v>
      </c>
      <c r="Z394" s="15" t="s">
        <v>226</v>
      </c>
      <c r="AA394" s="17" t="e">
        <f>VLOOKUP(F394,[2]Wait!$H$225:$I$260,2,0)</f>
        <v>#N/A</v>
      </c>
    </row>
    <row r="395" spans="1:27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1499</v>
      </c>
      <c r="E395" s="15" t="s">
        <v>1500</v>
      </c>
      <c r="F395" s="15" t="s">
        <v>1500</v>
      </c>
      <c r="G395" s="15" t="s">
        <v>194</v>
      </c>
      <c r="H395" s="15" t="s">
        <v>26</v>
      </c>
      <c r="I395" s="16">
        <v>46280</v>
      </c>
      <c r="J395" s="15" t="s">
        <v>196</v>
      </c>
      <c r="K395" s="15" t="s">
        <v>28</v>
      </c>
      <c r="L395" s="15" t="s">
        <v>1501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46274</v>
      </c>
      <c r="W395" s="16">
        <v>46272</v>
      </c>
      <c r="X395" s="15" t="s">
        <v>1502</v>
      </c>
      <c r="Y395" s="16">
        <v>46273</v>
      </c>
      <c r="Z395" s="15" t="s">
        <v>226</v>
      </c>
      <c r="AA395" s="17" t="e">
        <f>VLOOKUP(F395,[2]Wait!$H$225:$I$260,2,0)</f>
        <v>#N/A</v>
      </c>
    </row>
    <row r="396" spans="1:27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1055</v>
      </c>
      <c r="E396" s="15" t="s">
        <v>1056</v>
      </c>
      <c r="F396" s="15" t="s">
        <v>1056</v>
      </c>
      <c r="G396" s="15" t="s">
        <v>194</v>
      </c>
      <c r="H396" s="15" t="s">
        <v>26</v>
      </c>
      <c r="I396" s="16">
        <v>46280</v>
      </c>
      <c r="J396" s="15" t="s">
        <v>683</v>
      </c>
      <c r="K396" s="15" t="s">
        <v>28</v>
      </c>
      <c r="L396" s="15" t="s">
        <v>916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46276</v>
      </c>
      <c r="W396" s="16">
        <v>46272</v>
      </c>
      <c r="X396" s="15" t="s">
        <v>1057</v>
      </c>
      <c r="Y396" s="16">
        <v>46272</v>
      </c>
      <c r="Z396" s="15" t="s">
        <v>226</v>
      </c>
      <c r="AA396" s="17" t="e">
        <f>VLOOKUP(F396,[2]Wait!$H$225:$I$260,2,0)</f>
        <v>#N/A</v>
      </c>
    </row>
    <row r="397" spans="1:27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1503</v>
      </c>
      <c r="E397" s="15" t="s">
        <v>1504</v>
      </c>
      <c r="F397" s="15" t="s">
        <v>1504</v>
      </c>
      <c r="G397" s="15" t="s">
        <v>194</v>
      </c>
      <c r="H397" s="15" t="s">
        <v>26</v>
      </c>
      <c r="I397" s="16">
        <v>46280</v>
      </c>
      <c r="J397" s="15" t="s">
        <v>196</v>
      </c>
      <c r="K397" s="15" t="s">
        <v>28</v>
      </c>
      <c r="L397" s="15" t="s">
        <v>1505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32</v>
      </c>
      <c r="T397" s="15" t="s">
        <v>195</v>
      </c>
      <c r="U397" s="15" t="s">
        <v>26</v>
      </c>
      <c r="V397" s="16">
        <v>46274</v>
      </c>
      <c r="W397" s="16">
        <v>46273</v>
      </c>
      <c r="X397" s="15" t="s">
        <v>1506</v>
      </c>
      <c r="Y397" s="16">
        <v>46273</v>
      </c>
      <c r="Z397" s="15" t="s">
        <v>226</v>
      </c>
      <c r="AA397" s="17" t="e">
        <f>VLOOKUP(F397,[2]Wait!$H$225:$I$260,2,0)</f>
        <v>#N/A</v>
      </c>
    </row>
    <row r="398" spans="1:27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1627</v>
      </c>
      <c r="E398" s="15" t="s">
        <v>1628</v>
      </c>
      <c r="F398" s="15" t="s">
        <v>1628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1629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46280</v>
      </c>
      <c r="W398" s="16">
        <v>46258</v>
      </c>
      <c r="X398" s="15" t="s">
        <v>34</v>
      </c>
      <c r="Y398" s="16">
        <v>46274</v>
      </c>
      <c r="Z398" s="15" t="s">
        <v>57</v>
      </c>
      <c r="AA398" s="17" t="e">
        <f>VLOOKUP(F398,[2]Wait!$H$225:$I$260,2,0)</f>
        <v>#N/A</v>
      </c>
    </row>
    <row r="399" spans="1:27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1630</v>
      </c>
      <c r="E399" s="15" t="s">
        <v>1631</v>
      </c>
      <c r="F399" s="15" t="s">
        <v>1631</v>
      </c>
      <c r="G399" s="15" t="s">
        <v>194</v>
      </c>
      <c r="H399" s="15" t="s">
        <v>26</v>
      </c>
      <c r="I399" s="16">
        <v>46280</v>
      </c>
      <c r="J399" s="15" t="s">
        <v>683</v>
      </c>
      <c r="K399" s="15" t="s">
        <v>28</v>
      </c>
      <c r="L399" s="15" t="s">
        <v>1632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63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  <c r="AA399" s="17" t="e">
        <f>VLOOKUP(F399,[2]Wait!$H$225:$I$260,2,0)</f>
        <v>#N/A</v>
      </c>
    </row>
    <row r="400" spans="1:27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3320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  <c r="AA400" s="17" t="e">
        <f>VLOOKUP(F400,[2]Wait!$H$225:$I$260,2,0)</f>
        <v>#N/A</v>
      </c>
    </row>
    <row r="401" spans="1:27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3320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  <c r="AA401" s="17" t="e">
        <f>VLOOKUP(F401,[2]Wait!$H$225:$I$260,2,0)</f>
        <v>#N/A</v>
      </c>
    </row>
    <row r="402" spans="1:27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3321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  <c r="AA402" s="17" t="e">
        <f>VLOOKUP(F402,[2]Wait!$H$225:$I$260,2,0)</f>
        <v>#N/A</v>
      </c>
    </row>
    <row r="403" spans="1:27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3321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  <c r="AA403" s="17" t="e">
        <f>VLOOKUP(F403,[2]Wait!$H$225:$I$260,2,0)</f>
        <v>#N/A</v>
      </c>
    </row>
    <row r="404" spans="1:27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3322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  <c r="AA404" s="17" t="e">
        <f>VLOOKUP(F404,[2]Wait!$H$225:$I$260,2,0)</f>
        <v>#N/A</v>
      </c>
    </row>
    <row r="405" spans="1:27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3322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  <c r="AA405" s="17" t="e">
        <f>VLOOKUP(F405,[2]Wait!$H$225:$I$260,2,0)</f>
        <v>#N/A</v>
      </c>
    </row>
    <row r="406" spans="1:27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3323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  <c r="AA406" s="17" t="e">
        <f>VLOOKUP(F406,[2]Wait!$H$225:$I$260,2,0)</f>
        <v>#N/A</v>
      </c>
    </row>
    <row r="407" spans="1:27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3323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  <c r="AA407" s="17" t="e">
        <f>VLOOKUP(F407,[2]Wait!$H$225:$I$260,2,0)</f>
        <v>#N/A</v>
      </c>
    </row>
    <row r="408" spans="1:27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3324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  <c r="AA408" s="17" t="e">
        <f>VLOOKUP(F408,[2]Wait!$H$225:$I$260,2,0)</f>
        <v>#N/A</v>
      </c>
    </row>
    <row r="409" spans="1:27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3325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  <c r="AA409" s="17" t="e">
        <f>VLOOKUP(F409,[2]Wait!$H$225:$I$260,2,0)</f>
        <v>#N/A</v>
      </c>
    </row>
    <row r="410" spans="1:27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3326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  <c r="AA410" s="17" t="e">
        <f>VLOOKUP(F410,[2]Wait!$H$225:$I$260,2,0)</f>
        <v>#N/A</v>
      </c>
    </row>
    <row r="411" spans="1:27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3327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  <c r="AA411" s="17" t="e">
        <f>VLOOKUP(F411,[2]Wait!$H$225:$I$260,2,0)</f>
        <v>#N/A</v>
      </c>
    </row>
    <row r="412" spans="1:27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3328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  <c r="AA412" s="17" t="e">
        <f>VLOOKUP(F412,[2]Wait!$H$225:$I$260,2,0)</f>
        <v>#N/A</v>
      </c>
    </row>
    <row r="413" spans="1:27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3329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  <c r="AA413" s="17" t="e">
        <f>VLOOKUP(F413,[2]Wait!$H$225:$I$260,2,0)</f>
        <v>#N/A</v>
      </c>
    </row>
    <row r="414" spans="1:27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3330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  <c r="AA414" s="17" t="e">
        <f>VLOOKUP(F414,[2]Wait!$H$225:$I$260,2,0)</f>
        <v>#N/A</v>
      </c>
    </row>
    <row r="415" spans="1:27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3331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  <c r="AA415" s="17" t="e">
        <f>VLOOKUP(F415,[2]Wait!$H$225:$I$260,2,0)</f>
        <v>#N/A</v>
      </c>
    </row>
    <row r="416" spans="1:27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3332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  <c r="AA416" s="17" t="e">
        <f>VLOOKUP(F416,[2]Wait!$H$225:$I$260,2,0)</f>
        <v>#N/A</v>
      </c>
    </row>
    <row r="417" spans="1:27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3333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  <c r="AA417" s="17" t="e">
        <f>VLOOKUP(F417,[2]Wait!$H$225:$I$260,2,0)</f>
        <v>#N/A</v>
      </c>
    </row>
    <row r="418" spans="1:27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3334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  <c r="AA418" s="17" t="e">
        <f>VLOOKUP(F418,[2]Wait!$H$225:$I$260,2,0)</f>
        <v>#N/A</v>
      </c>
    </row>
    <row r="419" spans="1:27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3335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  <c r="AA419" s="17" t="e">
        <f>VLOOKUP(F419,[2]Wait!$H$225:$I$260,2,0)</f>
        <v>#N/A</v>
      </c>
    </row>
    <row r="420" spans="1:27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3336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  <c r="AA420" s="17" t="e">
        <f>VLOOKUP(F420,[2]Wait!$H$225:$I$260,2,0)</f>
        <v>#N/A</v>
      </c>
    </row>
    <row r="421" spans="1:27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3337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  <c r="AA421" s="17" t="e">
        <f>VLOOKUP(F421,[2]Wait!$H$225:$I$260,2,0)</f>
        <v>#N/A</v>
      </c>
    </row>
    <row r="422" spans="1:27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3338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  <c r="AA422" s="17" t="e">
        <f>VLOOKUP(F422,[2]Wait!$H$225:$I$260,2,0)</f>
        <v>#N/A</v>
      </c>
    </row>
    <row r="423" spans="1:27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3339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  <c r="AA423" s="17" t="e">
        <f>VLOOKUP(F423,[2]Wait!$H$225:$I$260,2,0)</f>
        <v>#N/A</v>
      </c>
    </row>
    <row r="424" spans="1:27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3340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  <c r="AA424" s="17" t="e">
        <f>VLOOKUP(F424,[2]Wait!$H$225:$I$260,2,0)</f>
        <v>#N/A</v>
      </c>
    </row>
    <row r="425" spans="1:27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3340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  <c r="AA425" s="17" t="e">
        <f>VLOOKUP(F425,[2]Wait!$H$225:$I$260,2,0)</f>
        <v>#N/A</v>
      </c>
    </row>
    <row r="426" spans="1:27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3340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  <c r="AA426" s="17" t="e">
        <f>VLOOKUP(F426,[2]Wait!$H$225:$I$260,2,0)</f>
        <v>#N/A</v>
      </c>
    </row>
    <row r="427" spans="1:27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3341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  <c r="AA427" s="17" t="e">
        <f>VLOOKUP(F427,[2]Wait!$H$225:$I$260,2,0)</f>
        <v>#N/A</v>
      </c>
    </row>
    <row r="428" spans="1:27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3342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  <c r="AA428" s="17" t="e">
        <f>VLOOKUP(F428,[2]Wait!$H$225:$I$260,2,0)</f>
        <v>#N/A</v>
      </c>
    </row>
    <row r="429" spans="1:27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3343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  <c r="AA429" s="17" t="e">
        <f>VLOOKUP(F429,[2]Wait!$H$225:$I$260,2,0)</f>
        <v>#N/A</v>
      </c>
    </row>
    <row r="430" spans="1:27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3344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  <c r="AA430" s="17" t="e">
        <f>VLOOKUP(F430,[2]Wait!$H$225:$I$260,2,0)</f>
        <v>#N/A</v>
      </c>
    </row>
    <row r="431" spans="1:27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3345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  <c r="AA431" s="17" t="e">
        <f>VLOOKUP(F431,[2]Wait!$H$225:$I$260,2,0)</f>
        <v>#N/A</v>
      </c>
    </row>
    <row r="432" spans="1:27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3346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  <c r="AA432" s="17" t="e">
        <f>VLOOKUP(F432,[2]Wait!$H$225:$I$260,2,0)</f>
        <v>#N/A</v>
      </c>
    </row>
    <row r="433" spans="1:27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3347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  <c r="AA433" s="17" t="e">
        <f>VLOOKUP(F433,[2]Wait!$H$225:$I$260,2,0)</f>
        <v>#N/A</v>
      </c>
    </row>
    <row r="434" spans="1:27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3348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  <c r="AA434" s="17" t="e">
        <f>VLOOKUP(F434,[2]Wait!$H$225:$I$260,2,0)</f>
        <v>#N/A</v>
      </c>
    </row>
    <row r="435" spans="1:27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3349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  <c r="AA435" s="17" t="e">
        <f>VLOOKUP(F435,[2]Wait!$H$225:$I$260,2,0)</f>
        <v>#N/A</v>
      </c>
    </row>
    <row r="436" spans="1:27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3350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  <c r="AA436" s="17" t="e">
        <f>VLOOKUP(F436,[2]Wait!$H$225:$I$260,2,0)</f>
        <v>#N/A</v>
      </c>
    </row>
    <row r="437" spans="1:27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3350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  <c r="AA437" s="17" t="e">
        <f>VLOOKUP(F437,[2]Wait!$H$225:$I$260,2,0)</f>
        <v>#N/A</v>
      </c>
    </row>
    <row r="438" spans="1:27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  <c r="AA438" s="17" t="e">
        <f>VLOOKUP(F438,[2]Wait!$H$225:$I$260,2,0)</f>
        <v>#N/A</v>
      </c>
    </row>
    <row r="439" spans="1:27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3351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  <c r="AA439" s="17" t="e">
        <f>VLOOKUP(F439,[2]Wait!$H$225:$I$260,2,0)</f>
        <v>#N/A</v>
      </c>
    </row>
    <row r="440" spans="1:27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  <c r="AA440" s="17" t="e">
        <f>VLOOKUP(F440,[2]Wait!$H$225:$I$260,2,0)</f>
        <v>#N/A</v>
      </c>
    </row>
    <row r="441" spans="1:27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3352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  <c r="AA441" s="17" t="e">
        <f>VLOOKUP(F441,[2]Wait!$H$225:$I$260,2,0)</f>
        <v>#N/A</v>
      </c>
    </row>
    <row r="442" spans="1:27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3353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  <c r="AA442" s="17" t="e">
        <f>VLOOKUP(F442,[2]Wait!$H$225:$I$260,2,0)</f>
        <v>#N/A</v>
      </c>
    </row>
    <row r="443" spans="1:27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3354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  <c r="AA443" s="17" t="e">
        <f>VLOOKUP(F443,[2]Wait!$H$225:$I$260,2,0)</f>
        <v>#N/A</v>
      </c>
    </row>
    <row r="444" spans="1:27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3355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  <c r="AA444" s="17" t="e">
        <f>VLOOKUP(F444,[2]Wait!$H$225:$I$260,2,0)</f>
        <v>#N/A</v>
      </c>
    </row>
    <row r="445" spans="1:27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3356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  <c r="AA445" s="17" t="e">
        <f>VLOOKUP(F445,[2]Wait!$H$225:$I$260,2,0)</f>
        <v>#N/A</v>
      </c>
    </row>
    <row r="446" spans="1:27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3357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  <c r="AA446" s="17" t="e">
        <f>VLOOKUP(F446,[2]Wait!$H$225:$I$260,2,0)</f>
        <v>#N/A</v>
      </c>
    </row>
    <row r="447" spans="1:27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3358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  <c r="AA447" s="17" t="e">
        <f>VLOOKUP(F447,[2]Wait!$H$225:$I$260,2,0)</f>
        <v>#N/A</v>
      </c>
    </row>
    <row r="448" spans="1:27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3358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  <c r="AA448" s="17" t="e">
        <f>VLOOKUP(F448,[2]Wait!$H$225:$I$260,2,0)</f>
        <v>#N/A</v>
      </c>
    </row>
    <row r="449" spans="1:27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3358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  <c r="AA449" s="17" t="e">
        <f>VLOOKUP(F449,[2]Wait!$H$225:$I$260,2,0)</f>
        <v>#N/A</v>
      </c>
    </row>
    <row r="450" spans="1:27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3359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  <c r="AA450" s="17" t="e">
        <f>VLOOKUP(F450,[2]Wait!$H$225:$I$260,2,0)</f>
        <v>#N/A</v>
      </c>
    </row>
    <row r="451" spans="1:27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  <c r="AA451" s="17" t="e">
        <f>VLOOKUP(F451,[2]Wait!$H$225:$I$260,2,0)</f>
        <v>#N/A</v>
      </c>
    </row>
    <row r="452" spans="1:27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  <c r="AA452" s="17" t="e">
        <f>VLOOKUP(F452,[2]Wait!$H$225:$I$260,2,0)</f>
        <v>#N/A</v>
      </c>
    </row>
    <row r="453" spans="1:27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  <c r="AA453" s="17" t="e">
        <f>VLOOKUP(F453,[2]Wait!$H$225:$I$260,2,0)</f>
        <v>#N/A</v>
      </c>
    </row>
    <row r="454" spans="1:27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  <c r="AA454" s="17" t="e">
        <f>VLOOKUP(F454,[2]Wait!$H$225:$I$260,2,0)</f>
        <v>#N/A</v>
      </c>
    </row>
    <row r="455" spans="1:27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  <c r="AA455" s="17" t="e">
        <f>VLOOKUP(F455,[2]Wait!$H$225:$I$260,2,0)</f>
        <v>#N/A</v>
      </c>
    </row>
    <row r="456" spans="1:27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  <c r="AA456" s="17" t="e">
        <f>VLOOKUP(F456,[2]Wait!$H$225:$I$260,2,0)</f>
        <v>#N/A</v>
      </c>
    </row>
    <row r="457" spans="1:27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3360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  <c r="AA457" s="17" t="e">
        <f>VLOOKUP(F457,[2]Wait!$H$225:$I$260,2,0)</f>
        <v>#N/A</v>
      </c>
    </row>
    <row r="458" spans="1:27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3361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  <c r="AA458" s="17" t="e">
        <f>VLOOKUP(F458,[2]Wait!$H$225:$I$260,2,0)</f>
        <v>#N/A</v>
      </c>
    </row>
    <row r="459" spans="1:27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3362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  <c r="AA459" s="17" t="e">
        <f>VLOOKUP(F459,[2]Wait!$H$225:$I$260,2,0)</f>
        <v>#N/A</v>
      </c>
    </row>
    <row r="460" spans="1:27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3363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  <c r="AA460" s="17" t="e">
        <f>VLOOKUP(F460,[2]Wait!$H$225:$I$260,2,0)</f>
        <v>#N/A</v>
      </c>
    </row>
    <row r="461" spans="1:27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3364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  <c r="AA461" s="17" t="e">
        <f>VLOOKUP(F461,[2]Wait!$H$225:$I$260,2,0)</f>
        <v>#N/A</v>
      </c>
    </row>
    <row r="462" spans="1:27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3365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  <c r="AA462" s="17" t="e">
        <f>VLOOKUP(F462,[2]Wait!$H$225:$I$260,2,0)</f>
        <v>#N/A</v>
      </c>
    </row>
    <row r="463" spans="1:27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3366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  <c r="AA463" s="17" t="e">
        <f>VLOOKUP(F463,[2]Wait!$H$225:$I$260,2,0)</f>
        <v>#N/A</v>
      </c>
    </row>
    <row r="464" spans="1:27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3367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  <c r="AA464" s="17" t="e">
        <f>VLOOKUP(F464,[2]Wait!$H$225:$I$260,2,0)</f>
        <v>#N/A</v>
      </c>
    </row>
    <row r="465" spans="1:27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3368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  <c r="AA465" s="17" t="e">
        <f>VLOOKUP(F465,[2]Wait!$H$225:$I$260,2,0)</f>
        <v>#N/A</v>
      </c>
    </row>
    <row r="466" spans="1:27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3369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  <c r="AA466" s="17" t="e">
        <f>VLOOKUP(F466,[2]Wait!$H$225:$I$260,2,0)</f>
        <v>#N/A</v>
      </c>
    </row>
    <row r="467" spans="1:27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3370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  <c r="AA467" s="17" t="e">
        <f>VLOOKUP(F467,[2]Wait!$H$225:$I$260,2,0)</f>
        <v>#N/A</v>
      </c>
    </row>
    <row r="468" spans="1:27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3371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  <c r="AA468" s="17" t="e">
        <f>VLOOKUP(F468,[2]Wait!$H$225:$I$260,2,0)</f>
        <v>#N/A</v>
      </c>
    </row>
    <row r="469" spans="1:27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3372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  <c r="AA469" s="17" t="e">
        <f>VLOOKUP(F469,[2]Wait!$H$225:$I$260,2,0)</f>
        <v>#N/A</v>
      </c>
    </row>
    <row r="470" spans="1:27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3373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  <c r="AA470" s="17" t="e">
        <f>VLOOKUP(F470,[2]Wait!$H$225:$I$260,2,0)</f>
        <v>#N/A</v>
      </c>
    </row>
    <row r="471" spans="1:27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3374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  <c r="AA471" s="17" t="e">
        <f>VLOOKUP(F471,[2]Wait!$H$225:$I$260,2,0)</f>
        <v>#N/A</v>
      </c>
    </row>
    <row r="472" spans="1:27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3375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  <c r="AA472" s="17" t="e">
        <f>VLOOKUP(F472,[2]Wait!$H$225:$I$260,2,0)</f>
        <v>#N/A</v>
      </c>
    </row>
    <row r="473" spans="1:27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3376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  <c r="AA473" s="17" t="e">
        <f>VLOOKUP(F473,[2]Wait!$H$225:$I$260,2,0)</f>
        <v>#N/A</v>
      </c>
    </row>
    <row r="474" spans="1:27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3377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  <c r="AA474" s="17" t="e">
        <f>VLOOKUP(F474,[2]Wait!$H$225:$I$260,2,0)</f>
        <v>#N/A</v>
      </c>
    </row>
    <row r="475" spans="1:27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3378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  <c r="AA475" s="17" t="e">
        <f>VLOOKUP(F475,[2]Wait!$H$225:$I$260,2,0)</f>
        <v>#N/A</v>
      </c>
    </row>
    <row r="476" spans="1:27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3379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  <c r="AA476" s="17" t="e">
        <f>VLOOKUP(F476,[2]Wait!$H$225:$I$260,2,0)</f>
        <v>#N/A</v>
      </c>
    </row>
    <row r="477" spans="1:27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3380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  <c r="AA477" s="17" t="e">
        <f>VLOOKUP(F477,[2]Wait!$H$225:$I$260,2,0)</f>
        <v>#N/A</v>
      </c>
    </row>
    <row r="478" spans="1:27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3381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  <c r="AA478" s="17" t="e">
        <f>VLOOKUP(F478,[2]Wait!$H$225:$I$260,2,0)</f>
        <v>#N/A</v>
      </c>
    </row>
    <row r="479" spans="1:27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3382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  <c r="AA479" s="17" t="e">
        <f>VLOOKUP(F479,[2]Wait!$H$225:$I$260,2,0)</f>
        <v>#N/A</v>
      </c>
    </row>
    <row r="480" spans="1:27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3383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  <c r="AA480" s="17" t="e">
        <f>VLOOKUP(F480,[2]Wait!$H$225:$I$260,2,0)</f>
        <v>#N/A</v>
      </c>
    </row>
    <row r="481" spans="1:27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3384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  <c r="AA481" s="17" t="e">
        <f>VLOOKUP(F481,[2]Wait!$H$225:$I$260,2,0)</f>
        <v>#N/A</v>
      </c>
    </row>
    <row r="482" spans="1:27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3385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  <c r="AA482" s="17" t="e">
        <f>VLOOKUP(F482,[2]Wait!$H$225:$I$260,2,0)</f>
        <v>#N/A</v>
      </c>
    </row>
    <row r="483" spans="1:27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  <c r="AA483" s="17" t="e">
        <f>VLOOKUP(F483,[2]Wait!$H$225:$I$260,2,0)</f>
        <v>#N/A</v>
      </c>
    </row>
    <row r="484" spans="1:27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  <c r="AA484" s="17" t="e">
        <f>VLOOKUP(F484,[2]Wait!$H$225:$I$260,2,0)</f>
        <v>#N/A</v>
      </c>
    </row>
    <row r="485" spans="1:27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  <c r="AA485" s="17" t="e">
        <f>VLOOKUP(F485,[2]Wait!$H$225:$I$260,2,0)</f>
        <v>#N/A</v>
      </c>
    </row>
    <row r="486" spans="1:27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  <c r="AA486" s="17" t="e">
        <f>VLOOKUP(F486,[2]Wait!$H$225:$I$260,2,0)</f>
        <v>#N/A</v>
      </c>
    </row>
    <row r="487" spans="1:27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  <c r="AA487" s="17" t="e">
        <f>VLOOKUP(F487,[2]Wait!$H$225:$I$260,2,0)</f>
        <v>#N/A</v>
      </c>
    </row>
    <row r="488" spans="1:27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  <c r="AA488" s="17" t="e">
        <f>VLOOKUP(F488,[2]Wait!$H$225:$I$260,2,0)</f>
        <v>#N/A</v>
      </c>
    </row>
    <row r="489" spans="1:27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  <c r="AA489" s="17" t="e">
        <f>VLOOKUP(F489,[2]Wait!$H$225:$I$260,2,0)</f>
        <v>#N/A</v>
      </c>
    </row>
    <row r="490" spans="1:27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  <c r="AA490" s="17" t="e">
        <f>VLOOKUP(F490,[2]Wait!$H$225:$I$260,2,0)</f>
        <v>#N/A</v>
      </c>
    </row>
    <row r="491" spans="1:27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  <c r="AA491" s="17" t="e">
        <f>VLOOKUP(F491,[2]Wait!$H$225:$I$260,2,0)</f>
        <v>#N/A</v>
      </c>
    </row>
    <row r="492" spans="1:27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  <c r="AA492" s="17" t="e">
        <f>VLOOKUP(F492,[2]Wait!$H$225:$I$260,2,0)</f>
        <v>#N/A</v>
      </c>
    </row>
    <row r="493" spans="1:27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  <c r="AA493" s="17" t="e">
        <f>VLOOKUP(F493,[2]Wait!$H$225:$I$260,2,0)</f>
        <v>#N/A</v>
      </c>
    </row>
    <row r="494" spans="1:27" x14ac:dyDescent="0.25">
      <c r="A494" s="9">
        <f t="shared" si="7"/>
        <v>487</v>
      </c>
      <c r="B494" s="19" t="s">
        <v>926</v>
      </c>
      <c r="C494" s="20" t="s">
        <v>927</v>
      </c>
      <c r="D494" s="20" t="s">
        <v>2273</v>
      </c>
      <c r="E494" s="20" t="s">
        <v>2274</v>
      </c>
      <c r="F494" s="20" t="s">
        <v>2274</v>
      </c>
      <c r="G494" s="20" t="s">
        <v>194</v>
      </c>
      <c r="H494" s="20" t="s">
        <v>26</v>
      </c>
      <c r="I494" s="21">
        <v>46258</v>
      </c>
      <c r="J494" s="20" t="s">
        <v>683</v>
      </c>
      <c r="K494" s="20" t="s">
        <v>28</v>
      </c>
      <c r="L494" s="20" t="s">
        <v>2275</v>
      </c>
      <c r="M494" s="20" t="s">
        <v>249</v>
      </c>
      <c r="N494" s="22" t="s">
        <v>250</v>
      </c>
      <c r="O494" s="20" t="s">
        <v>1044</v>
      </c>
      <c r="P494" s="20" t="s">
        <v>26</v>
      </c>
      <c r="Q494" s="20" t="s">
        <v>26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46272</v>
      </c>
      <c r="W494" s="21">
        <v>46258</v>
      </c>
      <c r="X494" s="20" t="s">
        <v>34</v>
      </c>
      <c r="Y494" s="21">
        <v>46274</v>
      </c>
      <c r="Z494" s="20" t="s">
        <v>57</v>
      </c>
      <c r="AA494" s="17" t="e">
        <f>VLOOKUP(F494,[2]Wait!$H$225:$I$260,2,0)</f>
        <v>#N/A</v>
      </c>
    </row>
    <row r="495" spans="1:27" x14ac:dyDescent="0.25">
      <c r="A495" s="9">
        <f t="shared" si="7"/>
        <v>488</v>
      </c>
      <c r="B495" s="19" t="s">
        <v>926</v>
      </c>
      <c r="C495" s="20" t="s">
        <v>927</v>
      </c>
      <c r="D495" s="20" t="s">
        <v>2282</v>
      </c>
      <c r="E495" s="20" t="s">
        <v>2283</v>
      </c>
      <c r="F495" s="20" t="s">
        <v>2283</v>
      </c>
      <c r="G495" s="20" t="s">
        <v>194</v>
      </c>
      <c r="H495" s="20" t="s">
        <v>26</v>
      </c>
      <c r="I495" s="21">
        <v>46258</v>
      </c>
      <c r="J495" s="20" t="s">
        <v>683</v>
      </c>
      <c r="K495" s="20" t="s">
        <v>28</v>
      </c>
      <c r="L495" s="20" t="s">
        <v>2284</v>
      </c>
      <c r="M495" s="20" t="s">
        <v>249</v>
      </c>
      <c r="N495" s="22" t="s">
        <v>250</v>
      </c>
      <c r="O495" s="20" t="s">
        <v>1044</v>
      </c>
      <c r="P495" s="20" t="s">
        <v>26</v>
      </c>
      <c r="Q495" s="20" t="s">
        <v>26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>
        <v>46275</v>
      </c>
      <c r="W495" s="21">
        <v>46258</v>
      </c>
      <c r="X495" s="20" t="s">
        <v>34</v>
      </c>
      <c r="Y495" s="21">
        <v>46274</v>
      </c>
      <c r="Z495" s="20" t="s">
        <v>57</v>
      </c>
      <c r="AA495" s="17" t="e">
        <f>VLOOKUP(F495,[2]Wait!$H$225:$I$260,2,0)</f>
        <v>#N/A</v>
      </c>
    </row>
    <row r="496" spans="1:27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1617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28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>
        <v>46164</v>
      </c>
      <c r="W496" s="21">
        <v>46258</v>
      </c>
      <c r="X496" s="20" t="s">
        <v>34</v>
      </c>
      <c r="Y496" s="21">
        <v>46274</v>
      </c>
      <c r="Z496" s="20" t="s">
        <v>57</v>
      </c>
      <c r="AA496" s="17" t="e">
        <f>VLOOKUP(F496,[2]Wait!$H$225:$I$260,2,0)</f>
        <v>#N/A</v>
      </c>
    </row>
    <row r="497" spans="1:27" x14ac:dyDescent="0.25">
      <c r="A497" s="9">
        <f t="shared" si="7"/>
        <v>490</v>
      </c>
      <c r="B497" s="19" t="s">
        <v>926</v>
      </c>
      <c r="C497" s="20" t="s">
        <v>927</v>
      </c>
      <c r="D497" s="20" t="s">
        <v>1620</v>
      </c>
      <c r="E497" s="20" t="s">
        <v>1618</v>
      </c>
      <c r="F497" s="20" t="s">
        <v>1618</v>
      </c>
      <c r="G497" s="20" t="s">
        <v>194</v>
      </c>
      <c r="H497" s="20" t="s">
        <v>26</v>
      </c>
      <c r="I497" s="21">
        <v>46258</v>
      </c>
      <c r="J497" s="20" t="s">
        <v>260</v>
      </c>
      <c r="K497" s="20" t="s">
        <v>58</v>
      </c>
      <c r="L497" s="20" t="s">
        <v>1619</v>
      </c>
      <c r="M497" s="20" t="s">
        <v>249</v>
      </c>
      <c r="N497" s="22" t="s">
        <v>250</v>
      </c>
      <c r="O497" s="20" t="s">
        <v>1044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46258</v>
      </c>
      <c r="X497" s="20" t="s">
        <v>34</v>
      </c>
      <c r="Y497" s="21">
        <v>46274</v>
      </c>
      <c r="Z497" s="20" t="s">
        <v>57</v>
      </c>
      <c r="AA497" s="17" t="e">
        <f>VLOOKUP(F497,[2]Wait!$H$225:$I$260,2,0)</f>
        <v>#N/A</v>
      </c>
    </row>
    <row r="498" spans="1:27" x14ac:dyDescent="0.25">
      <c r="A498" s="9">
        <f t="shared" si="7"/>
        <v>491</v>
      </c>
      <c r="B498" s="19" t="s">
        <v>926</v>
      </c>
      <c r="C498" s="20" t="s">
        <v>927</v>
      </c>
      <c r="D498" s="20" t="s">
        <v>1621</v>
      </c>
      <c r="E498" s="20" t="s">
        <v>1618</v>
      </c>
      <c r="F498" s="20" t="s">
        <v>1618</v>
      </c>
      <c r="G498" s="20" t="s">
        <v>194</v>
      </c>
      <c r="H498" s="20" t="s">
        <v>26</v>
      </c>
      <c r="I498" s="21">
        <v>46258</v>
      </c>
      <c r="J498" s="20" t="s">
        <v>255</v>
      </c>
      <c r="K498" s="20" t="s">
        <v>58</v>
      </c>
      <c r="L498" s="20" t="s">
        <v>1619</v>
      </c>
      <c r="M498" s="20" t="s">
        <v>249</v>
      </c>
      <c r="N498" s="22" t="s">
        <v>250</v>
      </c>
      <c r="O498" s="20" t="s">
        <v>1044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  <c r="AA498" s="17" t="e">
        <f>VLOOKUP(F498,[2]Wait!$H$225:$I$260,2,0)</f>
        <v>#N/A</v>
      </c>
    </row>
    <row r="499" spans="1:27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2332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82</v>
      </c>
      <c r="K499" s="20" t="s">
        <v>28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46258</v>
      </c>
      <c r="X499" s="20" t="s">
        <v>34</v>
      </c>
      <c r="Y499" s="21">
        <v>46274</v>
      </c>
      <c r="Z499" s="20" t="s">
        <v>57</v>
      </c>
      <c r="AA499" s="17" t="e">
        <f>VLOOKUP(F499,[2]Wait!$H$225:$I$260,2,0)</f>
        <v>#N/A</v>
      </c>
    </row>
    <row r="500" spans="1:27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2335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196</v>
      </c>
      <c r="K500" s="20" t="s">
        <v>58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>
        <v>46277</v>
      </c>
      <c r="W500" s="21">
        <v>46258</v>
      </c>
      <c r="X500" s="20" t="s">
        <v>34</v>
      </c>
      <c r="Y500" s="21">
        <v>46274</v>
      </c>
      <c r="Z500" s="20" t="s">
        <v>57</v>
      </c>
      <c r="AA500" s="17" t="e">
        <f>VLOOKUP(F500,[2]Wait!$H$225:$I$260,2,0)</f>
        <v>#N/A</v>
      </c>
    </row>
    <row r="501" spans="1:27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2336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225</v>
      </c>
      <c r="K501" s="20" t="s">
        <v>59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  <c r="AA501" s="17" t="e">
        <f>VLOOKUP(F501,[2]Wait!$H$225:$I$260,2,0)</f>
        <v>#N/A</v>
      </c>
    </row>
    <row r="502" spans="1:27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2337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683</v>
      </c>
      <c r="K502" s="20" t="s">
        <v>684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  <c r="AA502" s="17" t="e">
        <f>VLOOKUP(F502,[2]Wait!$H$225:$I$260,2,0)</f>
        <v>#N/A</v>
      </c>
    </row>
    <row r="503" spans="1:27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2338</v>
      </c>
      <c r="E503" s="20" t="s">
        <v>2333</v>
      </c>
      <c r="F503" s="20" t="s">
        <v>2333</v>
      </c>
      <c r="G503" s="20" t="s">
        <v>194</v>
      </c>
      <c r="H503" s="20" t="s">
        <v>26</v>
      </c>
      <c r="I503" s="21">
        <v>46258</v>
      </c>
      <c r="J503" s="20" t="s">
        <v>82</v>
      </c>
      <c r="K503" s="20" t="s">
        <v>557</v>
      </c>
      <c r="L503" s="20" t="s">
        <v>2334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46258</v>
      </c>
      <c r="X503" s="20" t="s">
        <v>34</v>
      </c>
      <c r="Y503" s="21">
        <v>46274</v>
      </c>
      <c r="Z503" s="20" t="s">
        <v>57</v>
      </c>
      <c r="AA503" s="17" t="e">
        <f>VLOOKUP(F503,[2]Wait!$H$225:$I$260,2,0)</f>
        <v>#N/A</v>
      </c>
    </row>
    <row r="504" spans="1:27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2940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225</v>
      </c>
      <c r="K504" s="20" t="s">
        <v>28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46290</v>
      </c>
      <c r="W504" s="21">
        <v>46258</v>
      </c>
      <c r="X504" s="20" t="s">
        <v>34</v>
      </c>
      <c r="Y504" s="21">
        <v>46274</v>
      </c>
      <c r="Z504" s="20" t="s">
        <v>57</v>
      </c>
      <c r="AA504" s="17" t="e">
        <f>VLOOKUP(F504,[2]Wait!$H$225:$I$260,2,0)</f>
        <v>#N/A</v>
      </c>
    </row>
    <row r="505" spans="1:27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2943</v>
      </c>
      <c r="E505" s="20" t="s">
        <v>2941</v>
      </c>
      <c r="F505" s="20" t="s">
        <v>2941</v>
      </c>
      <c r="G505" s="20" t="s">
        <v>194</v>
      </c>
      <c r="H505" s="20" t="s">
        <v>26</v>
      </c>
      <c r="I505" s="21">
        <v>46258</v>
      </c>
      <c r="J505" s="20" t="s">
        <v>683</v>
      </c>
      <c r="K505" s="20" t="s">
        <v>58</v>
      </c>
      <c r="L505" s="20" t="s">
        <v>2942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63</v>
      </c>
      <c r="T505" s="20" t="s">
        <v>195</v>
      </c>
      <c r="U505" s="20" t="s">
        <v>26</v>
      </c>
      <c r="V505" s="21">
        <v>46294</v>
      </c>
      <c r="W505" s="21">
        <v>46258</v>
      </c>
      <c r="X505" s="20" t="s">
        <v>34</v>
      </c>
      <c r="Y505" s="21">
        <v>46274</v>
      </c>
      <c r="Z505" s="20" t="s">
        <v>57</v>
      </c>
      <c r="AA505" s="17" t="e">
        <f>VLOOKUP(F505,[2]Wait!$H$225:$I$260,2,0)</f>
        <v>#N/A</v>
      </c>
    </row>
    <row r="506" spans="1:27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2964</v>
      </c>
      <c r="E506" s="20" t="s">
        <v>2965</v>
      </c>
      <c r="F506" s="20" t="s">
        <v>2965</v>
      </c>
      <c r="G506" s="20" t="s">
        <v>194</v>
      </c>
      <c r="H506" s="20" t="s">
        <v>26</v>
      </c>
      <c r="I506" s="21">
        <v>46258</v>
      </c>
      <c r="J506" s="20" t="s">
        <v>225</v>
      </c>
      <c r="K506" s="20" t="s">
        <v>28</v>
      </c>
      <c r="L506" s="20" t="s">
        <v>2966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63</v>
      </c>
      <c r="T506" s="20" t="s">
        <v>195</v>
      </c>
      <c r="U506" s="20" t="s">
        <v>26</v>
      </c>
      <c r="V506" s="21">
        <v>46290</v>
      </c>
      <c r="W506" s="21">
        <v>46258</v>
      </c>
      <c r="X506" s="20" t="s">
        <v>34</v>
      </c>
      <c r="Y506" s="21">
        <v>46274</v>
      </c>
      <c r="Z506" s="20" t="s">
        <v>57</v>
      </c>
      <c r="AA506" s="17" t="e">
        <f>VLOOKUP(F506,[2]Wait!$H$225:$I$260,2,0)</f>
        <v>#N/A</v>
      </c>
    </row>
    <row r="507" spans="1:27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2967</v>
      </c>
      <c r="E507" s="20" t="s">
        <v>2965</v>
      </c>
      <c r="F507" s="20" t="s">
        <v>2965</v>
      </c>
      <c r="G507" s="20" t="s">
        <v>194</v>
      </c>
      <c r="H507" s="20" t="s">
        <v>26</v>
      </c>
      <c r="I507" s="21">
        <v>46258</v>
      </c>
      <c r="J507" s="20" t="s">
        <v>683</v>
      </c>
      <c r="K507" s="20" t="s">
        <v>58</v>
      </c>
      <c r="L507" s="20" t="s">
        <v>2966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63</v>
      </c>
      <c r="T507" s="20" t="s">
        <v>195</v>
      </c>
      <c r="U507" s="20" t="s">
        <v>26</v>
      </c>
      <c r="V507" s="21">
        <v>46295</v>
      </c>
      <c r="W507" s="21">
        <v>46258</v>
      </c>
      <c r="X507" s="20" t="s">
        <v>34</v>
      </c>
      <c r="Y507" s="21">
        <v>46274</v>
      </c>
      <c r="Z507" s="20" t="s">
        <v>57</v>
      </c>
      <c r="AA507" s="17" t="e">
        <f>VLOOKUP(F507,[2]Wait!$H$225:$I$260,2,0)</f>
        <v>#N/A</v>
      </c>
    </row>
    <row r="508" spans="1:27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2971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27</v>
      </c>
      <c r="K508" s="20" t="s">
        <v>28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46289</v>
      </c>
      <c r="X508" s="20" t="s">
        <v>2878</v>
      </c>
      <c r="Y508" s="21">
        <v>46289</v>
      </c>
      <c r="Z508" s="20" t="s">
        <v>226</v>
      </c>
      <c r="AA508" s="17" t="e">
        <f>VLOOKUP(F508,[2]Wait!$H$225:$I$260,2,0)</f>
        <v>#N/A</v>
      </c>
    </row>
    <row r="509" spans="1:27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2974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27</v>
      </c>
      <c r="K509" s="20" t="s">
        <v>58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46289</v>
      </c>
      <c r="X509" s="20" t="s">
        <v>2878</v>
      </c>
      <c r="Y509" s="21">
        <v>46289</v>
      </c>
      <c r="Z509" s="20" t="s">
        <v>226</v>
      </c>
      <c r="AA509" s="17" t="e">
        <f>VLOOKUP(F509,[2]Wait!$H$225:$I$260,2,0)</f>
        <v>#N/A</v>
      </c>
    </row>
    <row r="510" spans="1:27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2975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59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  <c r="AA510" s="17" t="e">
        <f>VLOOKUP(F510,[2]Wait!$H$225:$I$260,2,0)</f>
        <v>#N/A</v>
      </c>
    </row>
    <row r="511" spans="1:27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2976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110</v>
      </c>
      <c r="K511" s="20" t="s">
        <v>684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>
        <v>46289</v>
      </c>
      <c r="W511" s="21">
        <v>46289</v>
      </c>
      <c r="X511" s="20" t="s">
        <v>2878</v>
      </c>
      <c r="Y511" s="21">
        <v>46289</v>
      </c>
      <c r="Z511" s="20" t="s">
        <v>226</v>
      </c>
      <c r="AA511" s="17" t="e">
        <f>VLOOKUP(F511,[2]Wait!$H$225:$I$260,2,0)</f>
        <v>#N/A</v>
      </c>
    </row>
    <row r="512" spans="1:27" x14ac:dyDescent="0.25">
      <c r="A512" s="9">
        <f t="shared" si="7"/>
        <v>505</v>
      </c>
      <c r="B512" s="19" t="s">
        <v>926</v>
      </c>
      <c r="C512" s="20" t="s">
        <v>927</v>
      </c>
      <c r="D512" s="20" t="s">
        <v>2977</v>
      </c>
      <c r="E512" s="20" t="s">
        <v>2972</v>
      </c>
      <c r="F512" s="20" t="s">
        <v>2972</v>
      </c>
      <c r="G512" s="20" t="s">
        <v>194</v>
      </c>
      <c r="H512" s="20" t="s">
        <v>26</v>
      </c>
      <c r="I512" s="21">
        <v>46289</v>
      </c>
      <c r="J512" s="20" t="s">
        <v>110</v>
      </c>
      <c r="K512" s="20" t="s">
        <v>557</v>
      </c>
      <c r="L512" s="20" t="s">
        <v>2973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>
        <v>46289</v>
      </c>
      <c r="W512" s="21">
        <v>46289</v>
      </c>
      <c r="X512" s="20" t="s">
        <v>2878</v>
      </c>
      <c r="Y512" s="21">
        <v>46289</v>
      </c>
      <c r="Z512" s="20" t="s">
        <v>226</v>
      </c>
      <c r="AA512" s="17" t="e">
        <f>VLOOKUP(F512,[2]Wait!$H$225:$I$260,2,0)</f>
        <v>#N/A</v>
      </c>
    </row>
    <row r="513" spans="1:27" x14ac:dyDescent="0.25">
      <c r="A513" s="9">
        <f t="shared" si="7"/>
        <v>506</v>
      </c>
      <c r="B513" s="19" t="s">
        <v>926</v>
      </c>
      <c r="C513" s="20" t="s">
        <v>927</v>
      </c>
      <c r="D513" s="20" t="s">
        <v>2978</v>
      </c>
      <c r="E513" s="20" t="s">
        <v>2972</v>
      </c>
      <c r="F513" s="20" t="s">
        <v>2972</v>
      </c>
      <c r="G513" s="20" t="s">
        <v>194</v>
      </c>
      <c r="H513" s="20" t="s">
        <v>26</v>
      </c>
      <c r="I513" s="21">
        <v>46289</v>
      </c>
      <c r="J513" s="20" t="s">
        <v>27</v>
      </c>
      <c r="K513" s="20" t="s">
        <v>1141</v>
      </c>
      <c r="L513" s="20" t="s">
        <v>2973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46289</v>
      </c>
      <c r="X513" s="20" t="s">
        <v>2878</v>
      </c>
      <c r="Y513" s="21">
        <v>46289</v>
      </c>
      <c r="Z513" s="20" t="s">
        <v>226</v>
      </c>
      <c r="AA513" s="17" t="e">
        <f>VLOOKUP(F513,[2]Wait!$H$225:$I$260,2,0)</f>
        <v>#N/A</v>
      </c>
    </row>
    <row r="514" spans="1:27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2979</v>
      </c>
      <c r="E514" s="20" t="s">
        <v>2972</v>
      </c>
      <c r="F514" s="20" t="s">
        <v>2972</v>
      </c>
      <c r="G514" s="20" t="s">
        <v>194</v>
      </c>
      <c r="H514" s="20" t="s">
        <v>26</v>
      </c>
      <c r="I514" s="21">
        <v>46289</v>
      </c>
      <c r="J514" s="20" t="s">
        <v>683</v>
      </c>
      <c r="K514" s="20" t="s">
        <v>1143</v>
      </c>
      <c r="L514" s="20" t="s">
        <v>2973</v>
      </c>
      <c r="M514" s="20" t="s">
        <v>249</v>
      </c>
      <c r="N514" s="22" t="s">
        <v>250</v>
      </c>
      <c r="O514" s="20" t="s">
        <v>1044</v>
      </c>
      <c r="P514" s="20" t="s">
        <v>26</v>
      </c>
      <c r="Q514" s="20" t="s">
        <v>26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46289</v>
      </c>
      <c r="X514" s="20" t="s">
        <v>2878</v>
      </c>
      <c r="Y514" s="21">
        <v>46289</v>
      </c>
      <c r="Z514" s="20" t="s">
        <v>226</v>
      </c>
      <c r="AA514" s="17" t="e">
        <f>VLOOKUP(F514,[2]Wait!$H$225:$I$260,2,0)</f>
        <v>#N/A</v>
      </c>
    </row>
    <row r="515" spans="1:27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2388</v>
      </c>
      <c r="E515" s="20" t="s">
        <v>26</v>
      </c>
      <c r="F515" s="20" t="s">
        <v>3386</v>
      </c>
      <c r="G515" s="20" t="s">
        <v>35</v>
      </c>
      <c r="H515" s="20" t="s">
        <v>26</v>
      </c>
      <c r="I515" s="21">
        <v>46263</v>
      </c>
      <c r="J515" s="20" t="s">
        <v>110</v>
      </c>
      <c r="K515" s="20" t="s">
        <v>28</v>
      </c>
      <c r="L515" s="20" t="s">
        <v>2389</v>
      </c>
      <c r="M515" s="20" t="s">
        <v>3387</v>
      </c>
      <c r="N515" s="22" t="s">
        <v>250</v>
      </c>
      <c r="O515" s="20" t="s">
        <v>949</v>
      </c>
      <c r="P515" s="20" t="s">
        <v>26</v>
      </c>
      <c r="Q515" s="20" t="s">
        <v>26</v>
      </c>
      <c r="R515" s="20" t="s">
        <v>37</v>
      </c>
      <c r="S515" s="20" t="s">
        <v>32</v>
      </c>
      <c r="T515" s="20" t="s">
        <v>136</v>
      </c>
      <c r="U515" s="20" t="s">
        <v>2390</v>
      </c>
      <c r="V515" s="21">
        <v>46289</v>
      </c>
      <c r="W515" s="21">
        <v>46263</v>
      </c>
      <c r="X515" s="20" t="s">
        <v>39</v>
      </c>
      <c r="Y515" s="21">
        <v>46263</v>
      </c>
      <c r="Z515" s="20" t="s">
        <v>39</v>
      </c>
      <c r="AA515" s="17" t="e">
        <f>VLOOKUP(F515,[2]Wait!$H$225:$I$260,2,0)</f>
        <v>#N/A</v>
      </c>
    </row>
    <row r="516" spans="1:27" x14ac:dyDescent="0.25">
      <c r="A516" s="9">
        <f t="shared" si="7"/>
        <v>509</v>
      </c>
      <c r="B516" s="19" t="s">
        <v>926</v>
      </c>
      <c r="C516" s="20" t="s">
        <v>927</v>
      </c>
      <c r="D516" s="20" t="s">
        <v>2460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46263</v>
      </c>
      <c r="J516" s="20" t="s">
        <v>36</v>
      </c>
      <c r="K516" s="20" t="s">
        <v>28</v>
      </c>
      <c r="L516" s="20" t="s">
        <v>305</v>
      </c>
      <c r="M516" s="20" t="s">
        <v>1635</v>
      </c>
      <c r="N516" s="22" t="s">
        <v>250</v>
      </c>
      <c r="O516" s="20" t="s">
        <v>949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204</v>
      </c>
      <c r="U516" s="20" t="s">
        <v>306</v>
      </c>
      <c r="V516" s="21">
        <v>46287</v>
      </c>
      <c r="W516" s="21">
        <v>46263</v>
      </c>
      <c r="X516" s="20" t="s">
        <v>39</v>
      </c>
      <c r="Y516" s="21">
        <v>46263</v>
      </c>
      <c r="Z516" s="20" t="s">
        <v>39</v>
      </c>
      <c r="AA516" s="17" t="e">
        <f>VLOOKUP(F516,[2]Wait!$H$225:$I$260,2,0)</f>
        <v>#N/A</v>
      </c>
    </row>
    <row r="517" spans="1:27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1636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405</v>
      </c>
      <c r="M517" s="20" t="s">
        <v>1635</v>
      </c>
      <c r="N517" s="22" t="s">
        <v>250</v>
      </c>
      <c r="O517" s="20" t="s">
        <v>939</v>
      </c>
      <c r="P517" s="20" t="s">
        <v>30</v>
      </c>
      <c r="Q517" s="20" t="s">
        <v>31</v>
      </c>
      <c r="R517" s="20" t="s">
        <v>69</v>
      </c>
      <c r="S517" s="20" t="s">
        <v>32</v>
      </c>
      <c r="T517" s="20" t="s">
        <v>78</v>
      </c>
      <c r="U517" s="20" t="s">
        <v>406</v>
      </c>
      <c r="V517" s="21">
        <v>46275</v>
      </c>
      <c r="W517" s="21">
        <v>46261</v>
      </c>
      <c r="X517" s="20" t="s">
        <v>39</v>
      </c>
      <c r="Y517" s="21">
        <v>46261</v>
      </c>
      <c r="Z517" s="20" t="s">
        <v>39</v>
      </c>
      <c r="AA517" s="17" t="e">
        <f>VLOOKUP(F517,[2]Wait!$H$225:$I$260,2,0)</f>
        <v>#N/A</v>
      </c>
    </row>
    <row r="518" spans="1:27" x14ac:dyDescent="0.25">
      <c r="A518" s="9">
        <f t="shared" si="7"/>
        <v>511</v>
      </c>
      <c r="B518" s="19" t="s">
        <v>926</v>
      </c>
      <c r="C518" s="20" t="s">
        <v>927</v>
      </c>
      <c r="D518" s="20" t="s">
        <v>1637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46261</v>
      </c>
      <c r="J518" s="20" t="s">
        <v>36</v>
      </c>
      <c r="K518" s="20" t="s">
        <v>28</v>
      </c>
      <c r="L518" s="20" t="s">
        <v>770</v>
      </c>
      <c r="M518" s="20" t="s">
        <v>1635</v>
      </c>
      <c r="N518" s="22" t="s">
        <v>250</v>
      </c>
      <c r="O518" s="20" t="s">
        <v>939</v>
      </c>
      <c r="P518" s="20" t="s">
        <v>26</v>
      </c>
      <c r="Q518" s="20" t="s">
        <v>26</v>
      </c>
      <c r="R518" s="20" t="s">
        <v>61</v>
      </c>
      <c r="S518" s="20" t="s">
        <v>32</v>
      </c>
      <c r="T518" s="20" t="s">
        <v>78</v>
      </c>
      <c r="U518" s="20" t="s">
        <v>418</v>
      </c>
      <c r="V518" s="21">
        <v>46271</v>
      </c>
      <c r="W518" s="21">
        <v>46261</v>
      </c>
      <c r="X518" s="20" t="s">
        <v>39</v>
      </c>
      <c r="Y518" s="21">
        <v>46261</v>
      </c>
      <c r="Z518" s="20" t="s">
        <v>39</v>
      </c>
      <c r="AA518" s="17" t="e">
        <f>VLOOKUP(F518,[2]Wait!$H$225:$I$260,2,0)</f>
        <v>#N/A</v>
      </c>
    </row>
    <row r="519" spans="1:27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2012</v>
      </c>
      <c r="E519" s="20" t="s">
        <v>26</v>
      </c>
      <c r="F519" s="20" t="s">
        <v>3391</v>
      </c>
      <c r="G519" s="20" t="s">
        <v>35</v>
      </c>
      <c r="H519" s="20" t="s">
        <v>26</v>
      </c>
      <c r="I519" s="21">
        <v>46265</v>
      </c>
      <c r="J519" s="20" t="s">
        <v>36</v>
      </c>
      <c r="K519" s="20" t="s">
        <v>28</v>
      </c>
      <c r="L519" s="20" t="s">
        <v>467</v>
      </c>
      <c r="M519" s="20" t="s">
        <v>1635</v>
      </c>
      <c r="N519" s="22" t="s">
        <v>250</v>
      </c>
      <c r="O519" s="20" t="s">
        <v>1070</v>
      </c>
      <c r="P519" s="20" t="s">
        <v>30</v>
      </c>
      <c r="Q519" s="20" t="s">
        <v>31</v>
      </c>
      <c r="R519" s="20" t="s">
        <v>135</v>
      </c>
      <c r="S519" s="20" t="s">
        <v>32</v>
      </c>
      <c r="T519" s="20" t="s">
        <v>71</v>
      </c>
      <c r="U519" s="20" t="s">
        <v>465</v>
      </c>
      <c r="V519" s="21">
        <v>46289</v>
      </c>
      <c r="W519" s="21">
        <v>46265</v>
      </c>
      <c r="X519" s="20" t="s">
        <v>39</v>
      </c>
      <c r="Y519" s="21">
        <v>46265</v>
      </c>
      <c r="Z519" s="20" t="s">
        <v>39</v>
      </c>
      <c r="AA519" s="17" t="e">
        <f>VLOOKUP(F519,[2]Wait!$H$225:$I$260,2,0)</f>
        <v>#N/A</v>
      </c>
    </row>
    <row r="520" spans="1:27" x14ac:dyDescent="0.25">
      <c r="A520" s="9">
        <f t="shared" si="7"/>
        <v>513</v>
      </c>
      <c r="B520" s="19" t="s">
        <v>926</v>
      </c>
      <c r="C520" s="20" t="s">
        <v>927</v>
      </c>
      <c r="D520" s="20" t="s">
        <v>3392</v>
      </c>
      <c r="E520" s="20" t="s">
        <v>3393</v>
      </c>
      <c r="F520" s="20" t="s">
        <v>3393</v>
      </c>
      <c r="G520" s="20" t="s">
        <v>194</v>
      </c>
      <c r="H520" s="20" t="s">
        <v>26</v>
      </c>
      <c r="I520" s="21">
        <v>46292</v>
      </c>
      <c r="J520" s="20" t="s">
        <v>225</v>
      </c>
      <c r="K520" s="20" t="s">
        <v>28</v>
      </c>
      <c r="L520" s="20" t="s">
        <v>682</v>
      </c>
      <c r="M520" s="20" t="s">
        <v>1635</v>
      </c>
      <c r="N520" s="22" t="s">
        <v>250</v>
      </c>
      <c r="O520" s="20" t="s">
        <v>1044</v>
      </c>
      <c r="P520" s="20" t="s">
        <v>26</v>
      </c>
      <c r="Q520" s="20" t="s">
        <v>26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>
        <v>46295</v>
      </c>
      <c r="W520" s="21">
        <v>46292</v>
      </c>
      <c r="X520" s="20" t="s">
        <v>3394</v>
      </c>
      <c r="Y520" s="21">
        <v>46292</v>
      </c>
      <c r="Z520" s="20" t="s">
        <v>226</v>
      </c>
      <c r="AA520" s="17" t="e">
        <f>VLOOKUP(F520,[2]Wait!$H$225:$I$260,2,0)</f>
        <v>#N/A</v>
      </c>
    </row>
    <row r="521" spans="1:27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1648</v>
      </c>
      <c r="E521" s="20" t="s">
        <v>1649</v>
      </c>
      <c r="F521" s="20" t="s">
        <v>3395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28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  <c r="AA521" s="17" t="e">
        <f>VLOOKUP(F521,[2]Wait!$H$225:$I$260,2,0)</f>
        <v>#N/A</v>
      </c>
    </row>
    <row r="522" spans="1:27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1653</v>
      </c>
      <c r="E522" s="20" t="s">
        <v>1649</v>
      </c>
      <c r="F522" s="20" t="s">
        <v>3395</v>
      </c>
      <c r="G522" s="20" t="s">
        <v>273</v>
      </c>
      <c r="H522" s="20" t="s">
        <v>26</v>
      </c>
      <c r="I522" s="21">
        <v>46256</v>
      </c>
      <c r="J522" s="20" t="s">
        <v>110</v>
      </c>
      <c r="K522" s="20" t="s">
        <v>58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46275</v>
      </c>
      <c r="W522" s="21">
        <v>46256</v>
      </c>
      <c r="X522" s="20" t="s">
        <v>34</v>
      </c>
      <c r="Y522" s="21">
        <v>46267</v>
      </c>
      <c r="Z522" s="20" t="s">
        <v>34</v>
      </c>
      <c r="AA522" s="17" t="e">
        <f>VLOOKUP(F522,[2]Wait!$H$225:$I$260,2,0)</f>
        <v>#N/A</v>
      </c>
    </row>
    <row r="523" spans="1:27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1654</v>
      </c>
      <c r="E523" s="20" t="s">
        <v>1649</v>
      </c>
      <c r="F523" s="20" t="s">
        <v>3395</v>
      </c>
      <c r="G523" s="20" t="s">
        <v>273</v>
      </c>
      <c r="H523" s="20" t="s">
        <v>26</v>
      </c>
      <c r="I523" s="21">
        <v>46256</v>
      </c>
      <c r="J523" s="20" t="s">
        <v>27</v>
      </c>
      <c r="K523" s="20" t="s">
        <v>59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>
        <v>46276</v>
      </c>
      <c r="W523" s="21">
        <v>46256</v>
      </c>
      <c r="X523" s="20" t="s">
        <v>34</v>
      </c>
      <c r="Y523" s="21">
        <v>46267</v>
      </c>
      <c r="Z523" s="20" t="s">
        <v>34</v>
      </c>
      <c r="AA523" s="17" t="e">
        <f>VLOOKUP(F523,[2]Wait!$H$225:$I$260,2,0)</f>
        <v>#N/A</v>
      </c>
    </row>
    <row r="524" spans="1:27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1655</v>
      </c>
      <c r="E524" s="20" t="s">
        <v>1649</v>
      </c>
      <c r="F524" s="20" t="s">
        <v>3395</v>
      </c>
      <c r="G524" s="20" t="s">
        <v>273</v>
      </c>
      <c r="H524" s="20" t="s">
        <v>26</v>
      </c>
      <c r="I524" s="21">
        <v>46256</v>
      </c>
      <c r="J524" s="20" t="s">
        <v>110</v>
      </c>
      <c r="K524" s="20" t="s">
        <v>684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/>
      <c r="W524" s="21">
        <v>46256</v>
      </c>
      <c r="X524" s="20" t="s">
        <v>34</v>
      </c>
      <c r="Y524" s="21">
        <v>46267</v>
      </c>
      <c r="Z524" s="20" t="s">
        <v>34</v>
      </c>
      <c r="AA524" s="17" t="e">
        <f>VLOOKUP(F524,[2]Wait!$H$225:$I$260,2,0)</f>
        <v>#N/A</v>
      </c>
    </row>
    <row r="525" spans="1:27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1656</v>
      </c>
      <c r="E525" s="20" t="s">
        <v>1649</v>
      </c>
      <c r="F525" s="20" t="s">
        <v>3395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557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>
        <v>46277</v>
      </c>
      <c r="W525" s="21">
        <v>46256</v>
      </c>
      <c r="X525" s="20" t="s">
        <v>34</v>
      </c>
      <c r="Y525" s="21">
        <v>46267</v>
      </c>
      <c r="Z525" s="20" t="s">
        <v>34</v>
      </c>
      <c r="AA525" s="17" t="e">
        <f>VLOOKUP(F525,[2]Wait!$H$225:$I$260,2,0)</f>
        <v>#N/A</v>
      </c>
    </row>
    <row r="526" spans="1:27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1657</v>
      </c>
      <c r="E526" s="20" t="s">
        <v>1649</v>
      </c>
      <c r="F526" s="20" t="s">
        <v>3395</v>
      </c>
      <c r="G526" s="20" t="s">
        <v>273</v>
      </c>
      <c r="H526" s="20" t="s">
        <v>26</v>
      </c>
      <c r="I526" s="21">
        <v>46256</v>
      </c>
      <c r="J526" s="20" t="s">
        <v>27</v>
      </c>
      <c r="K526" s="20" t="s">
        <v>1141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  <c r="AA526" s="17" t="e">
        <f>VLOOKUP(F526,[2]Wait!$H$225:$I$260,2,0)</f>
        <v>#N/A</v>
      </c>
    </row>
    <row r="527" spans="1:27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1658</v>
      </c>
      <c r="E527" s="20" t="s">
        <v>1649</v>
      </c>
      <c r="F527" s="20" t="s">
        <v>3395</v>
      </c>
      <c r="G527" s="20" t="s">
        <v>273</v>
      </c>
      <c r="H527" s="20" t="s">
        <v>26</v>
      </c>
      <c r="I527" s="21">
        <v>46256</v>
      </c>
      <c r="J527" s="20" t="s">
        <v>36</v>
      </c>
      <c r="K527" s="20" t="s">
        <v>1143</v>
      </c>
      <c r="L527" s="20" t="s">
        <v>1650</v>
      </c>
      <c r="M527" s="20" t="s">
        <v>1651</v>
      </c>
      <c r="N527" s="22" t="s">
        <v>250</v>
      </c>
      <c r="O527" s="20" t="s">
        <v>932</v>
      </c>
      <c r="P527" s="20" t="s">
        <v>214</v>
      </c>
      <c r="Q527" s="20" t="s">
        <v>215</v>
      </c>
      <c r="R527" s="20" t="s">
        <v>26</v>
      </c>
      <c r="S527" s="20" t="s">
        <v>32</v>
      </c>
      <c r="T527" s="20" t="s">
        <v>70</v>
      </c>
      <c r="U527" s="20" t="s">
        <v>1652</v>
      </c>
      <c r="V527" s="21"/>
      <c r="W527" s="21">
        <v>46256</v>
      </c>
      <c r="X527" s="20" t="s">
        <v>34</v>
      </c>
      <c r="Y527" s="21">
        <v>46267</v>
      </c>
      <c r="Z527" s="20" t="s">
        <v>34</v>
      </c>
      <c r="AA527" s="17" t="e">
        <f>VLOOKUP(F527,[2]Wait!$H$225:$I$260,2,0)</f>
        <v>#N/A</v>
      </c>
    </row>
    <row r="528" spans="1:27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1661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36</v>
      </c>
      <c r="K528" s="20" t="s">
        <v>28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/>
      <c r="W528" s="21">
        <v>46258</v>
      </c>
      <c r="X528" s="20" t="s">
        <v>34</v>
      </c>
      <c r="Y528" s="21">
        <v>46274</v>
      </c>
      <c r="Z528" s="20" t="s">
        <v>57</v>
      </c>
      <c r="AA528" s="17" t="e">
        <f>VLOOKUP(F528,[2]Wait!$H$225:$I$260,2,0)</f>
        <v>#N/A</v>
      </c>
    </row>
    <row r="529" spans="1:27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1664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27</v>
      </c>
      <c r="K529" s="20" t="s">
        <v>58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>
        <v>46261</v>
      </c>
      <c r="W529" s="21">
        <v>46258</v>
      </c>
      <c r="X529" s="20" t="s">
        <v>34</v>
      </c>
      <c r="Y529" s="21">
        <v>46274</v>
      </c>
      <c r="Z529" s="20" t="s">
        <v>57</v>
      </c>
      <c r="AA529" s="17" t="e">
        <f>VLOOKUP(F529,[2]Wait!$H$225:$I$260,2,0)</f>
        <v>#N/A</v>
      </c>
    </row>
    <row r="530" spans="1:27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1665</v>
      </c>
      <c r="E530" s="20" t="s">
        <v>1662</v>
      </c>
      <c r="F530" s="20" t="s">
        <v>1662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59</v>
      </c>
      <c r="L530" s="20" t="s">
        <v>1663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27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  <c r="AA530" s="17" t="e">
        <f>VLOOKUP(F530,[2]Wait!$H$225:$I$260,2,0)</f>
        <v>#N/A</v>
      </c>
    </row>
    <row r="531" spans="1:27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1666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36</v>
      </c>
      <c r="K531" s="20" t="s">
        <v>28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/>
      <c r="W531" s="21">
        <v>46258</v>
      </c>
      <c r="X531" s="20" t="s">
        <v>34</v>
      </c>
      <c r="Y531" s="21">
        <v>46274</v>
      </c>
      <c r="Z531" s="20" t="s">
        <v>57</v>
      </c>
      <c r="AA531" s="17" t="e">
        <f>VLOOKUP(F531,[2]Wait!$H$225:$I$260,2,0)</f>
        <v>#N/A</v>
      </c>
    </row>
    <row r="532" spans="1:27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1669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27</v>
      </c>
      <c r="K532" s="20" t="s">
        <v>58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>
        <v>46261</v>
      </c>
      <c r="W532" s="21">
        <v>46258</v>
      </c>
      <c r="X532" s="20" t="s">
        <v>34</v>
      </c>
      <c r="Y532" s="21">
        <v>46274</v>
      </c>
      <c r="Z532" s="20" t="s">
        <v>57</v>
      </c>
      <c r="AA532" s="17" t="e">
        <f>VLOOKUP(F532,[2]Wait!$H$225:$I$260,2,0)</f>
        <v>#N/A</v>
      </c>
    </row>
    <row r="533" spans="1:27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1670</v>
      </c>
      <c r="E533" s="20" t="s">
        <v>1667</v>
      </c>
      <c r="F533" s="20" t="s">
        <v>1667</v>
      </c>
      <c r="G533" s="20" t="s">
        <v>194</v>
      </c>
      <c r="H533" s="20" t="s">
        <v>26</v>
      </c>
      <c r="I533" s="21">
        <v>46258</v>
      </c>
      <c r="J533" s="20" t="s">
        <v>36</v>
      </c>
      <c r="K533" s="20" t="s">
        <v>59</v>
      </c>
      <c r="L533" s="20" t="s">
        <v>1668</v>
      </c>
      <c r="M533" s="20" t="s">
        <v>1651</v>
      </c>
      <c r="N533" s="22" t="s">
        <v>250</v>
      </c>
      <c r="O533" s="20" t="s">
        <v>1044</v>
      </c>
      <c r="P533" s="20" t="s">
        <v>26</v>
      </c>
      <c r="Q533" s="20" t="s">
        <v>26</v>
      </c>
      <c r="R533" s="20" t="s">
        <v>26</v>
      </c>
      <c r="S533" s="20" t="s">
        <v>36</v>
      </c>
      <c r="T533" s="20" t="s">
        <v>195</v>
      </c>
      <c r="U533" s="20" t="s">
        <v>26</v>
      </c>
      <c r="V533" s="21"/>
      <c r="W533" s="21">
        <v>46258</v>
      </c>
      <c r="X533" s="20" t="s">
        <v>34</v>
      </c>
      <c r="Y533" s="21">
        <v>46274</v>
      </c>
      <c r="Z533" s="20" t="s">
        <v>57</v>
      </c>
      <c r="AA533" s="17" t="e">
        <f>VLOOKUP(F533,[2]Wait!$H$225:$I$260,2,0)</f>
        <v>#N/A</v>
      </c>
    </row>
    <row r="534" spans="1:27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1659</v>
      </c>
      <c r="E534" s="20" t="s">
        <v>26</v>
      </c>
      <c r="F534" s="20" t="s">
        <v>3396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28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>
        <v>46270</v>
      </c>
      <c r="W534" s="21">
        <v>46254</v>
      </c>
      <c r="X534" s="20" t="s">
        <v>34</v>
      </c>
      <c r="Y534" s="21">
        <v>46254</v>
      </c>
      <c r="Z534" s="20" t="s">
        <v>57</v>
      </c>
      <c r="AA534" s="17" t="e">
        <f>VLOOKUP(F534,[2]Wait!$H$225:$I$260,2,0)</f>
        <v>#N/A</v>
      </c>
    </row>
    <row r="535" spans="1:27" x14ac:dyDescent="0.25">
      <c r="A535" s="9">
        <f t="shared" si="8"/>
        <v>528</v>
      </c>
      <c r="B535" s="19" t="s">
        <v>926</v>
      </c>
      <c r="C535" s="20" t="s">
        <v>927</v>
      </c>
      <c r="D535" s="20" t="s">
        <v>1660</v>
      </c>
      <c r="E535" s="20" t="s">
        <v>26</v>
      </c>
      <c r="F535" s="20" t="s">
        <v>3396</v>
      </c>
      <c r="G535" s="20" t="s">
        <v>35</v>
      </c>
      <c r="H535" s="20" t="s">
        <v>26</v>
      </c>
      <c r="I535" s="21">
        <v>46254</v>
      </c>
      <c r="J535" s="20" t="s">
        <v>63</v>
      </c>
      <c r="K535" s="20" t="s">
        <v>58</v>
      </c>
      <c r="L535" s="20" t="s">
        <v>248</v>
      </c>
      <c r="M535" s="20" t="s">
        <v>1673</v>
      </c>
      <c r="N535" s="22" t="s">
        <v>250</v>
      </c>
      <c r="O535" s="20" t="s">
        <v>946</v>
      </c>
      <c r="P535" s="20" t="s">
        <v>41</v>
      </c>
      <c r="Q535" s="20" t="s">
        <v>42</v>
      </c>
      <c r="R535" s="20" t="s">
        <v>65</v>
      </c>
      <c r="S535" s="20" t="s">
        <v>32</v>
      </c>
      <c r="T535" s="20" t="s">
        <v>66</v>
      </c>
      <c r="U535" s="20" t="s">
        <v>251</v>
      </c>
      <c r="V535" s="21"/>
      <c r="W535" s="21">
        <v>46254</v>
      </c>
      <c r="X535" s="20" t="s">
        <v>34</v>
      </c>
      <c r="Y535" s="21">
        <v>46254</v>
      </c>
      <c r="Z535" s="20" t="s">
        <v>57</v>
      </c>
      <c r="AA535" s="17" t="e">
        <f>VLOOKUP(F535,[2]Wait!$H$225:$I$260,2,0)</f>
        <v>#N/A</v>
      </c>
    </row>
    <row r="536" spans="1:27" x14ac:dyDescent="0.25">
      <c r="A536" s="9">
        <f t="shared" si="8"/>
        <v>529</v>
      </c>
      <c r="B536" s="19" t="s">
        <v>926</v>
      </c>
      <c r="C536" s="20" t="s">
        <v>927</v>
      </c>
      <c r="D536" s="20" t="s">
        <v>2452</v>
      </c>
      <c r="E536" s="20" t="s">
        <v>2453</v>
      </c>
      <c r="F536" s="20" t="s">
        <v>3397</v>
      </c>
      <c r="G536" s="20" t="s">
        <v>25</v>
      </c>
      <c r="H536" s="20" t="s">
        <v>26</v>
      </c>
      <c r="I536" s="21">
        <v>46258</v>
      </c>
      <c r="J536" s="20" t="s">
        <v>36</v>
      </c>
      <c r="K536" s="20" t="s">
        <v>28</v>
      </c>
      <c r="L536" s="20" t="s">
        <v>2454</v>
      </c>
      <c r="M536" s="20" t="s">
        <v>1673</v>
      </c>
      <c r="N536" s="22" t="s">
        <v>250</v>
      </c>
      <c r="O536" s="20" t="s">
        <v>1044</v>
      </c>
      <c r="P536" s="20" t="s">
        <v>30</v>
      </c>
      <c r="Q536" s="20" t="s">
        <v>31</v>
      </c>
      <c r="R536" s="20" t="s">
        <v>26</v>
      </c>
      <c r="S536" s="20" t="s">
        <v>32</v>
      </c>
      <c r="T536" s="20" t="s">
        <v>530</v>
      </c>
      <c r="U536" s="20" t="s">
        <v>2455</v>
      </c>
      <c r="V536" s="21">
        <v>46288</v>
      </c>
      <c r="W536" s="21">
        <v>46258</v>
      </c>
      <c r="X536" s="20" t="s">
        <v>34</v>
      </c>
      <c r="Y536" s="21">
        <v>46274</v>
      </c>
      <c r="Z536" s="20" t="s">
        <v>57</v>
      </c>
      <c r="AA536" s="17" t="e">
        <f>VLOOKUP(F536,[2]Wait!$H$225:$I$260,2,0)</f>
        <v>#N/A</v>
      </c>
    </row>
    <row r="537" spans="1:27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1676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28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>
        <v>45849</v>
      </c>
      <c r="W537" s="21">
        <v>46258</v>
      </c>
      <c r="X537" s="20" t="s">
        <v>34</v>
      </c>
      <c r="Y537" s="21">
        <v>46274</v>
      </c>
      <c r="Z537" s="20" t="s">
        <v>57</v>
      </c>
      <c r="AA537" s="17" t="e">
        <f>VLOOKUP(F537,[2]Wait!$H$225:$I$260,2,0)</f>
        <v>#N/A</v>
      </c>
    </row>
    <row r="538" spans="1:27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1679</v>
      </c>
      <c r="E538" s="20" t="s">
        <v>1677</v>
      </c>
      <c r="F538" s="20" t="s">
        <v>1677</v>
      </c>
      <c r="G538" s="20" t="s">
        <v>194</v>
      </c>
      <c r="H538" s="20" t="s">
        <v>26</v>
      </c>
      <c r="I538" s="21">
        <v>46258</v>
      </c>
      <c r="J538" s="20" t="s">
        <v>255</v>
      </c>
      <c r="K538" s="20" t="s">
        <v>58</v>
      </c>
      <c r="L538" s="20" t="s">
        <v>1678</v>
      </c>
      <c r="M538" s="20" t="s">
        <v>1673</v>
      </c>
      <c r="N538" s="22" t="s">
        <v>250</v>
      </c>
      <c r="O538" s="20" t="s">
        <v>1044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  <c r="AA538" s="17" t="e">
        <f>VLOOKUP(F538,[2]Wait!$H$225:$I$260,2,0)</f>
        <v>#N/A</v>
      </c>
    </row>
    <row r="539" spans="1:27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1680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225</v>
      </c>
      <c r="K539" s="20" t="s">
        <v>28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46258</v>
      </c>
      <c r="X539" s="20" t="s">
        <v>34</v>
      </c>
      <c r="Y539" s="21">
        <v>46274</v>
      </c>
      <c r="Z539" s="20" t="s">
        <v>57</v>
      </c>
      <c r="AA539" s="17" t="e">
        <f>VLOOKUP(F539,[2]Wait!$H$225:$I$260,2,0)</f>
        <v>#N/A</v>
      </c>
    </row>
    <row r="540" spans="1:27" x14ac:dyDescent="0.25">
      <c r="A540" s="9">
        <f t="shared" si="8"/>
        <v>533</v>
      </c>
      <c r="B540" s="19" t="s">
        <v>926</v>
      </c>
      <c r="C540" s="20" t="s">
        <v>927</v>
      </c>
      <c r="D540" s="20" t="s">
        <v>1682</v>
      </c>
      <c r="E540" s="20" t="s">
        <v>1681</v>
      </c>
      <c r="F540" s="20" t="s">
        <v>1681</v>
      </c>
      <c r="G540" s="20" t="s">
        <v>194</v>
      </c>
      <c r="H540" s="20" t="s">
        <v>26</v>
      </c>
      <c r="I540" s="21">
        <v>46258</v>
      </c>
      <c r="J540" s="20" t="s">
        <v>683</v>
      </c>
      <c r="K540" s="20" t="s">
        <v>58</v>
      </c>
      <c r="L540" s="20" t="s">
        <v>682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>
        <v>46261</v>
      </c>
      <c r="W540" s="21">
        <v>46258</v>
      </c>
      <c r="X540" s="20" t="s">
        <v>34</v>
      </c>
      <c r="Y540" s="21">
        <v>46274</v>
      </c>
      <c r="Z540" s="20" t="s">
        <v>57</v>
      </c>
      <c r="AA540" s="17" t="e">
        <f>VLOOKUP(F540,[2]Wait!$H$225:$I$260,2,0)</f>
        <v>#N/A</v>
      </c>
    </row>
    <row r="541" spans="1:27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2305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36</v>
      </c>
      <c r="K541" s="20" t="s">
        <v>28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/>
      <c r="W541" s="21">
        <v>46258</v>
      </c>
      <c r="X541" s="20" t="s">
        <v>34</v>
      </c>
      <c r="Y541" s="21">
        <v>46274</v>
      </c>
      <c r="Z541" s="20" t="s">
        <v>57</v>
      </c>
      <c r="AA541" s="17" t="e">
        <f>VLOOKUP(F541,[2]Wait!$H$225:$I$260,2,0)</f>
        <v>#N/A</v>
      </c>
    </row>
    <row r="542" spans="1:27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2308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27</v>
      </c>
      <c r="K542" s="20" t="s">
        <v>58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>
        <v>46284</v>
      </c>
      <c r="W542" s="21">
        <v>46258</v>
      </c>
      <c r="X542" s="20" t="s">
        <v>34</v>
      </c>
      <c r="Y542" s="21">
        <v>46274</v>
      </c>
      <c r="Z542" s="20" t="s">
        <v>57</v>
      </c>
      <c r="AA542" s="17" t="e">
        <f>VLOOKUP(F542,[2]Wait!$H$225:$I$260,2,0)</f>
        <v>#N/A</v>
      </c>
    </row>
    <row r="543" spans="1:27" x14ac:dyDescent="0.25">
      <c r="A543" s="9">
        <f t="shared" si="8"/>
        <v>536</v>
      </c>
      <c r="B543" s="19" t="s">
        <v>926</v>
      </c>
      <c r="C543" s="20" t="s">
        <v>927</v>
      </c>
      <c r="D543" s="20" t="s">
        <v>2309</v>
      </c>
      <c r="E543" s="20" t="s">
        <v>2306</v>
      </c>
      <c r="F543" s="20" t="s">
        <v>2306</v>
      </c>
      <c r="G543" s="20" t="s">
        <v>194</v>
      </c>
      <c r="H543" s="20" t="s">
        <v>26</v>
      </c>
      <c r="I543" s="21">
        <v>46258</v>
      </c>
      <c r="J543" s="20" t="s">
        <v>36</v>
      </c>
      <c r="K543" s="20" t="s">
        <v>59</v>
      </c>
      <c r="L543" s="20" t="s">
        <v>2307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116</v>
      </c>
      <c r="T543" s="20" t="s">
        <v>195</v>
      </c>
      <c r="U543" s="20" t="s">
        <v>26</v>
      </c>
      <c r="V543" s="21"/>
      <c r="W543" s="21">
        <v>46258</v>
      </c>
      <c r="X543" s="20" t="s">
        <v>34</v>
      </c>
      <c r="Y543" s="21">
        <v>46274</v>
      </c>
      <c r="Z543" s="20" t="s">
        <v>57</v>
      </c>
      <c r="AA543" s="17" t="e">
        <f>VLOOKUP(F543,[2]Wait!$H$225:$I$260,2,0)</f>
        <v>#N/A</v>
      </c>
    </row>
    <row r="544" spans="1:27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1639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52</v>
      </c>
      <c r="K544" s="20" t="s">
        <v>28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  <c r="AA544" s="17" t="e">
        <f>VLOOKUP(F544,[2]Wait!$H$225:$I$260,2,0)</f>
        <v>#N/A</v>
      </c>
    </row>
    <row r="545" spans="1:27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1642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1643</v>
      </c>
      <c r="K545" s="20" t="s">
        <v>58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>
        <v>46280</v>
      </c>
      <c r="W545" s="21">
        <v>46258</v>
      </c>
      <c r="X545" s="20" t="s">
        <v>34</v>
      </c>
      <c r="Y545" s="21">
        <v>46274</v>
      </c>
      <c r="Z545" s="20" t="s">
        <v>57</v>
      </c>
      <c r="AA545" s="17" t="e">
        <f>VLOOKUP(F545,[2]Wait!$H$225:$I$260,2,0)</f>
        <v>#N/A</v>
      </c>
    </row>
    <row r="546" spans="1:27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1644</v>
      </c>
      <c r="E546" s="20" t="s">
        <v>1640</v>
      </c>
      <c r="F546" s="20" t="s">
        <v>1640</v>
      </c>
      <c r="G546" s="20" t="s">
        <v>194</v>
      </c>
      <c r="H546" s="20" t="s">
        <v>26</v>
      </c>
      <c r="I546" s="21">
        <v>46258</v>
      </c>
      <c r="J546" s="20" t="s">
        <v>52</v>
      </c>
      <c r="K546" s="20" t="s">
        <v>59</v>
      </c>
      <c r="L546" s="20" t="s">
        <v>1641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/>
      <c r="W546" s="21">
        <v>46258</v>
      </c>
      <c r="X546" s="20" t="s">
        <v>34</v>
      </c>
      <c r="Y546" s="21">
        <v>46274</v>
      </c>
      <c r="Z546" s="20" t="s">
        <v>57</v>
      </c>
      <c r="AA546" s="17" t="e">
        <f>VLOOKUP(F546,[2]Wait!$H$225:$I$260,2,0)</f>
        <v>#N/A</v>
      </c>
    </row>
    <row r="547" spans="1:27" x14ac:dyDescent="0.25">
      <c r="A547" s="9">
        <f t="shared" si="8"/>
        <v>540</v>
      </c>
      <c r="B547" s="19" t="s">
        <v>926</v>
      </c>
      <c r="C547" s="20" t="s">
        <v>927</v>
      </c>
      <c r="D547" s="20" t="s">
        <v>1686</v>
      </c>
      <c r="E547" s="20" t="s">
        <v>1687</v>
      </c>
      <c r="F547" s="20" t="s">
        <v>1687</v>
      </c>
      <c r="G547" s="20" t="s">
        <v>194</v>
      </c>
      <c r="H547" s="20" t="s">
        <v>26</v>
      </c>
      <c r="I547" s="21">
        <v>46276</v>
      </c>
      <c r="J547" s="20" t="s">
        <v>36</v>
      </c>
      <c r="K547" s="20" t="s">
        <v>28</v>
      </c>
      <c r="L547" s="20" t="s">
        <v>1688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63</v>
      </c>
      <c r="T547" s="20" t="s">
        <v>195</v>
      </c>
      <c r="U547" s="20" t="s">
        <v>26</v>
      </c>
      <c r="V547" s="21">
        <v>46276</v>
      </c>
      <c r="W547" s="21">
        <v>46276</v>
      </c>
      <c r="X547" s="20" t="s">
        <v>1689</v>
      </c>
      <c r="Y547" s="21">
        <v>46276</v>
      </c>
      <c r="Z547" s="20" t="s">
        <v>226</v>
      </c>
      <c r="AA547" s="17" t="e">
        <f>VLOOKUP(F547,[2]Wait!$H$225:$I$260,2,0)</f>
        <v>#N/A</v>
      </c>
    </row>
    <row r="548" spans="1:27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2321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82</v>
      </c>
      <c r="K548" s="20" t="s">
        <v>28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46287</v>
      </c>
      <c r="W548" s="21">
        <v>46277</v>
      </c>
      <c r="X548" s="20" t="s">
        <v>2324</v>
      </c>
      <c r="Y548" s="21">
        <v>46277</v>
      </c>
      <c r="Z548" s="20" t="s">
        <v>226</v>
      </c>
      <c r="AA548" s="17" t="e">
        <f>VLOOKUP(F548,[2]Wait!$H$225:$I$260,2,0)</f>
        <v>#N/A</v>
      </c>
    </row>
    <row r="549" spans="1:27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2325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196</v>
      </c>
      <c r="K549" s="20" t="s">
        <v>58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46277</v>
      </c>
      <c r="W549" s="21">
        <v>46277</v>
      </c>
      <c r="X549" s="20" t="s">
        <v>2324</v>
      </c>
      <c r="Y549" s="21">
        <v>46277</v>
      </c>
      <c r="Z549" s="20" t="s">
        <v>226</v>
      </c>
      <c r="AA549" s="17" t="e">
        <f>VLOOKUP(F549,[2]Wait!$H$225:$I$260,2,0)</f>
        <v>#N/A</v>
      </c>
    </row>
    <row r="550" spans="1:27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2326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225</v>
      </c>
      <c r="K550" s="20" t="s">
        <v>59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>
        <v>46281</v>
      </c>
      <c r="W550" s="21">
        <v>46277</v>
      </c>
      <c r="X550" s="20" t="s">
        <v>2324</v>
      </c>
      <c r="Y550" s="21">
        <v>46277</v>
      </c>
      <c r="Z550" s="20" t="s">
        <v>226</v>
      </c>
      <c r="AA550" s="17" t="e">
        <f>VLOOKUP(F550,[2]Wait!$H$225:$I$260,2,0)</f>
        <v>#N/A</v>
      </c>
    </row>
    <row r="551" spans="1:27" x14ac:dyDescent="0.25">
      <c r="A551" s="9">
        <f t="shared" si="8"/>
        <v>544</v>
      </c>
      <c r="B551" s="19" t="s">
        <v>926</v>
      </c>
      <c r="C551" s="20" t="s">
        <v>927</v>
      </c>
      <c r="D551" s="20" t="s">
        <v>2327</v>
      </c>
      <c r="E551" s="20" t="s">
        <v>2322</v>
      </c>
      <c r="F551" s="20" t="s">
        <v>2322</v>
      </c>
      <c r="G551" s="20" t="s">
        <v>194</v>
      </c>
      <c r="H551" s="20" t="s">
        <v>26</v>
      </c>
      <c r="I551" s="21">
        <v>46277</v>
      </c>
      <c r="J551" s="20" t="s">
        <v>82</v>
      </c>
      <c r="K551" s="20" t="s">
        <v>684</v>
      </c>
      <c r="L551" s="20" t="s">
        <v>2323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46277</v>
      </c>
      <c r="X551" s="20" t="s">
        <v>2324</v>
      </c>
      <c r="Y551" s="21">
        <v>46277</v>
      </c>
      <c r="Z551" s="20" t="s">
        <v>226</v>
      </c>
      <c r="AA551" s="17" t="e">
        <f>VLOOKUP(F551,[2]Wait!$H$225:$I$260,2,0)</f>
        <v>#N/A</v>
      </c>
    </row>
    <row r="552" spans="1:27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3398</v>
      </c>
      <c r="E552" s="20" t="s">
        <v>3399</v>
      </c>
      <c r="F552" s="20" t="s">
        <v>3399</v>
      </c>
      <c r="G552" s="20" t="s">
        <v>194</v>
      </c>
      <c r="H552" s="20" t="s">
        <v>26</v>
      </c>
      <c r="I552" s="21">
        <v>46290</v>
      </c>
      <c r="J552" s="20" t="s">
        <v>36</v>
      </c>
      <c r="K552" s="20" t="s">
        <v>28</v>
      </c>
      <c r="L552" s="20" t="s">
        <v>3400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/>
      <c r="W552" s="21">
        <v>46290</v>
      </c>
      <c r="X552" s="20" t="s">
        <v>3401</v>
      </c>
      <c r="Y552" s="21">
        <v>46294</v>
      </c>
      <c r="Z552" s="20" t="s">
        <v>226</v>
      </c>
      <c r="AA552" s="17" t="e">
        <f>VLOOKUP(F552,[2]Wait!$H$225:$I$260,2,0)</f>
        <v>#N/A</v>
      </c>
    </row>
    <row r="553" spans="1:27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3399</v>
      </c>
      <c r="F553" s="20" t="s">
        <v>3399</v>
      </c>
      <c r="G553" s="20" t="s">
        <v>194</v>
      </c>
      <c r="H553" s="20" t="s">
        <v>26</v>
      </c>
      <c r="I553" s="21">
        <v>46290</v>
      </c>
      <c r="J553" s="20" t="s">
        <v>27</v>
      </c>
      <c r="K553" s="20" t="s">
        <v>58</v>
      </c>
      <c r="L553" s="20" t="s">
        <v>3400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>
        <v>46296</v>
      </c>
      <c r="W553" s="21">
        <v>46290</v>
      </c>
      <c r="X553" s="20" t="s">
        <v>3401</v>
      </c>
      <c r="Y553" s="21">
        <v>46294</v>
      </c>
      <c r="Z553" s="20" t="s">
        <v>226</v>
      </c>
      <c r="AA553" s="17" t="e">
        <f>VLOOKUP(F553,[2]Wait!$H$225:$I$260,2,0)</f>
        <v>#N/A</v>
      </c>
    </row>
    <row r="554" spans="1:27" x14ac:dyDescent="0.25">
      <c r="A554" s="9">
        <f t="shared" si="8"/>
        <v>547</v>
      </c>
      <c r="B554" s="19" t="s">
        <v>926</v>
      </c>
      <c r="C554" s="20" t="s">
        <v>927</v>
      </c>
      <c r="D554" s="20" t="s">
        <v>3403</v>
      </c>
      <c r="E554" s="20" t="s">
        <v>3399</v>
      </c>
      <c r="F554" s="20" t="s">
        <v>3399</v>
      </c>
      <c r="G554" s="20" t="s">
        <v>194</v>
      </c>
      <c r="H554" s="20" t="s">
        <v>26</v>
      </c>
      <c r="I554" s="21">
        <v>46290</v>
      </c>
      <c r="J554" s="20" t="s">
        <v>36</v>
      </c>
      <c r="K554" s="20" t="s">
        <v>59</v>
      </c>
      <c r="L554" s="20" t="s">
        <v>3400</v>
      </c>
      <c r="M554" s="20" t="s">
        <v>1673</v>
      </c>
      <c r="N554" s="22" t="s">
        <v>250</v>
      </c>
      <c r="O554" s="20" t="s">
        <v>1044</v>
      </c>
      <c r="P554" s="20" t="s">
        <v>26</v>
      </c>
      <c r="Q554" s="20" t="s">
        <v>26</v>
      </c>
      <c r="R554" s="20" t="s">
        <v>26</v>
      </c>
      <c r="S554" s="20" t="s">
        <v>63</v>
      </c>
      <c r="T554" s="20" t="s">
        <v>195</v>
      </c>
      <c r="U554" s="20" t="s">
        <v>26</v>
      </c>
      <c r="V554" s="21"/>
      <c r="W554" s="21">
        <v>46290</v>
      </c>
      <c r="X554" s="20" t="s">
        <v>3401</v>
      </c>
      <c r="Y554" s="21">
        <v>46294</v>
      </c>
      <c r="Z554" s="20" t="s">
        <v>226</v>
      </c>
      <c r="AA554" s="17" t="e">
        <f>VLOOKUP(F554,[2]Wait!$H$225:$I$260,2,0)</f>
        <v>#N/A</v>
      </c>
    </row>
    <row r="555" spans="1:27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1690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28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>
        <v>46157</v>
      </c>
      <c r="W555" s="21">
        <v>46258</v>
      </c>
      <c r="X555" s="20" t="s">
        <v>34</v>
      </c>
      <c r="Y555" s="21">
        <v>46274</v>
      </c>
      <c r="Z555" s="20" t="s">
        <v>57</v>
      </c>
      <c r="AA555" s="17" t="e">
        <f>VLOOKUP(F555,[2]Wait!$H$225:$I$260,2,0)</f>
        <v>#N/A</v>
      </c>
    </row>
    <row r="556" spans="1:27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1693</v>
      </c>
      <c r="E556" s="20" t="s">
        <v>1691</v>
      </c>
      <c r="F556" s="20" t="s">
        <v>1691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58</v>
      </c>
      <c r="L556" s="20" t="s">
        <v>1692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/>
      <c r="W556" s="21">
        <v>46258</v>
      </c>
      <c r="X556" s="20" t="s">
        <v>34</v>
      </c>
      <c r="Y556" s="21">
        <v>46274</v>
      </c>
      <c r="Z556" s="20" t="s">
        <v>57</v>
      </c>
      <c r="AA556" s="17" t="e">
        <f>VLOOKUP(F556,[2]Wait!$H$225:$I$260,2,0)</f>
        <v>#N/A</v>
      </c>
    </row>
    <row r="557" spans="1:27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1694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28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>
        <v>46061</v>
      </c>
      <c r="W557" s="21">
        <v>46258</v>
      </c>
      <c r="X557" s="20" t="s">
        <v>34</v>
      </c>
      <c r="Y557" s="21">
        <v>46274</v>
      </c>
      <c r="Z557" s="20" t="s">
        <v>57</v>
      </c>
      <c r="AA557" s="17" t="e">
        <f>VLOOKUP(F557,[2]Wait!$H$225:$I$260,2,0)</f>
        <v>#N/A</v>
      </c>
    </row>
    <row r="558" spans="1:27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1697</v>
      </c>
      <c r="E558" s="20" t="s">
        <v>1695</v>
      </c>
      <c r="F558" s="20" t="s">
        <v>1695</v>
      </c>
      <c r="G558" s="20" t="s">
        <v>194</v>
      </c>
      <c r="H558" s="20" t="s">
        <v>26</v>
      </c>
      <c r="I558" s="21">
        <v>46258</v>
      </c>
      <c r="J558" s="20" t="s">
        <v>255</v>
      </c>
      <c r="K558" s="20" t="s">
        <v>58</v>
      </c>
      <c r="L558" s="20" t="s">
        <v>1696</v>
      </c>
      <c r="M558" s="20" t="s">
        <v>680</v>
      </c>
      <c r="N558" s="22" t="s">
        <v>250</v>
      </c>
      <c r="O558" s="20" t="s">
        <v>1044</v>
      </c>
      <c r="P558" s="20" t="s">
        <v>257</v>
      </c>
      <c r="Q558" s="20" t="s">
        <v>258</v>
      </c>
      <c r="R558" s="20" t="s">
        <v>26</v>
      </c>
      <c r="S558" s="20" t="s">
        <v>255</v>
      </c>
      <c r="T558" s="20" t="s">
        <v>195</v>
      </c>
      <c r="U558" s="20" t="s">
        <v>26</v>
      </c>
      <c r="V558" s="21"/>
      <c r="W558" s="21">
        <v>46258</v>
      </c>
      <c r="X558" s="20" t="s">
        <v>34</v>
      </c>
      <c r="Y558" s="21">
        <v>46274</v>
      </c>
      <c r="Z558" s="20" t="s">
        <v>57</v>
      </c>
      <c r="AA558" s="17" t="e">
        <f>VLOOKUP(F558,[2]Wait!$H$225:$I$260,2,0)</f>
        <v>#N/A</v>
      </c>
    </row>
    <row r="559" spans="1:27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1698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1699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  <c r="AA559" s="17" t="e">
        <f>VLOOKUP(F559,[2]Wait!$H$225:$I$260,2,0)</f>
        <v>#N/A</v>
      </c>
    </row>
    <row r="560" spans="1:27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1700</v>
      </c>
      <c r="E560" s="20" t="s">
        <v>26</v>
      </c>
      <c r="F560" s="20" t="s">
        <v>3405</v>
      </c>
      <c r="G560" s="20" t="s">
        <v>35</v>
      </c>
      <c r="H560" s="20" t="s">
        <v>26</v>
      </c>
      <c r="I560" s="21">
        <v>46259</v>
      </c>
      <c r="J560" s="20" t="s">
        <v>36</v>
      </c>
      <c r="K560" s="20" t="s">
        <v>28</v>
      </c>
      <c r="L560" s="20" t="s">
        <v>1701</v>
      </c>
      <c r="M560" s="20" t="s">
        <v>267</v>
      </c>
      <c r="N560" s="22" t="s">
        <v>250</v>
      </c>
      <c r="O560" s="20" t="s">
        <v>946</v>
      </c>
      <c r="P560" s="20" t="s">
        <v>26</v>
      </c>
      <c r="Q560" s="20" t="s">
        <v>26</v>
      </c>
      <c r="R560" s="20" t="s">
        <v>69</v>
      </c>
      <c r="S560" s="20" t="s">
        <v>32</v>
      </c>
      <c r="T560" s="20" t="s">
        <v>38</v>
      </c>
      <c r="U560" s="20" t="s">
        <v>958</v>
      </c>
      <c r="V560" s="21">
        <v>46279</v>
      </c>
      <c r="W560" s="21">
        <v>46259</v>
      </c>
      <c r="X560" s="20" t="s">
        <v>39</v>
      </c>
      <c r="Y560" s="21">
        <v>46259</v>
      </c>
      <c r="Z560" s="20" t="s">
        <v>39</v>
      </c>
      <c r="AA560" s="17" t="e">
        <f>VLOOKUP(F560,[2]Wait!$H$225:$I$260,2,0)</f>
        <v>#N/A</v>
      </c>
    </row>
    <row r="561" spans="1:27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1702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28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>
        <v>45952</v>
      </c>
      <c r="W561" s="21">
        <v>46258</v>
      </c>
      <c r="X561" s="20" t="s">
        <v>34</v>
      </c>
      <c r="Y561" s="21">
        <v>46274</v>
      </c>
      <c r="Z561" s="20" t="s">
        <v>57</v>
      </c>
      <c r="AA561" s="17" t="e">
        <f>VLOOKUP(F561,[2]Wait!$H$225:$I$260,2,0)</f>
        <v>#N/A</v>
      </c>
    </row>
    <row r="562" spans="1:27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1705</v>
      </c>
      <c r="E562" s="20" t="s">
        <v>1703</v>
      </c>
      <c r="F562" s="20" t="s">
        <v>1703</v>
      </c>
      <c r="G562" s="20" t="s">
        <v>194</v>
      </c>
      <c r="H562" s="20" t="s">
        <v>26</v>
      </c>
      <c r="I562" s="21">
        <v>46258</v>
      </c>
      <c r="J562" s="20" t="s">
        <v>255</v>
      </c>
      <c r="K562" s="20" t="s">
        <v>58</v>
      </c>
      <c r="L562" s="20" t="s">
        <v>1704</v>
      </c>
      <c r="M562" s="20" t="s">
        <v>267</v>
      </c>
      <c r="N562" s="22" t="s">
        <v>250</v>
      </c>
      <c r="O562" s="20" t="s">
        <v>1044</v>
      </c>
      <c r="P562" s="20" t="s">
        <v>257</v>
      </c>
      <c r="Q562" s="20" t="s">
        <v>258</v>
      </c>
      <c r="R562" s="20" t="s">
        <v>26</v>
      </c>
      <c r="S562" s="20" t="s">
        <v>255</v>
      </c>
      <c r="T562" s="20" t="s">
        <v>195</v>
      </c>
      <c r="U562" s="20" t="s">
        <v>26</v>
      </c>
      <c r="V562" s="21"/>
      <c r="W562" s="21">
        <v>46258</v>
      </c>
      <c r="X562" s="20" t="s">
        <v>34</v>
      </c>
      <c r="Y562" s="21">
        <v>46274</v>
      </c>
      <c r="Z562" s="20" t="s">
        <v>57</v>
      </c>
      <c r="AA562" s="17" t="e">
        <f>VLOOKUP(F562,[2]Wait!$H$225:$I$260,2,0)</f>
        <v>#N/A</v>
      </c>
    </row>
    <row r="563" spans="1:27" x14ac:dyDescent="0.25">
      <c r="A563" s="9">
        <f t="shared" si="8"/>
        <v>556</v>
      </c>
      <c r="B563" s="19" t="s">
        <v>926</v>
      </c>
      <c r="C563" s="20" t="s">
        <v>927</v>
      </c>
      <c r="D563" s="20" t="s">
        <v>2778</v>
      </c>
      <c r="E563" s="20" t="s">
        <v>2779</v>
      </c>
      <c r="F563" s="20" t="s">
        <v>2779</v>
      </c>
      <c r="G563" s="20" t="s">
        <v>194</v>
      </c>
      <c r="H563" s="20" t="s">
        <v>26</v>
      </c>
      <c r="I563" s="21">
        <v>46258</v>
      </c>
      <c r="J563" s="20" t="s">
        <v>36</v>
      </c>
      <c r="K563" s="20" t="s">
        <v>28</v>
      </c>
      <c r="L563" s="20" t="s">
        <v>2780</v>
      </c>
      <c r="M563" s="20" t="s">
        <v>267</v>
      </c>
      <c r="N563" s="22" t="s">
        <v>250</v>
      </c>
      <c r="O563" s="20" t="s">
        <v>1044</v>
      </c>
      <c r="P563" s="20" t="s">
        <v>26</v>
      </c>
      <c r="Q563" s="20" t="s">
        <v>26</v>
      </c>
      <c r="R563" s="20" t="s">
        <v>26</v>
      </c>
      <c r="S563" s="20" t="s">
        <v>36</v>
      </c>
      <c r="T563" s="20" t="s">
        <v>195</v>
      </c>
      <c r="U563" s="20" t="s">
        <v>26</v>
      </c>
      <c r="V563" s="21">
        <v>46279</v>
      </c>
      <c r="W563" s="21">
        <v>46258</v>
      </c>
      <c r="X563" s="20" t="s">
        <v>34</v>
      </c>
      <c r="Y563" s="21">
        <v>46274</v>
      </c>
      <c r="Z563" s="20" t="s">
        <v>57</v>
      </c>
      <c r="AA563" s="17" t="e">
        <f>VLOOKUP(F563,[2]Wait!$H$225:$I$260,2,0)</f>
        <v>#N/A</v>
      </c>
    </row>
    <row r="564" spans="1:27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1706</v>
      </c>
      <c r="E564" s="20" t="s">
        <v>1707</v>
      </c>
      <c r="F564" s="20" t="s">
        <v>3406</v>
      </c>
      <c r="G564" s="20" t="s">
        <v>273</v>
      </c>
      <c r="H564" s="20" t="s">
        <v>26</v>
      </c>
      <c r="I564" s="21">
        <v>46256</v>
      </c>
      <c r="J564" s="20" t="s">
        <v>27</v>
      </c>
      <c r="K564" s="20" t="s">
        <v>28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>
        <v>46272</v>
      </c>
      <c r="W564" s="21">
        <v>46256</v>
      </c>
      <c r="X564" s="20" t="s">
        <v>34</v>
      </c>
      <c r="Y564" s="21">
        <v>46267</v>
      </c>
      <c r="Z564" s="20" t="s">
        <v>34</v>
      </c>
      <c r="AA564" s="17" t="e">
        <f>VLOOKUP(F564,[2]Wait!$H$225:$I$260,2,0)</f>
        <v>#N/A</v>
      </c>
    </row>
    <row r="565" spans="1:27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1710</v>
      </c>
      <c r="E565" s="20" t="s">
        <v>1707</v>
      </c>
      <c r="F565" s="20" t="s">
        <v>3406</v>
      </c>
      <c r="G565" s="20" t="s">
        <v>273</v>
      </c>
      <c r="H565" s="20" t="s">
        <v>26</v>
      </c>
      <c r="I565" s="21">
        <v>46256</v>
      </c>
      <c r="J565" s="20" t="s">
        <v>110</v>
      </c>
      <c r="K565" s="20" t="s">
        <v>58</v>
      </c>
      <c r="L565" s="20" t="s">
        <v>1708</v>
      </c>
      <c r="M565" s="20" t="s">
        <v>262</v>
      </c>
      <c r="N565" s="22" t="s">
        <v>250</v>
      </c>
      <c r="O565" s="20" t="s">
        <v>932</v>
      </c>
      <c r="P565" s="20" t="s">
        <v>214</v>
      </c>
      <c r="Q565" s="20" t="s">
        <v>215</v>
      </c>
      <c r="R565" s="20" t="s">
        <v>26</v>
      </c>
      <c r="S565" s="20" t="s">
        <v>32</v>
      </c>
      <c r="T565" s="20" t="s">
        <v>113</v>
      </c>
      <c r="U565" s="20" t="s">
        <v>1709</v>
      </c>
      <c r="V565" s="21">
        <v>46274</v>
      </c>
      <c r="W565" s="21">
        <v>46256</v>
      </c>
      <c r="X565" s="20" t="s">
        <v>34</v>
      </c>
      <c r="Y565" s="21">
        <v>46267</v>
      </c>
      <c r="Z565" s="20" t="s">
        <v>34</v>
      </c>
      <c r="AA565" s="17" t="e">
        <f>VLOOKUP(F565,[2]Wait!$H$225:$I$260,2,0)</f>
        <v>#N/A</v>
      </c>
    </row>
    <row r="566" spans="1:27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1711</v>
      </c>
      <c r="E566" s="20" t="s">
        <v>1707</v>
      </c>
      <c r="F566" s="20" t="s">
        <v>3406</v>
      </c>
      <c r="G566" s="20" t="s">
        <v>273</v>
      </c>
      <c r="H566" s="20" t="s">
        <v>26</v>
      </c>
      <c r="I566" s="21">
        <v>46256</v>
      </c>
      <c r="J566" s="20" t="s">
        <v>36</v>
      </c>
      <c r="K566" s="20" t="s">
        <v>59</v>
      </c>
      <c r="L566" s="20" t="s">
        <v>1708</v>
      </c>
      <c r="M566" s="20" t="s">
        <v>262</v>
      </c>
      <c r="N566" s="22" t="s">
        <v>250</v>
      </c>
      <c r="O566" s="20" t="s">
        <v>932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113</v>
      </c>
      <c r="U566" s="20" t="s">
        <v>1709</v>
      </c>
      <c r="V566" s="21"/>
      <c r="W566" s="21">
        <v>46256</v>
      </c>
      <c r="X566" s="20" t="s">
        <v>34</v>
      </c>
      <c r="Y566" s="21">
        <v>46267</v>
      </c>
      <c r="Z566" s="20" t="s">
        <v>34</v>
      </c>
      <c r="AA566" s="17" t="e">
        <f>VLOOKUP(F566,[2]Wait!$H$225:$I$260,2,0)</f>
        <v>#N/A</v>
      </c>
    </row>
    <row r="567" spans="1:27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1712</v>
      </c>
      <c r="E567" s="20" t="s">
        <v>26</v>
      </c>
      <c r="F567" s="20" t="s">
        <v>3407</v>
      </c>
      <c r="G567" s="20" t="s">
        <v>35</v>
      </c>
      <c r="H567" s="20" t="s">
        <v>26</v>
      </c>
      <c r="I567" s="21">
        <v>46263</v>
      </c>
      <c r="J567" s="20" t="s">
        <v>110</v>
      </c>
      <c r="K567" s="20" t="s">
        <v>28</v>
      </c>
      <c r="L567" s="20" t="s">
        <v>1713</v>
      </c>
      <c r="M567" s="20" t="s">
        <v>262</v>
      </c>
      <c r="N567" s="22" t="s">
        <v>250</v>
      </c>
      <c r="O567" s="20" t="s">
        <v>949</v>
      </c>
      <c r="P567" s="20" t="s">
        <v>30</v>
      </c>
      <c r="Q567" s="20" t="s">
        <v>31</v>
      </c>
      <c r="R567" s="20" t="s">
        <v>126</v>
      </c>
      <c r="S567" s="20" t="s">
        <v>32</v>
      </c>
      <c r="T567" s="20" t="s">
        <v>136</v>
      </c>
      <c r="U567" s="20" t="s">
        <v>1714</v>
      </c>
      <c r="V567" s="21">
        <v>46279</v>
      </c>
      <c r="W567" s="21">
        <v>46263</v>
      </c>
      <c r="X567" s="20" t="s">
        <v>39</v>
      </c>
      <c r="Y567" s="21">
        <v>46263</v>
      </c>
      <c r="Z567" s="20" t="s">
        <v>39</v>
      </c>
      <c r="AA567" s="17" t="e">
        <f>VLOOKUP(F567,[2]Wait!$H$225:$I$260,2,0)</f>
        <v>#N/A</v>
      </c>
    </row>
    <row r="568" spans="1:27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1715</v>
      </c>
      <c r="E568" s="20" t="s">
        <v>26</v>
      </c>
      <c r="F568" s="20" t="s">
        <v>3407</v>
      </c>
      <c r="G568" s="20" t="s">
        <v>35</v>
      </c>
      <c r="H568" s="20" t="s">
        <v>26</v>
      </c>
      <c r="I568" s="21">
        <v>46263</v>
      </c>
      <c r="J568" s="20" t="s">
        <v>27</v>
      </c>
      <c r="K568" s="20" t="s">
        <v>58</v>
      </c>
      <c r="L568" s="20" t="s">
        <v>1713</v>
      </c>
      <c r="M568" s="20" t="s">
        <v>262</v>
      </c>
      <c r="N568" s="22" t="s">
        <v>250</v>
      </c>
      <c r="O568" s="20" t="s">
        <v>949</v>
      </c>
      <c r="P568" s="20" t="s">
        <v>30</v>
      </c>
      <c r="Q568" s="20" t="s">
        <v>31</v>
      </c>
      <c r="R568" s="20" t="s">
        <v>126</v>
      </c>
      <c r="S568" s="20" t="s">
        <v>32</v>
      </c>
      <c r="T568" s="20" t="s">
        <v>136</v>
      </c>
      <c r="U568" s="20" t="s">
        <v>1714</v>
      </c>
      <c r="V568" s="21">
        <v>46279</v>
      </c>
      <c r="W568" s="21">
        <v>46263</v>
      </c>
      <c r="X568" s="20" t="s">
        <v>39</v>
      </c>
      <c r="Y568" s="21">
        <v>46263</v>
      </c>
      <c r="Z568" s="20" t="s">
        <v>39</v>
      </c>
      <c r="AA568" s="17" t="e">
        <f>VLOOKUP(F568,[2]Wait!$H$225:$I$260,2,0)</f>
        <v>#N/A</v>
      </c>
    </row>
    <row r="569" spans="1:27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1716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28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/>
      <c r="W569" s="21">
        <v>46258</v>
      </c>
      <c r="X569" s="20" t="s">
        <v>34</v>
      </c>
      <c r="Y569" s="21">
        <v>46274</v>
      </c>
      <c r="Z569" s="20" t="s">
        <v>57</v>
      </c>
      <c r="AA569" s="17" t="e">
        <f>VLOOKUP(F569,[2]Wait!$H$225:$I$260,2,0)</f>
        <v>#N/A</v>
      </c>
    </row>
    <row r="570" spans="1:27" x14ac:dyDescent="0.25">
      <c r="A570" s="9">
        <f t="shared" si="8"/>
        <v>563</v>
      </c>
      <c r="B570" s="19" t="s">
        <v>926</v>
      </c>
      <c r="C570" s="20" t="s">
        <v>927</v>
      </c>
      <c r="D570" s="20" t="s">
        <v>1719</v>
      </c>
      <c r="E570" s="20" t="s">
        <v>1717</v>
      </c>
      <c r="F570" s="20" t="s">
        <v>1717</v>
      </c>
      <c r="G570" s="20" t="s">
        <v>194</v>
      </c>
      <c r="H570" s="20" t="s">
        <v>26</v>
      </c>
      <c r="I570" s="21">
        <v>46258</v>
      </c>
      <c r="J570" s="20" t="s">
        <v>260</v>
      </c>
      <c r="K570" s="20" t="s">
        <v>58</v>
      </c>
      <c r="L570" s="20" t="s">
        <v>1718</v>
      </c>
      <c r="M570" s="20" t="s">
        <v>262</v>
      </c>
      <c r="N570" s="22" t="s">
        <v>250</v>
      </c>
      <c r="O570" s="20" t="s">
        <v>1044</v>
      </c>
      <c r="P570" s="20" t="s">
        <v>257</v>
      </c>
      <c r="Q570" s="20" t="s">
        <v>258</v>
      </c>
      <c r="R570" s="20" t="s">
        <v>26</v>
      </c>
      <c r="S570" s="20" t="s">
        <v>255</v>
      </c>
      <c r="T570" s="20" t="s">
        <v>195</v>
      </c>
      <c r="U570" s="20" t="s">
        <v>26</v>
      </c>
      <c r="V570" s="21"/>
      <c r="W570" s="21">
        <v>46258</v>
      </c>
      <c r="X570" s="20" t="s">
        <v>34</v>
      </c>
      <c r="Y570" s="21">
        <v>46274</v>
      </c>
      <c r="Z570" s="20" t="s">
        <v>57</v>
      </c>
      <c r="AA570" s="17" t="e">
        <f>VLOOKUP(F570,[2]Wait!$H$225:$I$260,2,0)</f>
        <v>#N/A</v>
      </c>
    </row>
    <row r="571" spans="1:27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1720</v>
      </c>
      <c r="E571" s="20" t="s">
        <v>1717</v>
      </c>
      <c r="F571" s="20" t="s">
        <v>1717</v>
      </c>
      <c r="G571" s="20" t="s">
        <v>194</v>
      </c>
      <c r="H571" s="20" t="s">
        <v>26</v>
      </c>
      <c r="I571" s="21">
        <v>46258</v>
      </c>
      <c r="J571" s="20" t="s">
        <v>255</v>
      </c>
      <c r="K571" s="20" t="s">
        <v>58</v>
      </c>
      <c r="L571" s="20" t="s">
        <v>1718</v>
      </c>
      <c r="M571" s="20" t="s">
        <v>262</v>
      </c>
      <c r="N571" s="22" t="s">
        <v>250</v>
      </c>
      <c r="O571" s="20" t="s">
        <v>1044</v>
      </c>
      <c r="P571" s="20" t="s">
        <v>257</v>
      </c>
      <c r="Q571" s="20" t="s">
        <v>258</v>
      </c>
      <c r="R571" s="20" t="s">
        <v>26</v>
      </c>
      <c r="S571" s="20" t="s">
        <v>255</v>
      </c>
      <c r="T571" s="20" t="s">
        <v>195</v>
      </c>
      <c r="U571" s="20" t="s">
        <v>26</v>
      </c>
      <c r="V571" s="21">
        <v>46243</v>
      </c>
      <c r="W571" s="21">
        <v>46258</v>
      </c>
      <c r="X571" s="20" t="s">
        <v>34</v>
      </c>
      <c r="Y571" s="21">
        <v>46274</v>
      </c>
      <c r="Z571" s="20" t="s">
        <v>57</v>
      </c>
      <c r="AA571" s="17" t="e">
        <f>VLOOKUP(F571,[2]Wait!$H$225:$I$260,2,0)</f>
        <v>#N/A</v>
      </c>
    </row>
    <row r="572" spans="1:27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1721</v>
      </c>
      <c r="E572" s="20" t="s">
        <v>1722</v>
      </c>
      <c r="F572" s="20" t="s">
        <v>3408</v>
      </c>
      <c r="G572" s="20" t="s">
        <v>25</v>
      </c>
      <c r="H572" s="20" t="s">
        <v>26</v>
      </c>
      <c r="I572" s="21">
        <v>46258</v>
      </c>
      <c r="J572" s="20" t="s">
        <v>36</v>
      </c>
      <c r="K572" s="20" t="s">
        <v>28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/>
      <c r="W572" s="21">
        <v>46258</v>
      </c>
      <c r="X572" s="20" t="s">
        <v>34</v>
      </c>
      <c r="Y572" s="21">
        <v>46274</v>
      </c>
      <c r="Z572" s="20" t="s">
        <v>57</v>
      </c>
      <c r="AA572" s="17" t="e">
        <f>VLOOKUP(F572,[2]Wait!$H$225:$I$260,2,0)</f>
        <v>#N/A</v>
      </c>
    </row>
    <row r="573" spans="1:27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1723</v>
      </c>
      <c r="E573" s="20" t="s">
        <v>1722</v>
      </c>
      <c r="F573" s="20" t="s">
        <v>3408</v>
      </c>
      <c r="G573" s="20" t="s">
        <v>25</v>
      </c>
      <c r="H573" s="20" t="s">
        <v>26</v>
      </c>
      <c r="I573" s="21">
        <v>46258</v>
      </c>
      <c r="J573" s="20" t="s">
        <v>52</v>
      </c>
      <c r="K573" s="20" t="s">
        <v>58</v>
      </c>
      <c r="L573" s="20" t="s">
        <v>274</v>
      </c>
      <c r="M573" s="20" t="s">
        <v>256</v>
      </c>
      <c r="N573" s="22" t="s">
        <v>250</v>
      </c>
      <c r="O573" s="20" t="s">
        <v>1044</v>
      </c>
      <c r="P573" s="20" t="s">
        <v>148</v>
      </c>
      <c r="Q573" s="20" t="s">
        <v>149</v>
      </c>
      <c r="R573" s="20" t="s">
        <v>26</v>
      </c>
      <c r="S573" s="20" t="s">
        <v>32</v>
      </c>
      <c r="T573" s="20" t="s">
        <v>195</v>
      </c>
      <c r="U573" s="20" t="s">
        <v>275</v>
      </c>
      <c r="V573" s="21">
        <v>46238</v>
      </c>
      <c r="W573" s="21">
        <v>46258</v>
      </c>
      <c r="X573" s="20" t="s">
        <v>34</v>
      </c>
      <c r="Y573" s="21">
        <v>46274</v>
      </c>
      <c r="Z573" s="20" t="s">
        <v>57</v>
      </c>
      <c r="AA573" s="17" t="e">
        <f>VLOOKUP(F573,[2]Wait!$H$225:$I$260,2,0)</f>
        <v>#N/A</v>
      </c>
    </row>
    <row r="574" spans="1:27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1730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1731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1099</v>
      </c>
      <c r="V574" s="21">
        <v>46280</v>
      </c>
      <c r="W574" s="21">
        <v>46267</v>
      </c>
      <c r="X574" s="20" t="s">
        <v>39</v>
      </c>
      <c r="Y574" s="21">
        <v>46267</v>
      </c>
      <c r="Z574" s="20" t="s">
        <v>39</v>
      </c>
      <c r="AA574" s="17" t="e">
        <f>VLOOKUP(F574,[2]Wait!$H$225:$I$260,2,0)</f>
        <v>#N/A</v>
      </c>
    </row>
    <row r="575" spans="1:27" x14ac:dyDescent="0.25">
      <c r="A575" s="9">
        <f t="shared" si="8"/>
        <v>568</v>
      </c>
      <c r="B575" s="19" t="s">
        <v>926</v>
      </c>
      <c r="C575" s="20" t="s">
        <v>927</v>
      </c>
      <c r="D575" s="20" t="s">
        <v>1732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46267</v>
      </c>
      <c r="J575" s="20" t="s">
        <v>27</v>
      </c>
      <c r="K575" s="20" t="s">
        <v>28</v>
      </c>
      <c r="L575" s="20" t="s">
        <v>850</v>
      </c>
      <c r="M575" s="20" t="s">
        <v>256</v>
      </c>
      <c r="N575" s="22" t="s">
        <v>250</v>
      </c>
      <c r="O575" s="20" t="s">
        <v>961</v>
      </c>
      <c r="P575" s="20" t="s">
        <v>26</v>
      </c>
      <c r="Q575" s="20" t="s">
        <v>26</v>
      </c>
      <c r="R575" s="20" t="s">
        <v>121</v>
      </c>
      <c r="S575" s="20" t="s">
        <v>32</v>
      </c>
      <c r="T575" s="20" t="s">
        <v>33</v>
      </c>
      <c r="U575" s="20" t="s">
        <v>511</v>
      </c>
      <c r="V575" s="21">
        <v>46279</v>
      </c>
      <c r="W575" s="21">
        <v>46267</v>
      </c>
      <c r="X575" s="20" t="s">
        <v>39</v>
      </c>
      <c r="Y575" s="21">
        <v>46267</v>
      </c>
      <c r="Z575" s="20" t="s">
        <v>39</v>
      </c>
      <c r="AA575" s="17" t="e">
        <f>VLOOKUP(F575,[2]Wait!$H$225:$I$260,2,0)</f>
        <v>#N/A</v>
      </c>
    </row>
    <row r="576" spans="1:27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2707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46269</v>
      </c>
      <c r="J576" s="20" t="s">
        <v>27</v>
      </c>
      <c r="K576" s="20" t="s">
        <v>28</v>
      </c>
      <c r="L576" s="20" t="s">
        <v>2708</v>
      </c>
      <c r="M576" s="20" t="s">
        <v>256</v>
      </c>
      <c r="N576" s="22" t="s">
        <v>250</v>
      </c>
      <c r="O576" s="20" t="s">
        <v>955</v>
      </c>
      <c r="P576" s="20" t="s">
        <v>26</v>
      </c>
      <c r="Q576" s="20" t="s">
        <v>26</v>
      </c>
      <c r="R576" s="20" t="s">
        <v>253</v>
      </c>
      <c r="S576" s="20" t="s">
        <v>32</v>
      </c>
      <c r="T576" s="20" t="s">
        <v>33</v>
      </c>
      <c r="U576" s="20" t="s">
        <v>2709</v>
      </c>
      <c r="V576" s="21">
        <v>46287</v>
      </c>
      <c r="W576" s="21">
        <v>46269</v>
      </c>
      <c r="X576" s="20" t="s">
        <v>39</v>
      </c>
      <c r="Y576" s="21">
        <v>46269</v>
      </c>
      <c r="Z576" s="20" t="s">
        <v>39</v>
      </c>
      <c r="AA576" s="17" t="e">
        <f>VLOOKUP(F576,[2]Wait!$H$225:$I$260,2,0)</f>
        <v>#N/A</v>
      </c>
    </row>
    <row r="577" spans="1:27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2820</v>
      </c>
      <c r="E577" s="20" t="s">
        <v>26</v>
      </c>
      <c r="F577" s="20" t="s">
        <v>3412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28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>
        <v>46278</v>
      </c>
      <c r="W577" s="21">
        <v>46254</v>
      </c>
      <c r="X577" s="20" t="s">
        <v>34</v>
      </c>
      <c r="Y577" s="21">
        <v>46254</v>
      </c>
      <c r="Z577" s="20" t="s">
        <v>57</v>
      </c>
      <c r="AA577" s="17" t="e">
        <f>VLOOKUP(F577,[2]Wait!$H$225:$I$260,2,0)</f>
        <v>#N/A</v>
      </c>
    </row>
    <row r="578" spans="1:27" x14ac:dyDescent="0.25">
      <c r="A578" s="9">
        <f t="shared" si="8"/>
        <v>571</v>
      </c>
      <c r="B578" s="19" t="s">
        <v>926</v>
      </c>
      <c r="C578" s="20" t="s">
        <v>927</v>
      </c>
      <c r="D578" s="20" t="s">
        <v>2821</v>
      </c>
      <c r="E578" s="20" t="s">
        <v>26</v>
      </c>
      <c r="F578" s="20" t="s">
        <v>3412</v>
      </c>
      <c r="G578" s="20" t="s">
        <v>35</v>
      </c>
      <c r="H578" s="20" t="s">
        <v>26</v>
      </c>
      <c r="I578" s="21">
        <v>46254</v>
      </c>
      <c r="J578" s="20" t="s">
        <v>36</v>
      </c>
      <c r="K578" s="20" t="s">
        <v>58</v>
      </c>
      <c r="L578" s="20" t="s">
        <v>878</v>
      </c>
      <c r="M578" s="20" t="s">
        <v>256</v>
      </c>
      <c r="N578" s="22" t="s">
        <v>250</v>
      </c>
      <c r="O578" s="20" t="s">
        <v>961</v>
      </c>
      <c r="P578" s="20" t="s">
        <v>41</v>
      </c>
      <c r="Q578" s="20" t="s">
        <v>42</v>
      </c>
      <c r="R578" s="20" t="s">
        <v>65</v>
      </c>
      <c r="S578" s="20" t="s">
        <v>32</v>
      </c>
      <c r="T578" s="20" t="s">
        <v>107</v>
      </c>
      <c r="U578" s="20" t="s">
        <v>879</v>
      </c>
      <c r="V578" s="21"/>
      <c r="W578" s="21">
        <v>46254</v>
      </c>
      <c r="X578" s="20" t="s">
        <v>34</v>
      </c>
      <c r="Y578" s="21">
        <v>46254</v>
      </c>
      <c r="Z578" s="20" t="s">
        <v>57</v>
      </c>
      <c r="AA578" s="17" t="e">
        <f>VLOOKUP(F578,[2]Wait!$H$225:$I$260,2,0)</f>
        <v>#N/A</v>
      </c>
    </row>
    <row r="579" spans="1:27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1733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28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46140</v>
      </c>
      <c r="W579" s="21">
        <v>46258</v>
      </c>
      <c r="X579" s="20" t="s">
        <v>34</v>
      </c>
      <c r="Y579" s="21">
        <v>46274</v>
      </c>
      <c r="Z579" s="20" t="s">
        <v>57</v>
      </c>
      <c r="AA579" s="17" t="e">
        <f>VLOOKUP(F579,[2]Wait!$H$225:$I$260,2,0)</f>
        <v>#N/A</v>
      </c>
    </row>
    <row r="580" spans="1:27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1736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58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>
        <v>46023</v>
      </c>
      <c r="W580" s="21">
        <v>46258</v>
      </c>
      <c r="X580" s="20" t="s">
        <v>34</v>
      </c>
      <c r="Y580" s="21">
        <v>46274</v>
      </c>
      <c r="Z580" s="20" t="s">
        <v>57</v>
      </c>
      <c r="AA580" s="17" t="e">
        <f>VLOOKUP(F580,[2]Wait!$H$225:$I$260,2,0)</f>
        <v>#N/A</v>
      </c>
    </row>
    <row r="581" spans="1:27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1737</v>
      </c>
      <c r="E581" s="20" t="s">
        <v>1734</v>
      </c>
      <c r="F581" s="20" t="s">
        <v>1734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59</v>
      </c>
      <c r="L581" s="20" t="s">
        <v>1735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255</v>
      </c>
      <c r="T581" s="20" t="s">
        <v>195</v>
      </c>
      <c r="U581" s="20" t="s">
        <v>26</v>
      </c>
      <c r="V581" s="21"/>
      <c r="W581" s="21">
        <v>46258</v>
      </c>
      <c r="X581" s="20" t="s">
        <v>34</v>
      </c>
      <c r="Y581" s="21">
        <v>46274</v>
      </c>
      <c r="Z581" s="20" t="s">
        <v>57</v>
      </c>
      <c r="AA581" s="17" t="e">
        <f>VLOOKUP(F581,[2]Wait!$H$225:$I$260,2,0)</f>
        <v>#N/A</v>
      </c>
    </row>
    <row r="582" spans="1:27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1738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255</v>
      </c>
      <c r="K582" s="20" t="s">
        <v>28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>
        <v>46217</v>
      </c>
      <c r="W582" s="21">
        <v>46258</v>
      </c>
      <c r="X582" s="20" t="s">
        <v>34</v>
      </c>
      <c r="Y582" s="21">
        <v>46274</v>
      </c>
      <c r="Z582" s="20" t="s">
        <v>57</v>
      </c>
      <c r="AA582" s="17" t="e">
        <f>VLOOKUP(F582,[2]Wait!$H$225:$I$260,2,0)</f>
        <v>#N/A</v>
      </c>
    </row>
    <row r="583" spans="1:27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1741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260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  <c r="AA583" s="17" t="e">
        <f>VLOOKUP(F583,[2]Wait!$H$225:$I$260,2,0)</f>
        <v>#N/A</v>
      </c>
    </row>
    <row r="584" spans="1:27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1742</v>
      </c>
      <c r="E584" s="20" t="s">
        <v>1739</v>
      </c>
      <c r="F584" s="20" t="s">
        <v>1739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58</v>
      </c>
      <c r="L584" s="20" t="s">
        <v>1740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/>
      <c r="W584" s="21">
        <v>46258</v>
      </c>
      <c r="X584" s="20" t="s">
        <v>34</v>
      </c>
      <c r="Y584" s="21">
        <v>46274</v>
      </c>
      <c r="Z584" s="20" t="s">
        <v>57</v>
      </c>
      <c r="AA584" s="17" t="e">
        <f>VLOOKUP(F584,[2]Wait!$H$225:$I$260,2,0)</f>
        <v>#N/A</v>
      </c>
    </row>
    <row r="585" spans="1:27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1743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28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>
        <v>45864</v>
      </c>
      <c r="W585" s="21">
        <v>46258</v>
      </c>
      <c r="X585" s="20" t="s">
        <v>34</v>
      </c>
      <c r="Y585" s="21">
        <v>46274</v>
      </c>
      <c r="Z585" s="20" t="s">
        <v>57</v>
      </c>
      <c r="AA585" s="17" t="e">
        <f>VLOOKUP(F585,[2]Wait!$H$225:$I$260,2,0)</f>
        <v>#N/A</v>
      </c>
    </row>
    <row r="586" spans="1:27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1746</v>
      </c>
      <c r="E586" s="20" t="s">
        <v>1744</v>
      </c>
      <c r="F586" s="20" t="s">
        <v>1744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58</v>
      </c>
      <c r="L586" s="20" t="s">
        <v>1745</v>
      </c>
      <c r="M586" s="20" t="s">
        <v>256</v>
      </c>
      <c r="N586" s="22" t="s">
        <v>250</v>
      </c>
      <c r="O586" s="20" t="s">
        <v>1044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46258</v>
      </c>
      <c r="X586" s="20" t="s">
        <v>34</v>
      </c>
      <c r="Y586" s="21">
        <v>46274</v>
      </c>
      <c r="Z586" s="20" t="s">
        <v>57</v>
      </c>
      <c r="AA586" s="17" t="e">
        <f>VLOOKUP(F586,[2]Wait!$H$225:$I$260,2,0)</f>
        <v>#N/A</v>
      </c>
    </row>
    <row r="587" spans="1:27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1747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28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>
        <v>46251</v>
      </c>
      <c r="W587" s="21">
        <v>46258</v>
      </c>
      <c r="X587" s="20" t="s">
        <v>34</v>
      </c>
      <c r="Y587" s="21">
        <v>46274</v>
      </c>
      <c r="Z587" s="20" t="s">
        <v>57</v>
      </c>
      <c r="AA587" s="17" t="e">
        <f>VLOOKUP(F587,[2]Wait!$H$225:$I$260,2,0)</f>
        <v>#N/A</v>
      </c>
    </row>
    <row r="588" spans="1:27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1752</v>
      </c>
      <c r="E588" s="20" t="s">
        <v>1748</v>
      </c>
      <c r="F588" s="20" t="s">
        <v>1748</v>
      </c>
      <c r="G588" s="20" t="s">
        <v>194</v>
      </c>
      <c r="H588" s="20" t="s">
        <v>26</v>
      </c>
      <c r="I588" s="21">
        <v>46258</v>
      </c>
      <c r="J588" s="20" t="s">
        <v>255</v>
      </c>
      <c r="K588" s="20" t="s">
        <v>58</v>
      </c>
      <c r="L588" s="20" t="s">
        <v>1749</v>
      </c>
      <c r="M588" s="20" t="s">
        <v>256</v>
      </c>
      <c r="N588" s="22" t="s">
        <v>250</v>
      </c>
      <c r="O588" s="20" t="s">
        <v>1044</v>
      </c>
      <c r="P588" s="20" t="s">
        <v>1750</v>
      </c>
      <c r="Q588" s="20" t="s">
        <v>1751</v>
      </c>
      <c r="R588" s="20" t="s">
        <v>26</v>
      </c>
      <c r="S588" s="20" t="s">
        <v>255</v>
      </c>
      <c r="T588" s="20" t="s">
        <v>195</v>
      </c>
      <c r="U588" s="20" t="s">
        <v>26</v>
      </c>
      <c r="V588" s="21"/>
      <c r="W588" s="21">
        <v>46258</v>
      </c>
      <c r="X588" s="20" t="s">
        <v>34</v>
      </c>
      <c r="Y588" s="21">
        <v>46274</v>
      </c>
      <c r="Z588" s="20" t="s">
        <v>57</v>
      </c>
      <c r="AA588" s="17" t="e">
        <f>VLOOKUP(F588,[2]Wait!$H$225:$I$260,2,0)</f>
        <v>#N/A</v>
      </c>
    </row>
    <row r="589" spans="1:27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1753</v>
      </c>
      <c r="E589" s="20" t="s">
        <v>26</v>
      </c>
      <c r="F589" s="20" t="s">
        <v>3413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28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  <c r="AA589" s="17" t="e">
        <f>VLOOKUP(F589,[2]Wait!$H$225:$I$260,2,0)</f>
        <v>#N/A</v>
      </c>
    </row>
    <row r="590" spans="1:27" x14ac:dyDescent="0.25">
      <c r="A590" s="9">
        <f t="shared" si="9"/>
        <v>583</v>
      </c>
      <c r="B590" s="19" t="s">
        <v>926</v>
      </c>
      <c r="C590" s="20" t="s">
        <v>927</v>
      </c>
      <c r="D590" s="20" t="s">
        <v>1755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82</v>
      </c>
      <c r="K590" s="20" t="s">
        <v>59</v>
      </c>
      <c r="L590" s="20" t="s">
        <v>280</v>
      </c>
      <c r="M590" s="20" t="s">
        <v>1754</v>
      </c>
      <c r="N590" s="22" t="s">
        <v>250</v>
      </c>
      <c r="O590" s="20" t="s">
        <v>949</v>
      </c>
      <c r="P590" s="20" t="s">
        <v>148</v>
      </c>
      <c r="Q590" s="20" t="s">
        <v>149</v>
      </c>
      <c r="R590" s="20" t="s">
        <v>126</v>
      </c>
      <c r="S590" s="20" t="s">
        <v>32</v>
      </c>
      <c r="T590" s="20" t="s">
        <v>281</v>
      </c>
      <c r="U590" s="20" t="s">
        <v>282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  <c r="AA590" s="17" t="e">
        <f>VLOOKUP(F590,[2]Wait!$H$225:$I$260,2,0)</f>
        <v>#N/A</v>
      </c>
    </row>
    <row r="591" spans="1:27" x14ac:dyDescent="0.25">
      <c r="A591" s="9">
        <f t="shared" si="9"/>
        <v>584</v>
      </c>
      <c r="B591" s="19" t="s">
        <v>926</v>
      </c>
      <c r="C591" s="20" t="s">
        <v>927</v>
      </c>
      <c r="D591" s="20" t="s">
        <v>2099</v>
      </c>
      <c r="E591" s="20" t="s">
        <v>26</v>
      </c>
      <c r="F591" s="20" t="s">
        <v>3414</v>
      </c>
      <c r="G591" s="20" t="s">
        <v>35</v>
      </c>
      <c r="H591" s="20" t="s">
        <v>26</v>
      </c>
      <c r="I591" s="21">
        <v>46263</v>
      </c>
      <c r="J591" s="20" t="s">
        <v>47</v>
      </c>
      <c r="K591" s="20" t="s">
        <v>28</v>
      </c>
      <c r="L591" s="20" t="s">
        <v>2100</v>
      </c>
      <c r="M591" s="20" t="s">
        <v>1754</v>
      </c>
      <c r="N591" s="22" t="s">
        <v>250</v>
      </c>
      <c r="O591" s="20" t="s">
        <v>949</v>
      </c>
      <c r="P591" s="20" t="s">
        <v>41</v>
      </c>
      <c r="Q591" s="20" t="s">
        <v>42</v>
      </c>
      <c r="R591" s="20" t="s">
        <v>84</v>
      </c>
      <c r="S591" s="20" t="s">
        <v>32</v>
      </c>
      <c r="T591" s="20" t="s">
        <v>33</v>
      </c>
      <c r="U591" s="20" t="s">
        <v>2101</v>
      </c>
      <c r="V591" s="21"/>
      <c r="W591" s="21">
        <v>46263</v>
      </c>
      <c r="X591" s="20" t="s">
        <v>39</v>
      </c>
      <c r="Y591" s="21">
        <v>46263</v>
      </c>
      <c r="Z591" s="20" t="s">
        <v>39</v>
      </c>
      <c r="AA591" s="17" t="e">
        <f>VLOOKUP(F591,[2]Wait!$H$225:$I$260,2,0)</f>
        <v>#N/A</v>
      </c>
    </row>
    <row r="592" spans="1:27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  <c r="AA592" s="17" t="e">
        <f>VLOOKUP(F592,[2]Wait!$H$225:$I$260,2,0)</f>
        <v>#N/A</v>
      </c>
    </row>
    <row r="593" spans="1:27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  <c r="AA593" s="17" t="e">
        <f>VLOOKUP(F593,[2]Wait!$H$225:$I$260,2,0)</f>
        <v>#N/A</v>
      </c>
    </row>
    <row r="594" spans="1:27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3415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  <c r="AA594" s="17" t="e">
        <f>VLOOKUP(F594,[2]Wait!$H$225:$I$260,2,0)</f>
        <v>#N/A</v>
      </c>
    </row>
    <row r="595" spans="1:27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3416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  <c r="AA595" s="17" t="e">
        <f>VLOOKUP(F595,[2]Wait!$H$225:$I$260,2,0)</f>
        <v>#N/A</v>
      </c>
    </row>
    <row r="596" spans="1:27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3417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  <c r="AA596" s="17" t="e">
        <f>VLOOKUP(F596,[2]Wait!$H$225:$I$260,2,0)</f>
        <v>#N/A</v>
      </c>
    </row>
    <row r="597" spans="1:27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3418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  <c r="AA597" s="17" t="e">
        <f>VLOOKUP(F597,[2]Wait!$H$225:$I$260,2,0)</f>
        <v>#N/A</v>
      </c>
    </row>
    <row r="598" spans="1:27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3419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  <c r="AA598" s="17" t="e">
        <f>VLOOKUP(F598,[2]Wait!$H$225:$I$260,2,0)</f>
        <v>#N/A</v>
      </c>
    </row>
    <row r="599" spans="1:27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3420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  <c r="AA599" s="17" t="e">
        <f>VLOOKUP(F599,[2]Wait!$H$225:$I$260,2,0)</f>
        <v>#N/A</v>
      </c>
    </row>
    <row r="600" spans="1:27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3421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  <c r="AA600" s="17" t="e">
        <f>VLOOKUP(F600,[2]Wait!$H$225:$I$260,2,0)</f>
        <v>#N/A</v>
      </c>
    </row>
    <row r="601" spans="1:27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3422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  <c r="AA601" s="17" t="e">
        <f>VLOOKUP(F601,[2]Wait!$H$225:$I$260,2,0)</f>
        <v>#N/A</v>
      </c>
    </row>
    <row r="602" spans="1:27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3423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  <c r="AA602" s="17" t="e">
        <f>VLOOKUP(F602,[2]Wait!$H$225:$I$260,2,0)</f>
        <v>#N/A</v>
      </c>
    </row>
    <row r="603" spans="1:27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3424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  <c r="AA603" s="17" t="e">
        <f>VLOOKUP(F603,[2]Wait!$H$225:$I$260,2,0)</f>
        <v>#N/A</v>
      </c>
    </row>
    <row r="604" spans="1:27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3425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  <c r="AA604" s="17" t="e">
        <f>VLOOKUP(F604,[2]Wait!$H$225:$I$260,2,0)</f>
        <v>#N/A</v>
      </c>
    </row>
    <row r="605" spans="1:27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3426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  <c r="AA605" s="17" t="e">
        <f>VLOOKUP(F605,[2]Wait!$H$225:$I$260,2,0)</f>
        <v>#N/A</v>
      </c>
    </row>
    <row r="606" spans="1:27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3427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  <c r="AA606" s="17" t="e">
        <f>VLOOKUP(F606,[2]Wait!$H$225:$I$260,2,0)</f>
        <v>#N/A</v>
      </c>
    </row>
    <row r="607" spans="1:27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3428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  <c r="AA607" s="17" t="e">
        <f>VLOOKUP(F607,[2]Wait!$H$225:$I$260,2,0)</f>
        <v>#N/A</v>
      </c>
    </row>
    <row r="608" spans="1:27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3429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  <c r="AA608" s="17" t="e">
        <f>VLOOKUP(F608,[2]Wait!$H$225:$I$260,2,0)</f>
        <v>#N/A</v>
      </c>
    </row>
    <row r="609" spans="1:29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3430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  <c r="AA609" s="17" t="e">
        <f>VLOOKUP(F609,[2]Wait!$H$225:$I$260,2,0)</f>
        <v>#N/A</v>
      </c>
    </row>
    <row r="610" spans="1:29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3431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  <c r="AA610" s="17" t="e">
        <f>VLOOKUP(F610,[2]Wait!$H$225:$I$260,2,0)</f>
        <v>#N/A</v>
      </c>
    </row>
    <row r="611" spans="1:29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3432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  <c r="AA611" s="17" t="e">
        <f>VLOOKUP(F611,[2]Wait!$H$225:$I$260,2,0)</f>
        <v>#N/A</v>
      </c>
    </row>
    <row r="612" spans="1:29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3433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  <c r="AA612" s="17" t="e">
        <f>VLOOKUP(F612,[2]Wait!$H$225:$I$260,2,0)</f>
        <v>#N/A</v>
      </c>
    </row>
    <row r="613" spans="1:29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3434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  <c r="AA613" s="17" t="e">
        <f>VLOOKUP(F613,[2]Wait!$H$225:$I$260,2,0)</f>
        <v>#N/A</v>
      </c>
    </row>
    <row r="614" spans="1:29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3435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  <c r="AA614" s="17" t="e">
        <f>VLOOKUP(F614,[2]Wait!$H$225:$I$260,2,0)</f>
        <v>#N/A</v>
      </c>
    </row>
    <row r="615" spans="1:29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3436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  <c r="AA615" s="17" t="e">
        <f>VLOOKUP(F615,[2]Wait!$H$225:$I$260,2,0)</f>
        <v>#N/A</v>
      </c>
    </row>
    <row r="616" spans="1:29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3437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  <c r="AA616" s="17" t="e">
        <f>VLOOKUP(F616,[2]Wait!$H$225:$I$260,2,0)</f>
        <v>#N/A</v>
      </c>
    </row>
    <row r="617" spans="1:29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3438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17" t="e">
        <f>VLOOKUP(F617,[2]Wait!$H$225:$I$260,2,0)</f>
        <v>#N/A</v>
      </c>
      <c r="AB617" s="3"/>
      <c r="AC617" s="6"/>
    </row>
    <row r="618" spans="1:29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3439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17" t="e">
        <f>VLOOKUP(F618,[2]Wait!$H$225:$I$260,2,0)</f>
        <v>#N/A</v>
      </c>
      <c r="AB618" s="3"/>
      <c r="AC618" s="6"/>
    </row>
    <row r="619" spans="1:29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3440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17" t="e">
        <f>VLOOKUP(F619,[2]Wait!$H$225:$I$260,2,0)</f>
        <v>#N/A</v>
      </c>
      <c r="AB619" s="3"/>
      <c r="AC619" s="6"/>
    </row>
    <row r="620" spans="1:29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3441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17" t="e">
        <f>VLOOKUP(F620,[2]Wait!$H$225:$I$260,2,0)</f>
        <v>#N/A</v>
      </c>
      <c r="AB620" s="3"/>
      <c r="AC620" s="6"/>
    </row>
    <row r="621" spans="1:29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3442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17" t="e">
        <f>VLOOKUP(F621,[2]Wait!$H$225:$I$260,2,0)</f>
        <v>#N/A</v>
      </c>
      <c r="AB621" s="3"/>
      <c r="AC621" s="6"/>
    </row>
    <row r="622" spans="1:29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3443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17" t="e">
        <f>VLOOKUP(F622,[2]Wait!$H$225:$I$260,2,0)</f>
        <v>#N/A</v>
      </c>
      <c r="AB622" s="3"/>
      <c r="AC622" s="6"/>
    </row>
    <row r="623" spans="1:29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3444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17" t="e">
        <f>VLOOKUP(F623,[2]Wait!$H$225:$I$260,2,0)</f>
        <v>#N/A</v>
      </c>
      <c r="AB623" s="3"/>
      <c r="AC623" s="6"/>
    </row>
    <row r="624" spans="1:29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3445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17" t="e">
        <f>VLOOKUP(F624,[2]Wait!$H$225:$I$260,2,0)</f>
        <v>#N/A</v>
      </c>
      <c r="AB624" s="3"/>
      <c r="AC624" s="6"/>
    </row>
    <row r="625" spans="1:29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3446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17" t="e">
        <f>VLOOKUP(F625,[2]Wait!$H$225:$I$260,2,0)</f>
        <v>#N/A</v>
      </c>
      <c r="AB625" s="3"/>
      <c r="AC625" s="6"/>
    </row>
    <row r="626" spans="1:29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3447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17" t="e">
        <f>VLOOKUP(F626,[2]Wait!$H$225:$I$260,2,0)</f>
        <v>#N/A</v>
      </c>
      <c r="AB626" s="3"/>
      <c r="AC626" s="6"/>
    </row>
    <row r="627" spans="1:29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3448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17" t="e">
        <f>VLOOKUP(F627,[2]Wait!$H$225:$I$260,2,0)</f>
        <v>#N/A</v>
      </c>
      <c r="AB627" s="3"/>
      <c r="AC627" s="6"/>
    </row>
    <row r="628" spans="1:29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3449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17" t="e">
        <f>VLOOKUP(F628,[2]Wait!$H$225:$I$260,2,0)</f>
        <v>#N/A</v>
      </c>
      <c r="AB628" s="3"/>
      <c r="AC628" s="6"/>
    </row>
    <row r="629" spans="1:29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3450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17" t="e">
        <f>VLOOKUP(F629,[2]Wait!$H$225:$I$260,2,0)</f>
        <v>#N/A</v>
      </c>
      <c r="AB629" s="3"/>
      <c r="AC629" s="6"/>
    </row>
    <row r="630" spans="1:29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3451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17" t="e">
        <f>VLOOKUP(F630,[2]Wait!$H$225:$I$260,2,0)</f>
        <v>#N/A</v>
      </c>
      <c r="AB630" s="3"/>
      <c r="AC630" s="6"/>
    </row>
    <row r="631" spans="1:29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3452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17" t="e">
        <f>VLOOKUP(F631,[2]Wait!$H$225:$I$260,2,0)</f>
        <v>#N/A</v>
      </c>
      <c r="AB631" s="3"/>
      <c r="AC631" s="6"/>
    </row>
    <row r="632" spans="1:29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3453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17" t="e">
        <f>VLOOKUP(F632,[2]Wait!$H$225:$I$260,2,0)</f>
        <v>#N/A</v>
      </c>
      <c r="AB632" s="3"/>
      <c r="AC632" s="6"/>
    </row>
    <row r="633" spans="1:29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3454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17" t="e">
        <f>VLOOKUP(F633,[2]Wait!$H$225:$I$260,2,0)</f>
        <v>#N/A</v>
      </c>
      <c r="AB633" s="3"/>
      <c r="AC633" s="6"/>
    </row>
    <row r="634" spans="1:29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3455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17" t="e">
        <f>VLOOKUP(F634,[2]Wait!$H$225:$I$260,2,0)</f>
        <v>#N/A</v>
      </c>
      <c r="AB634" s="3"/>
      <c r="AC634" s="6"/>
    </row>
    <row r="635" spans="1:29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3456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17" t="e">
        <f>VLOOKUP(F635,[2]Wait!$H$225:$I$260,2,0)</f>
        <v>#N/A</v>
      </c>
      <c r="AB635" s="3"/>
      <c r="AC635" s="6"/>
    </row>
    <row r="636" spans="1:29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3457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17" t="e">
        <f>VLOOKUP(F636,[2]Wait!$H$225:$I$260,2,0)</f>
        <v>#N/A</v>
      </c>
      <c r="AB636" s="3"/>
      <c r="AC636" s="6"/>
    </row>
    <row r="637" spans="1:29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3458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17" t="e">
        <f>VLOOKUP(F637,[2]Wait!$H$225:$I$260,2,0)</f>
        <v>#N/A</v>
      </c>
      <c r="AB637" s="3"/>
      <c r="AC637" s="6"/>
    </row>
    <row r="638" spans="1:29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3459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17" t="e">
        <f>VLOOKUP(F638,[2]Wait!$H$225:$I$260,2,0)</f>
        <v>#N/A</v>
      </c>
      <c r="AB638" s="3"/>
      <c r="AC638" s="6"/>
    </row>
    <row r="639" spans="1:29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3460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17" t="e">
        <f>VLOOKUP(F639,[2]Wait!$H$225:$I$260,2,0)</f>
        <v>#N/A</v>
      </c>
      <c r="AB639" s="3"/>
      <c r="AC639" s="6"/>
    </row>
    <row r="640" spans="1:29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3461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17" t="e">
        <f>VLOOKUP(F640,[2]Wait!$H$225:$I$260,2,0)</f>
        <v>#N/A</v>
      </c>
      <c r="AB640" s="3"/>
      <c r="AC640" s="6"/>
    </row>
    <row r="641" spans="1:29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3462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17" t="e">
        <f>VLOOKUP(F641,[2]Wait!$H$225:$I$260,2,0)</f>
        <v>#N/A</v>
      </c>
      <c r="AB641" s="3"/>
      <c r="AC641" s="6"/>
    </row>
    <row r="642" spans="1:29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3463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17" t="e">
        <f>VLOOKUP(F642,[2]Wait!$H$225:$I$260,2,0)</f>
        <v>#N/A</v>
      </c>
      <c r="AB642" s="3"/>
      <c r="AC642" s="6"/>
    </row>
    <row r="643" spans="1:29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3464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17" t="e">
        <f>VLOOKUP(F643,[2]Wait!$H$225:$I$260,2,0)</f>
        <v>#N/A</v>
      </c>
      <c r="AB643" s="3"/>
      <c r="AC643" s="6"/>
    </row>
    <row r="644" spans="1:29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3465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17" t="e">
        <f>VLOOKUP(F644,[2]Wait!$H$225:$I$260,2,0)</f>
        <v>#N/A</v>
      </c>
      <c r="AB644" s="3"/>
      <c r="AC644" s="6"/>
    </row>
    <row r="645" spans="1:29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3466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17" t="e">
        <f>VLOOKUP(F645,[2]Wait!$H$225:$I$260,2,0)</f>
        <v>#N/A</v>
      </c>
      <c r="AB645" s="3"/>
      <c r="AC645" s="6"/>
    </row>
    <row r="646" spans="1:29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3467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17" t="e">
        <f>VLOOKUP(F646,[2]Wait!$H$225:$I$260,2,0)</f>
        <v>#N/A</v>
      </c>
      <c r="AB646" s="3"/>
      <c r="AC646" s="6"/>
    </row>
    <row r="647" spans="1:29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3468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17" t="e">
        <f>VLOOKUP(F647,[2]Wait!$H$225:$I$260,2,0)</f>
        <v>#N/A</v>
      </c>
      <c r="AB647" s="3"/>
      <c r="AC647" s="6"/>
    </row>
    <row r="648" spans="1:29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3469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17" t="e">
        <f>VLOOKUP(F648,[2]Wait!$H$225:$I$260,2,0)</f>
        <v>#N/A</v>
      </c>
      <c r="AB648" s="3"/>
      <c r="AC648" s="6"/>
    </row>
    <row r="649" spans="1:29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3470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17" t="e">
        <f>VLOOKUP(F649,[2]Wait!$H$225:$I$260,2,0)</f>
        <v>#N/A</v>
      </c>
      <c r="AB649" s="3"/>
      <c r="AC649" s="6"/>
    </row>
    <row r="650" spans="1:29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3471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17" t="e">
        <f>VLOOKUP(F650,[2]Wait!$H$225:$I$260,2,0)</f>
        <v>#N/A</v>
      </c>
      <c r="AB650" s="3"/>
      <c r="AC650" s="6"/>
    </row>
    <row r="651" spans="1:29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3472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17" t="e">
        <f>VLOOKUP(F651,[2]Wait!$H$225:$I$260,2,0)</f>
        <v>#N/A</v>
      </c>
      <c r="AB651" s="3"/>
      <c r="AC651" s="6"/>
    </row>
    <row r="652" spans="1:29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3473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17" t="e">
        <f>VLOOKUP(F652,[2]Wait!$H$225:$I$260,2,0)</f>
        <v>#N/A</v>
      </c>
      <c r="AB652" s="3"/>
      <c r="AC652" s="6"/>
    </row>
    <row r="653" spans="1:29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3474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17" t="e">
        <f>VLOOKUP(F653,[2]Wait!$H$225:$I$260,2,0)</f>
        <v>#N/A</v>
      </c>
      <c r="AB653" s="3"/>
      <c r="AC653" s="6"/>
    </row>
    <row r="654" spans="1:29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3475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17" t="e">
        <f>VLOOKUP(F654,[2]Wait!$H$225:$I$260,2,0)</f>
        <v>#N/A</v>
      </c>
      <c r="AB654" s="3"/>
      <c r="AC654" s="6"/>
    </row>
    <row r="655" spans="1:29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3476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17" t="e">
        <f>VLOOKUP(F655,[2]Wait!$H$225:$I$260,2,0)</f>
        <v>#N/A</v>
      </c>
      <c r="AB655" s="3"/>
      <c r="AC655" s="6"/>
    </row>
    <row r="656" spans="1:29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3477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17" t="e">
        <f>VLOOKUP(F656,[2]Wait!$H$225:$I$260,2,0)</f>
        <v>#N/A</v>
      </c>
      <c r="AB656" s="3"/>
      <c r="AC656" s="6"/>
    </row>
    <row r="657" spans="1:29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3478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17" t="e">
        <f>VLOOKUP(F657,[2]Wait!$H$225:$I$260,2,0)</f>
        <v>#N/A</v>
      </c>
      <c r="AB657" s="3"/>
      <c r="AC657" s="6"/>
    </row>
    <row r="658" spans="1:29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3479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17" t="e">
        <f>VLOOKUP(F658,[2]Wait!$H$225:$I$260,2,0)</f>
        <v>#N/A</v>
      </c>
      <c r="AB658" s="3"/>
      <c r="AC658" s="6"/>
    </row>
    <row r="659" spans="1:29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3480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17" t="e">
        <f>VLOOKUP(F659,[2]Wait!$H$225:$I$260,2,0)</f>
        <v>#N/A</v>
      </c>
      <c r="AB659" s="3"/>
      <c r="AC659" s="6"/>
    </row>
    <row r="660" spans="1:29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3481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17" t="e">
        <f>VLOOKUP(F660,[2]Wait!$H$225:$I$260,2,0)</f>
        <v>#N/A</v>
      </c>
      <c r="AB660" s="3"/>
      <c r="AC660" s="6"/>
    </row>
    <row r="661" spans="1:29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3482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17" t="e">
        <f>VLOOKUP(F661,[2]Wait!$H$225:$I$260,2,0)</f>
        <v>#N/A</v>
      </c>
      <c r="AB661" s="3"/>
      <c r="AC661" s="6"/>
    </row>
    <row r="662" spans="1:29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3483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17" t="e">
        <f>VLOOKUP(F662,[2]Wait!$H$225:$I$260,2,0)</f>
        <v>#N/A</v>
      </c>
      <c r="AB662" s="3"/>
      <c r="AC662" s="6"/>
    </row>
    <row r="663" spans="1:29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3484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17" t="e">
        <f>VLOOKUP(F663,[2]Wait!$H$225:$I$260,2,0)</f>
        <v>#N/A</v>
      </c>
      <c r="AB663" s="5"/>
      <c r="AC663" s="6"/>
    </row>
    <row r="664" spans="1:29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3485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17" t="e">
        <f>VLOOKUP(F664,[2]Wait!$H$225:$I$260,2,0)</f>
        <v>#N/A</v>
      </c>
      <c r="AB664" s="5"/>
      <c r="AC664" s="6"/>
    </row>
    <row r="665" spans="1:29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3486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  <c r="AA665" s="17" t="e">
        <f>VLOOKUP(F665,[2]Wait!$H$225:$I$260,2,0)</f>
        <v>#N/A</v>
      </c>
    </row>
    <row r="666" spans="1:29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3487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  <c r="AA666" s="17" t="e">
        <f>VLOOKUP(F666,[2]Wait!$H$225:$I$260,2,0)</f>
        <v>#N/A</v>
      </c>
    </row>
    <row r="667" spans="1:29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3488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  <c r="AA667" s="17" t="e">
        <f>VLOOKUP(F667,[2]Wait!$H$225:$I$260,2,0)</f>
        <v>#N/A</v>
      </c>
    </row>
    <row r="668" spans="1:29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3489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17" t="e">
        <f>VLOOKUP(F668,[2]Wait!$H$225:$I$260,2,0)</f>
        <v>#N/A</v>
      </c>
      <c r="AB668" s="3"/>
    </row>
    <row r="669" spans="1:29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3490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  <c r="AA669" s="17" t="e">
        <f>VLOOKUP(F669,[2]Wait!$H$225:$I$260,2,0)</f>
        <v>#N/A</v>
      </c>
    </row>
    <row r="670" spans="1:29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3491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17" t="e">
        <f>VLOOKUP(F670,[2]Wait!$H$225:$I$260,2,0)</f>
        <v>#N/A</v>
      </c>
      <c r="AB670" s="5"/>
      <c r="AC670" s="6"/>
    </row>
    <row r="671" spans="1:29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3492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  <c r="AA671" s="17" t="e">
        <f>VLOOKUP(F671,[2]Wait!$H$225:$I$260,2,0)</f>
        <v>#N/A</v>
      </c>
    </row>
    <row r="672" spans="1:29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3493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  <c r="AA672" s="17" t="e">
        <f>VLOOKUP(F672,[2]Wait!$H$225:$I$260,2,0)</f>
        <v>#N/A</v>
      </c>
    </row>
    <row r="673" spans="1:27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3494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  <c r="AA673" s="17" t="e">
        <f>VLOOKUP(F673,[2]Wait!$H$225:$I$260,2,0)</f>
        <v>#N/A</v>
      </c>
    </row>
    <row r="674" spans="1:27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3495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  <c r="AA674" s="17" t="e">
        <f>VLOOKUP(F674,[2]Wait!$H$225:$I$260,2,0)</f>
        <v>#N/A</v>
      </c>
    </row>
    <row r="675" spans="1:27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3496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  <c r="AA675" s="17" t="e">
        <f>VLOOKUP(F675,[2]Wait!$H$225:$I$260,2,0)</f>
        <v>#N/A</v>
      </c>
    </row>
    <row r="676" spans="1:27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3497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  <c r="AA676" s="17" t="e">
        <f>VLOOKUP(F676,[2]Wait!$H$225:$I$260,2,0)</f>
        <v>#N/A</v>
      </c>
    </row>
    <row r="677" spans="1:27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3498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  <c r="AA677" s="17" t="e">
        <f>VLOOKUP(F677,[2]Wait!$H$225:$I$260,2,0)</f>
        <v>#N/A</v>
      </c>
    </row>
    <row r="678" spans="1:27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3499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  <c r="AA678" s="17" t="e">
        <f>VLOOKUP(F678,[2]Wait!$H$225:$I$260,2,0)</f>
        <v>#N/A</v>
      </c>
    </row>
    <row r="679" spans="1:27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3500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  <c r="AA679" s="17" t="e">
        <f>VLOOKUP(F679,[2]Wait!$H$225:$I$260,2,0)</f>
        <v>#N/A</v>
      </c>
    </row>
    <row r="680" spans="1:27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3501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  <c r="AA680" s="17" t="e">
        <f>VLOOKUP(F680,[2]Wait!$H$225:$I$260,2,0)</f>
        <v>#N/A</v>
      </c>
    </row>
    <row r="681" spans="1:27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3502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  <c r="AA681" s="17" t="e">
        <f>VLOOKUP(F681,[2]Wait!$H$225:$I$260,2,0)</f>
        <v>#N/A</v>
      </c>
    </row>
    <row r="682" spans="1:27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3503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  <c r="AA682" s="17" t="e">
        <f>VLOOKUP(F682,[2]Wait!$H$225:$I$260,2,0)</f>
        <v>#N/A</v>
      </c>
    </row>
    <row r="683" spans="1:27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3504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  <c r="AA683" s="17" t="e">
        <f>VLOOKUP(F683,[2]Wait!$H$225:$I$260,2,0)</f>
        <v>#N/A</v>
      </c>
    </row>
    <row r="684" spans="1:27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3505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  <c r="AA684" s="17" t="e">
        <f>VLOOKUP(F684,[2]Wait!$H$225:$I$260,2,0)</f>
        <v>#N/A</v>
      </c>
    </row>
    <row r="685" spans="1:27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3506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  <c r="AA685" s="17" t="e">
        <f>VLOOKUP(F685,[2]Wait!$H$225:$I$260,2,0)</f>
        <v>#N/A</v>
      </c>
    </row>
    <row r="686" spans="1:27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3507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  <c r="AA686" s="17" t="e">
        <f>VLOOKUP(F686,[2]Wait!$H$225:$I$260,2,0)</f>
        <v>#N/A</v>
      </c>
    </row>
    <row r="687" spans="1:27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3508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  <c r="AA687" s="17" t="e">
        <f>VLOOKUP(F687,[2]Wait!$H$225:$I$260,2,0)</f>
        <v>#N/A</v>
      </c>
    </row>
    <row r="688" spans="1:27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3509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  <c r="AA688" s="17" t="e">
        <f>VLOOKUP(F688,[2]Wait!$H$225:$I$260,2,0)</f>
        <v>#N/A</v>
      </c>
    </row>
    <row r="689" spans="1:27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3510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  <c r="AA689" s="17" t="e">
        <f>VLOOKUP(F689,[2]Wait!$H$225:$I$260,2,0)</f>
        <v>#N/A</v>
      </c>
    </row>
    <row r="690" spans="1:27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3511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  <c r="AA690" s="17" t="e">
        <f>VLOOKUP(F690,[2]Wait!$H$225:$I$260,2,0)</f>
        <v>#N/A</v>
      </c>
    </row>
    <row r="691" spans="1:27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3512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  <c r="AA691" s="17" t="e">
        <f>VLOOKUP(F691,[2]Wait!$H$225:$I$260,2,0)</f>
        <v>#N/A</v>
      </c>
    </row>
    <row r="692" spans="1:27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3513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  <c r="AA692" s="17" t="e">
        <f>VLOOKUP(F692,[2]Wait!$H$225:$I$260,2,0)</f>
        <v>#N/A</v>
      </c>
    </row>
    <row r="693" spans="1:27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3514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  <c r="AA693" s="17" t="e">
        <f>VLOOKUP(F693,[2]Wait!$H$225:$I$260,2,0)</f>
        <v>#N/A</v>
      </c>
    </row>
    <row r="694" spans="1:27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3515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  <c r="AA694" s="17" t="e">
        <f>VLOOKUP(F694,[2]Wait!$H$225:$I$260,2,0)</f>
        <v>#N/A</v>
      </c>
    </row>
    <row r="695" spans="1:27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3516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  <c r="AA695" s="17" t="e">
        <f>VLOOKUP(F695,[2]Wait!$H$225:$I$260,2,0)</f>
        <v>#N/A</v>
      </c>
    </row>
    <row r="696" spans="1:27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3516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  <c r="AA696" s="17" t="e">
        <f>VLOOKUP(F696,[2]Wait!$H$225:$I$260,2,0)</f>
        <v>#N/A</v>
      </c>
    </row>
    <row r="697" spans="1:27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3517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  <c r="AA697" s="17" t="e">
        <f>VLOOKUP(F697,[2]Wait!$H$225:$I$260,2,0)</f>
        <v>#N/A</v>
      </c>
    </row>
    <row r="698" spans="1:27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3518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  <c r="AA698" s="17" t="e">
        <f>VLOOKUP(F698,[2]Wait!$H$225:$I$260,2,0)</f>
        <v>#N/A</v>
      </c>
    </row>
    <row r="699" spans="1:27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3519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  <c r="AA699" s="17" t="e">
        <f>VLOOKUP(F699,[2]Wait!$H$225:$I$260,2,0)</f>
        <v>#N/A</v>
      </c>
    </row>
    <row r="700" spans="1:27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3520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  <c r="AA700" s="17" t="e">
        <f>VLOOKUP(F700,[2]Wait!$H$225:$I$260,2,0)</f>
        <v>#N/A</v>
      </c>
    </row>
    <row r="701" spans="1:27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3521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  <c r="AA701" s="17" t="e">
        <f>VLOOKUP(F701,[2]Wait!$H$225:$I$260,2,0)</f>
        <v>#N/A</v>
      </c>
    </row>
    <row r="702" spans="1:27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3522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  <c r="AA702" s="17" t="e">
        <f>VLOOKUP(F702,[2]Wait!$H$225:$I$260,2,0)</f>
        <v>#N/A</v>
      </c>
    </row>
    <row r="703" spans="1:27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3523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  <c r="AA703" s="17" t="e">
        <f>VLOOKUP(F703,[2]Wait!$H$225:$I$260,2,0)</f>
        <v>#N/A</v>
      </c>
    </row>
    <row r="704" spans="1:27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3523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  <c r="AA704" s="17" t="e">
        <f>VLOOKUP(F704,[2]Wait!$H$225:$I$260,2,0)</f>
        <v>#N/A</v>
      </c>
    </row>
    <row r="705" spans="1:27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3524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  <c r="AA705" s="17" t="e">
        <f>VLOOKUP(F705,[2]Wait!$H$225:$I$260,2,0)</f>
        <v>#N/A</v>
      </c>
    </row>
    <row r="706" spans="1:27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3524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  <c r="AA706" s="17" t="e">
        <f>VLOOKUP(F706,[2]Wait!$H$225:$I$260,2,0)</f>
        <v>#N/A</v>
      </c>
    </row>
    <row r="707" spans="1:27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3525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  <c r="AA707" s="17" t="e">
        <f>VLOOKUP(F707,[2]Wait!$H$225:$I$260,2,0)</f>
        <v>#N/A</v>
      </c>
    </row>
    <row r="708" spans="1:27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3525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  <c r="AA708" s="17" t="e">
        <f>VLOOKUP(F708,[2]Wait!$H$225:$I$260,2,0)</f>
        <v>#N/A</v>
      </c>
    </row>
    <row r="709" spans="1:27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3526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  <c r="AA709" s="17" t="e">
        <f>VLOOKUP(F709,[2]Wait!$H$225:$I$260,2,0)</f>
        <v>#N/A</v>
      </c>
    </row>
    <row r="710" spans="1:27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3526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  <c r="AA710" s="17" t="e">
        <f>VLOOKUP(F710,[2]Wait!$H$225:$I$260,2,0)</f>
        <v>#N/A</v>
      </c>
    </row>
    <row r="711" spans="1:27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3527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  <c r="AA711" s="17" t="e">
        <f>VLOOKUP(F711,[2]Wait!$H$225:$I$260,2,0)</f>
        <v>#N/A</v>
      </c>
    </row>
    <row r="712" spans="1:27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3527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  <c r="AA712" s="17" t="e">
        <f>VLOOKUP(F712,[2]Wait!$H$225:$I$260,2,0)</f>
        <v>#N/A</v>
      </c>
    </row>
    <row r="713" spans="1:27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3528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  <c r="AA713" s="17" t="e">
        <f>VLOOKUP(F713,[2]Wait!$H$225:$I$260,2,0)</f>
        <v>#N/A</v>
      </c>
    </row>
    <row r="714" spans="1:27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3528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  <c r="AA714" s="17" t="e">
        <f>VLOOKUP(F714,[2]Wait!$H$225:$I$260,2,0)</f>
        <v>#N/A</v>
      </c>
    </row>
    <row r="715" spans="1:27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3529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  <c r="AA715" s="17" t="e">
        <f>VLOOKUP(F715,[2]Wait!$H$225:$I$260,2,0)</f>
        <v>#N/A</v>
      </c>
    </row>
    <row r="716" spans="1:27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3530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  <c r="AA716" s="17" t="e">
        <f>VLOOKUP(F716,[2]Wait!$H$225:$I$260,2,0)</f>
        <v>#N/A</v>
      </c>
    </row>
    <row r="717" spans="1:27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3530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  <c r="AA717" s="17" t="e">
        <f>VLOOKUP(F717,[2]Wait!$H$225:$I$260,2,0)</f>
        <v>#N/A</v>
      </c>
    </row>
    <row r="718" spans="1:27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3531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  <c r="AA718" s="17" t="e">
        <f>VLOOKUP(F718,[2]Wait!$H$225:$I$260,2,0)</f>
        <v>#N/A</v>
      </c>
    </row>
    <row r="719" spans="1:27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3532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  <c r="AA719" s="17" t="e">
        <f>VLOOKUP(F719,[2]Wait!$H$225:$I$260,2,0)</f>
        <v>#N/A</v>
      </c>
    </row>
    <row r="720" spans="1:27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3533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  <c r="AA720" s="17" t="e">
        <f>VLOOKUP(F720,[2]Wait!$H$225:$I$260,2,0)</f>
        <v>#N/A</v>
      </c>
    </row>
    <row r="721" spans="1:27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3534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  <c r="AA721" s="17" t="e">
        <f>VLOOKUP(F721,[2]Wait!$H$225:$I$260,2,0)</f>
        <v>#N/A</v>
      </c>
    </row>
    <row r="722" spans="1:27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3535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  <c r="AA722" s="17" t="e">
        <f>VLOOKUP(F722,[2]Wait!$H$225:$I$260,2,0)</f>
        <v>#N/A</v>
      </c>
    </row>
    <row r="723" spans="1:27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3536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  <c r="AA723" s="17" t="e">
        <f>VLOOKUP(F723,[2]Wait!$H$225:$I$260,2,0)</f>
        <v>#N/A</v>
      </c>
    </row>
    <row r="724" spans="1:27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3537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  <c r="AA724" s="17" t="e">
        <f>VLOOKUP(F724,[2]Wait!$H$225:$I$260,2,0)</f>
        <v>#N/A</v>
      </c>
    </row>
    <row r="725" spans="1:27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3538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  <c r="AA725" s="17" t="e">
        <f>VLOOKUP(F725,[2]Wait!$H$225:$I$260,2,0)</f>
        <v>#N/A</v>
      </c>
    </row>
    <row r="726" spans="1:27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3539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  <c r="AA726" s="17" t="e">
        <f>VLOOKUP(F726,[2]Wait!$H$225:$I$260,2,0)</f>
        <v>#N/A</v>
      </c>
    </row>
    <row r="727" spans="1:27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3540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  <c r="AA727" s="17" t="e">
        <f>VLOOKUP(F727,[2]Wait!$H$225:$I$260,2,0)</f>
        <v>#N/A</v>
      </c>
    </row>
    <row r="728" spans="1:27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3541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  <c r="AA728" s="17" t="e">
        <f>VLOOKUP(F728,[2]Wait!$H$225:$I$260,2,0)</f>
        <v>#N/A</v>
      </c>
    </row>
    <row r="729" spans="1:27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3542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  <c r="AA729" s="17" t="e">
        <f>VLOOKUP(F729,[2]Wait!$H$225:$I$260,2,0)</f>
        <v>#N/A</v>
      </c>
    </row>
    <row r="730" spans="1:27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3543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  <c r="AA730" s="17" t="e">
        <f>VLOOKUP(F730,[2]Wait!$H$225:$I$260,2,0)</f>
        <v>#N/A</v>
      </c>
    </row>
    <row r="731" spans="1:27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3544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  <c r="AA731" s="17" t="e">
        <f>VLOOKUP(F731,[2]Wait!$H$225:$I$260,2,0)</f>
        <v>#N/A</v>
      </c>
    </row>
    <row r="732" spans="1:27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3545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  <c r="AA732" s="17" t="e">
        <f>VLOOKUP(F732,[2]Wait!$H$225:$I$260,2,0)</f>
        <v>#N/A</v>
      </c>
    </row>
    <row r="733" spans="1:27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3546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  <c r="AA733" s="17" t="e">
        <f>VLOOKUP(F733,[2]Wait!$H$225:$I$260,2,0)</f>
        <v>#N/A</v>
      </c>
    </row>
    <row r="734" spans="1:27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3547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  <c r="AA734" s="17" t="e">
        <f>VLOOKUP(F734,[2]Wait!$H$225:$I$260,2,0)</f>
        <v>#N/A</v>
      </c>
    </row>
    <row r="735" spans="1:27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3548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  <c r="AA735" s="17" t="e">
        <f>VLOOKUP(F735,[2]Wait!$H$225:$I$260,2,0)</f>
        <v>#N/A</v>
      </c>
    </row>
    <row r="736" spans="1:27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3549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  <c r="AA736" s="17" t="e">
        <f>VLOOKUP(F736,[2]Wait!$H$225:$I$260,2,0)</f>
        <v>#N/A</v>
      </c>
    </row>
    <row r="737" spans="1:29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3550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  <c r="AA737" s="17" t="e">
        <f>VLOOKUP(F737,[2]Wait!$H$225:$I$260,2,0)</f>
        <v>#N/A</v>
      </c>
    </row>
    <row r="738" spans="1:29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3551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  <c r="AA738" s="17" t="e">
        <f>VLOOKUP(F738,[2]Wait!$H$225:$I$260,2,0)</f>
        <v>#N/A</v>
      </c>
    </row>
    <row r="739" spans="1:29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3552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  <c r="AA739" s="17" t="e">
        <f>VLOOKUP(F739,[2]Wait!$H$225:$I$260,2,0)</f>
        <v>#N/A</v>
      </c>
    </row>
    <row r="740" spans="1:29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3553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  <c r="AA740" s="17" t="e">
        <f>VLOOKUP(F740,[2]Wait!$H$225:$I$260,2,0)</f>
        <v>#N/A</v>
      </c>
    </row>
    <row r="741" spans="1:29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3554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  <c r="AA741" s="17" t="e">
        <f>VLOOKUP(F741,[2]Wait!$H$225:$I$260,2,0)</f>
        <v>#N/A</v>
      </c>
    </row>
    <row r="742" spans="1:29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3555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  <c r="AA742" s="17" t="e">
        <f>VLOOKUP(F742,[2]Wait!$H$225:$I$260,2,0)</f>
        <v>#N/A</v>
      </c>
    </row>
    <row r="743" spans="1:29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3556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  <c r="AA743" s="17" t="e">
        <f>VLOOKUP(F743,[2]Wait!$H$225:$I$260,2,0)</f>
        <v>#N/A</v>
      </c>
    </row>
    <row r="744" spans="1:29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3557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  <c r="AA744" s="17" t="e">
        <f>VLOOKUP(F744,[2]Wait!$H$225:$I$260,2,0)</f>
        <v>#N/A</v>
      </c>
    </row>
    <row r="745" spans="1:29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3558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  <c r="AA745" s="17" t="e">
        <f>VLOOKUP(F745,[2]Wait!$H$225:$I$260,2,0)</f>
        <v>#N/A</v>
      </c>
    </row>
    <row r="746" spans="1:29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3559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17" t="e">
        <f>VLOOKUP(F746,[2]Wait!$H$225:$I$260,2,0)</f>
        <v>#N/A</v>
      </c>
      <c r="AB746" s="5"/>
      <c r="AC746" s="6"/>
    </row>
    <row r="747" spans="1:29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3560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  <c r="AA747" s="17" t="e">
        <f>VLOOKUP(F747,[2]Wait!$H$225:$I$260,2,0)</f>
        <v>#N/A</v>
      </c>
    </row>
    <row r="748" spans="1:29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3561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  <c r="AA748" s="17" t="e">
        <f>VLOOKUP(F748,[2]Wait!$H$225:$I$260,2,0)</f>
        <v>#N/A</v>
      </c>
    </row>
    <row r="749" spans="1:29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3562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  <c r="AA749" s="17" t="e">
        <f>VLOOKUP(F749,[2]Wait!$H$225:$I$260,2,0)</f>
        <v>#N/A</v>
      </c>
    </row>
    <row r="750" spans="1:29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3563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  <c r="AA750" s="17" t="e">
        <f>VLOOKUP(F750,[2]Wait!$H$225:$I$260,2,0)</f>
        <v>#N/A</v>
      </c>
    </row>
    <row r="751" spans="1:29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3564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  <c r="AA751" s="17" t="e">
        <f>VLOOKUP(F751,[2]Wait!$H$225:$I$260,2,0)</f>
        <v>#N/A</v>
      </c>
    </row>
    <row r="752" spans="1:29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3565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  <c r="AA752" s="17" t="e">
        <f>VLOOKUP(F752,[2]Wait!$H$225:$I$260,2,0)</f>
        <v>#N/A</v>
      </c>
    </row>
    <row r="753" spans="1:27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3566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  <c r="AA753" s="17" t="e">
        <f>VLOOKUP(F753,[2]Wait!$H$225:$I$260,2,0)</f>
        <v>#N/A</v>
      </c>
    </row>
    <row r="754" spans="1:27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3567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  <c r="AA754" s="17" t="e">
        <f>VLOOKUP(F754,[2]Wait!$H$225:$I$260,2,0)</f>
        <v>#N/A</v>
      </c>
    </row>
    <row r="755" spans="1:27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3568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  <c r="AA755" s="17" t="e">
        <f>VLOOKUP(F755,[2]Wait!$H$225:$I$260,2,0)</f>
        <v>#N/A</v>
      </c>
    </row>
    <row r="756" spans="1:27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3569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  <c r="AA756" s="17" t="e">
        <f>VLOOKUP(F756,[2]Wait!$H$225:$I$260,2,0)</f>
        <v>#N/A</v>
      </c>
    </row>
    <row r="757" spans="1:27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3570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  <c r="AA757" s="17" t="e">
        <f>VLOOKUP(F757,[2]Wait!$H$225:$I$260,2,0)</f>
        <v>#N/A</v>
      </c>
    </row>
    <row r="758" spans="1:27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3571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  <c r="AA758" s="17" t="e">
        <f>VLOOKUP(F758,[2]Wait!$H$225:$I$260,2,0)</f>
        <v>#N/A</v>
      </c>
    </row>
    <row r="759" spans="1:27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3572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  <c r="AA759" s="17" t="e">
        <f>VLOOKUP(F759,[2]Wait!$H$225:$I$260,2,0)</f>
        <v>#N/A</v>
      </c>
    </row>
    <row r="760" spans="1:27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3573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  <c r="AA760" s="17" t="e">
        <f>VLOOKUP(F760,[2]Wait!$H$225:$I$260,2,0)</f>
        <v>#N/A</v>
      </c>
    </row>
    <row r="761" spans="1:27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3574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  <c r="AA761" s="17" t="e">
        <f>VLOOKUP(F761,[2]Wait!$H$225:$I$260,2,0)</f>
        <v>#N/A</v>
      </c>
    </row>
    <row r="762" spans="1:27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3575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  <c r="AA762" s="17" t="e">
        <f>VLOOKUP(F762,[2]Wait!$H$225:$I$260,2,0)</f>
        <v>#N/A</v>
      </c>
    </row>
    <row r="763" spans="1:27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3576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  <c r="AA763" s="17" t="e">
        <f>VLOOKUP(F763,[2]Wait!$H$225:$I$260,2,0)</f>
        <v>#N/A</v>
      </c>
    </row>
    <row r="764" spans="1:27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3577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  <c r="AA764" s="17" t="e">
        <f>VLOOKUP(F764,[2]Wait!$H$225:$I$260,2,0)</f>
        <v>#N/A</v>
      </c>
    </row>
    <row r="765" spans="1:27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3578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  <c r="AA765" s="17" t="e">
        <f>VLOOKUP(F765,[2]Wait!$H$225:$I$260,2,0)</f>
        <v>#N/A</v>
      </c>
    </row>
    <row r="766" spans="1:27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3579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  <c r="AA766" s="17" t="e">
        <f>VLOOKUP(F766,[2]Wait!$H$225:$I$260,2,0)</f>
        <v>#N/A</v>
      </c>
    </row>
    <row r="767" spans="1:27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3580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  <c r="AA767" s="17" t="e">
        <f>VLOOKUP(F767,[2]Wait!$H$225:$I$260,2,0)</f>
        <v>#N/A</v>
      </c>
    </row>
    <row r="768" spans="1:27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3581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  <c r="AA768" s="17" t="e">
        <f>VLOOKUP(F768,[2]Wait!$H$225:$I$260,2,0)</f>
        <v>#N/A</v>
      </c>
    </row>
    <row r="769" spans="1:27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3582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  <c r="AA769" s="17" t="e">
        <f>VLOOKUP(F769,[2]Wait!$H$225:$I$260,2,0)</f>
        <v>#N/A</v>
      </c>
    </row>
    <row r="770" spans="1:27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3583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  <c r="AA770" s="17" t="e">
        <f>VLOOKUP(F770,[2]Wait!$H$225:$I$260,2,0)</f>
        <v>#N/A</v>
      </c>
    </row>
    <row r="771" spans="1:27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3584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  <c r="AA771" s="17" t="e">
        <f>VLOOKUP(F771,[2]Wait!$H$225:$I$260,2,0)</f>
        <v>#N/A</v>
      </c>
    </row>
    <row r="772" spans="1:27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3585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  <c r="AA772" s="17" t="e">
        <f>VLOOKUP(F772,[2]Wait!$H$225:$I$260,2,0)</f>
        <v>#N/A</v>
      </c>
    </row>
    <row r="773" spans="1:27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3586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  <c r="AA773" s="17" t="e">
        <f>VLOOKUP(F773,[2]Wait!$H$225:$I$260,2,0)</f>
        <v>#N/A</v>
      </c>
    </row>
    <row r="774" spans="1:27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3587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  <c r="AA774" s="17" t="e">
        <f>VLOOKUP(F774,[2]Wait!$H$225:$I$260,2,0)</f>
        <v>#N/A</v>
      </c>
    </row>
    <row r="775" spans="1:27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3588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  <c r="AA775" s="17" t="e">
        <f>VLOOKUP(F775,[2]Wait!$H$225:$I$260,2,0)</f>
        <v>#N/A</v>
      </c>
    </row>
    <row r="776" spans="1:27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3589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  <c r="AA776" s="17" t="e">
        <f>VLOOKUP(F776,[2]Wait!$H$225:$I$260,2,0)</f>
        <v>#N/A</v>
      </c>
    </row>
    <row r="777" spans="1:27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3590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  <c r="AA777" s="17" t="e">
        <f>VLOOKUP(F777,[2]Wait!$H$225:$I$260,2,0)</f>
        <v>#N/A</v>
      </c>
    </row>
    <row r="778" spans="1:27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3591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  <c r="AA778" s="17" t="e">
        <f>VLOOKUP(F778,[2]Wait!$H$225:$I$260,2,0)</f>
        <v>#N/A</v>
      </c>
    </row>
    <row r="779" spans="1:27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3592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  <c r="AA779" s="17" t="e">
        <f>VLOOKUP(F779,[2]Wait!$H$225:$I$260,2,0)</f>
        <v>#N/A</v>
      </c>
    </row>
    <row r="780" spans="1:27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3593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  <c r="AA780" s="17" t="e">
        <f>VLOOKUP(F780,[2]Wait!$H$225:$I$260,2,0)</f>
        <v>#N/A</v>
      </c>
    </row>
    <row r="781" spans="1:27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3594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  <c r="AA781" s="17" t="e">
        <f>VLOOKUP(F781,[2]Wait!$H$225:$I$260,2,0)</f>
        <v>#N/A</v>
      </c>
    </row>
    <row r="782" spans="1:27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3595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  <c r="AA782" s="17" t="e">
        <f>VLOOKUP(F782,[2]Wait!$H$225:$I$260,2,0)</f>
        <v>#N/A</v>
      </c>
    </row>
    <row r="783" spans="1:27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3596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  <c r="AA783" s="17" t="e">
        <f>VLOOKUP(F783,[2]Wait!$H$225:$I$260,2,0)</f>
        <v>#N/A</v>
      </c>
    </row>
    <row r="784" spans="1:27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3597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  <c r="AA784" s="17" t="e">
        <f>VLOOKUP(F784,[2]Wait!$H$225:$I$260,2,0)</f>
        <v>#N/A</v>
      </c>
    </row>
    <row r="785" spans="1:29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3598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  <c r="AA785" s="17" t="e">
        <f>VLOOKUP(F785,[2]Wait!$H$225:$I$260,2,0)</f>
        <v>#N/A</v>
      </c>
    </row>
    <row r="786" spans="1:29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3599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17" t="e">
        <f>VLOOKUP(F786,[2]Wait!$H$225:$I$260,2,0)</f>
        <v>#N/A</v>
      </c>
      <c r="AB786" s="24"/>
      <c r="AC786" s="25"/>
    </row>
    <row r="787" spans="1:29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3600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  <c r="AA787" s="17" t="e">
        <f>VLOOKUP(F787,[2]Wait!$H$225:$I$260,2,0)</f>
        <v>#N/A</v>
      </c>
    </row>
    <row r="788" spans="1:29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3601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  <c r="AA788" s="17" t="e">
        <f>VLOOKUP(F788,[2]Wait!$H$225:$I$260,2,0)</f>
        <v>#N/A</v>
      </c>
    </row>
    <row r="789" spans="1:29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3602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  <c r="AA789" s="17" t="e">
        <f>VLOOKUP(F789,[2]Wait!$H$225:$I$260,2,0)</f>
        <v>#N/A</v>
      </c>
    </row>
    <row r="790" spans="1:29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3603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  <c r="AA790" s="17" t="e">
        <f>VLOOKUP(F790,[2]Wait!$H$225:$I$260,2,0)</f>
        <v>#N/A</v>
      </c>
    </row>
    <row r="791" spans="1:29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3604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  <c r="AA791" s="17" t="e">
        <f>VLOOKUP(F791,[2]Wait!$H$225:$I$260,2,0)</f>
        <v>#N/A</v>
      </c>
    </row>
    <row r="792" spans="1:29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3605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  <c r="AA792" s="17" t="e">
        <f>VLOOKUP(F792,[2]Wait!$H$225:$I$260,2,0)</f>
        <v>#N/A</v>
      </c>
    </row>
    <row r="793" spans="1:29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3606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  <c r="AA793" s="17" t="e">
        <f>VLOOKUP(F793,[2]Wait!$H$225:$I$260,2,0)</f>
        <v>#N/A</v>
      </c>
    </row>
    <row r="794" spans="1:29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3607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  <c r="AA794" s="17" t="e">
        <f>VLOOKUP(F794,[2]Wait!$H$225:$I$260,2,0)</f>
        <v>#N/A</v>
      </c>
    </row>
    <row r="795" spans="1:29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3608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  <c r="AA795" s="17" t="e">
        <f>VLOOKUP(F795,[2]Wait!$H$225:$I$260,2,0)</f>
        <v>#N/A</v>
      </c>
    </row>
    <row r="796" spans="1:29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3609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  <c r="AA796" s="17" t="e">
        <f>VLOOKUP(F796,[2]Wait!$H$225:$I$260,2,0)</f>
        <v>#N/A</v>
      </c>
    </row>
    <row r="797" spans="1:29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3610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  <c r="AA797" s="17" t="e">
        <f>VLOOKUP(F797,[2]Wait!$H$225:$I$260,2,0)</f>
        <v>#N/A</v>
      </c>
    </row>
    <row r="798" spans="1:29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3611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  <c r="AA798" s="17" t="e">
        <f>VLOOKUP(F798,[2]Wait!$H$225:$I$260,2,0)</f>
        <v>#N/A</v>
      </c>
    </row>
    <row r="799" spans="1:29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3612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  <c r="AA799" s="17" t="e">
        <f>VLOOKUP(F799,[2]Wait!$H$225:$I$260,2,0)</f>
        <v>#N/A</v>
      </c>
    </row>
    <row r="800" spans="1:29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3613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  <c r="AA800" s="17" t="e">
        <f>VLOOKUP(F800,[2]Wait!$H$225:$I$260,2,0)</f>
        <v>#N/A</v>
      </c>
    </row>
    <row r="801" spans="1:29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3614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  <c r="AA801" s="17" t="e">
        <f>VLOOKUP(F801,[2]Wait!$H$225:$I$260,2,0)</f>
        <v>#N/A</v>
      </c>
    </row>
    <row r="802" spans="1:29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3615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  <c r="AA802" s="17" t="e">
        <f>VLOOKUP(F802,[2]Wait!$H$225:$I$260,2,0)</f>
        <v>#N/A</v>
      </c>
    </row>
    <row r="803" spans="1:29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3616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  <c r="AA803" s="17" t="e">
        <f>VLOOKUP(F803,[2]Wait!$H$225:$I$260,2,0)</f>
        <v>#N/A</v>
      </c>
    </row>
    <row r="804" spans="1:29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3617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  <c r="AA804" s="17" t="e">
        <f>VLOOKUP(F804,[2]Wait!$H$225:$I$260,2,0)</f>
        <v>#N/A</v>
      </c>
    </row>
    <row r="805" spans="1:29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3618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  <c r="AA805" s="17" t="e">
        <f>VLOOKUP(F805,[2]Wait!$H$225:$I$260,2,0)</f>
        <v>#N/A</v>
      </c>
    </row>
    <row r="806" spans="1:29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3619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  <c r="AA806" s="17" t="e">
        <f>VLOOKUP(F806,[2]Wait!$H$225:$I$260,2,0)</f>
        <v>#N/A</v>
      </c>
    </row>
    <row r="807" spans="1:29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3620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17" t="e">
        <f>VLOOKUP(F807,[2]Wait!$H$225:$I$260,2,0)</f>
        <v>#N/A</v>
      </c>
      <c r="AB807" s="5"/>
      <c r="AC807" s="6"/>
    </row>
    <row r="808" spans="1:29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3621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  <c r="AA808" s="17" t="e">
        <f>VLOOKUP(F808,[2]Wait!$H$225:$I$260,2,0)</f>
        <v>#N/A</v>
      </c>
    </row>
    <row r="809" spans="1:29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3622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  <c r="AA809" s="17" t="e">
        <f>VLOOKUP(F809,[2]Wait!$H$225:$I$260,2,0)</f>
        <v>#N/A</v>
      </c>
    </row>
    <row r="810" spans="1:29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3623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  <c r="AA810" s="17" t="e">
        <f>VLOOKUP(F810,[2]Wait!$H$225:$I$260,2,0)</f>
        <v>#N/A</v>
      </c>
    </row>
    <row r="811" spans="1:29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3624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  <c r="AA811" s="17" t="e">
        <f>VLOOKUP(F811,[2]Wait!$H$225:$I$260,2,0)</f>
        <v>#N/A</v>
      </c>
    </row>
    <row r="812" spans="1:29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3625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  <c r="AA812" s="17" t="e">
        <f>VLOOKUP(F812,[2]Wait!$H$225:$I$260,2,0)</f>
        <v>#N/A</v>
      </c>
    </row>
    <row r="813" spans="1:29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3626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  <c r="AA813" s="17" t="e">
        <f>VLOOKUP(F813,[2]Wait!$H$225:$I$260,2,0)</f>
        <v>#N/A</v>
      </c>
    </row>
    <row r="814" spans="1:29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3627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  <c r="AA814" s="17" t="e">
        <f>VLOOKUP(F814,[2]Wait!$H$225:$I$260,2,0)</f>
        <v>#N/A</v>
      </c>
    </row>
    <row r="815" spans="1:29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3628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  <c r="AA815" s="17" t="e">
        <f>VLOOKUP(F815,[2]Wait!$H$225:$I$260,2,0)</f>
        <v>#N/A</v>
      </c>
    </row>
    <row r="816" spans="1:29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3629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  <c r="AA816" s="17" t="e">
        <f>VLOOKUP(F816,[2]Wait!$H$225:$I$260,2,0)</f>
        <v>#N/A</v>
      </c>
    </row>
    <row r="817" spans="1:28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3630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  <c r="AA817" s="17" t="e">
        <f>VLOOKUP(F817,[2]Wait!$H$225:$I$260,2,0)</f>
        <v>#N/A</v>
      </c>
    </row>
    <row r="818" spans="1:28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3631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  <c r="AA818" s="17" t="e">
        <f>VLOOKUP(F818,[2]Wait!$H$225:$I$260,2,0)</f>
        <v>#N/A</v>
      </c>
    </row>
    <row r="819" spans="1:28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3632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  <c r="AA819" s="17" t="e">
        <f>VLOOKUP(F819,[2]Wait!$H$225:$I$260,2,0)</f>
        <v>#N/A</v>
      </c>
    </row>
    <row r="820" spans="1:28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3633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  <c r="AA820" s="17" t="e">
        <f>VLOOKUP(F820,[2]Wait!$H$225:$I$260,2,0)</f>
        <v>#N/A</v>
      </c>
    </row>
    <row r="821" spans="1:28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3634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  <c r="AA821" s="17" t="e">
        <f>VLOOKUP(F821,[2]Wait!$H$225:$I$260,2,0)</f>
        <v>#N/A</v>
      </c>
    </row>
    <row r="822" spans="1:28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3635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  <c r="AA822" s="17" t="e">
        <f>VLOOKUP(F822,[2]Wait!$H$225:$I$260,2,0)</f>
        <v>#N/A</v>
      </c>
    </row>
    <row r="823" spans="1:28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3636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  <c r="AA823" s="17" t="e">
        <f>VLOOKUP(F823,[2]Wait!$H$225:$I$260,2,0)</f>
        <v>#N/A</v>
      </c>
    </row>
    <row r="824" spans="1:28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3637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  <c r="AA824" s="17" t="e">
        <f>VLOOKUP(F824,[2]Wait!$H$225:$I$260,2,0)</f>
        <v>#N/A</v>
      </c>
    </row>
    <row r="825" spans="1:28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3638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  <c r="AA825" s="17" t="e">
        <f>VLOOKUP(F825,[2]Wait!$H$225:$I$260,2,0)</f>
        <v>#N/A</v>
      </c>
    </row>
    <row r="826" spans="1:28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3639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  <c r="AA826" s="17" t="e">
        <f>VLOOKUP(F826,[2]Wait!$H$225:$I$260,2,0)</f>
        <v>#N/A</v>
      </c>
    </row>
    <row r="827" spans="1:28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3640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  <c r="AA827" s="17" t="e">
        <f>VLOOKUP(F827,[2]Wait!$H$225:$I$260,2,0)</f>
        <v>#N/A</v>
      </c>
    </row>
    <row r="828" spans="1:28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3641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  <c r="AA828" s="17" t="e">
        <f>VLOOKUP(F828,[2]Wait!$H$225:$I$260,2,0)</f>
        <v>#N/A</v>
      </c>
    </row>
    <row r="829" spans="1:28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3642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  <c r="AA829" s="17" t="e">
        <f>VLOOKUP(F829,[2]Wait!$H$225:$I$260,2,0)</f>
        <v>#N/A</v>
      </c>
    </row>
    <row r="830" spans="1:28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17" t="e">
        <f>VLOOKUP(F830,[2]Wait!$H$225:$I$260,2,0)</f>
        <v>#N/A</v>
      </c>
      <c r="AB830" s="3"/>
    </row>
    <row r="831" spans="1:28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  <c r="AA831" s="17" t="e">
        <f>VLOOKUP(F831,[2]Wait!$H$225:$I$260,2,0)</f>
        <v>#N/A</v>
      </c>
    </row>
    <row r="832" spans="1:28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  <c r="AA832" s="17" t="e">
        <f>VLOOKUP(F832,[2]Wait!$H$225:$I$260,2,0)</f>
        <v>#N/A</v>
      </c>
    </row>
    <row r="833" spans="1:29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  <c r="AA833" s="17" t="e">
        <f>VLOOKUP(F833,[2]Wait!$H$225:$I$260,2,0)</f>
        <v>#N/A</v>
      </c>
    </row>
    <row r="834" spans="1:29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  <c r="AA834" s="17" t="e">
        <f>VLOOKUP(F834,[2]Wait!$H$225:$I$260,2,0)</f>
        <v>#N/A</v>
      </c>
    </row>
    <row r="835" spans="1:29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  <c r="AA835" s="17" t="e">
        <f>VLOOKUP(F835,[2]Wait!$H$225:$I$260,2,0)</f>
        <v>#N/A</v>
      </c>
    </row>
    <row r="836" spans="1:29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17" t="e">
        <f>VLOOKUP(F836,[2]Wait!$H$225:$I$260,2,0)</f>
        <v>#N/A</v>
      </c>
      <c r="AB836" s="24"/>
      <c r="AC836" s="25"/>
    </row>
    <row r="837" spans="1:29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  <c r="AA837" s="17" t="e">
        <f>VLOOKUP(F837,[2]Wait!$H$225:$I$260,2,0)</f>
        <v>#N/A</v>
      </c>
    </row>
    <row r="838" spans="1:29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  <c r="AA838" s="17" t="e">
        <f>VLOOKUP(F838,[2]Wait!$H$225:$I$260,2,0)</f>
        <v>#N/A</v>
      </c>
    </row>
    <row r="839" spans="1:29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  <c r="AA839" s="17" t="e">
        <f>VLOOKUP(F839,[2]Wait!$H$225:$I$260,2,0)</f>
        <v>#N/A</v>
      </c>
    </row>
    <row r="840" spans="1:29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  <c r="AA840" s="17" t="e">
        <f>VLOOKUP(F840,[2]Wait!$H$225:$I$260,2,0)</f>
        <v>#N/A</v>
      </c>
    </row>
    <row r="841" spans="1:29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  <c r="AA841" s="17" t="e">
        <f>VLOOKUP(F841,[2]Wait!$H$225:$I$260,2,0)</f>
        <v>#N/A</v>
      </c>
    </row>
    <row r="842" spans="1:29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  <c r="AA842" s="17" t="e">
        <f>VLOOKUP(F842,[2]Wait!$H$225:$I$260,2,0)</f>
        <v>#N/A</v>
      </c>
    </row>
    <row r="843" spans="1:29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  <c r="AA843" s="17" t="e">
        <f>VLOOKUP(F843,[2]Wait!$H$225:$I$260,2,0)</f>
        <v>#N/A</v>
      </c>
    </row>
    <row r="844" spans="1:29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  <c r="AA844" s="17" t="e">
        <f>VLOOKUP(F844,[2]Wait!$H$225:$I$260,2,0)</f>
        <v>#N/A</v>
      </c>
    </row>
    <row r="845" spans="1:29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  <c r="AA845" s="17" t="e">
        <f>VLOOKUP(F845,[2]Wait!$H$225:$I$260,2,0)</f>
        <v>#N/A</v>
      </c>
    </row>
    <row r="846" spans="1:29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  <c r="AA846" s="17" t="e">
        <f>VLOOKUP(F846,[2]Wait!$H$225:$I$260,2,0)</f>
        <v>#N/A</v>
      </c>
    </row>
    <row r="847" spans="1:29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  <c r="AA847" s="17" t="e">
        <f>VLOOKUP(F847,[2]Wait!$H$225:$I$260,2,0)</f>
        <v>#N/A</v>
      </c>
    </row>
    <row r="848" spans="1:29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  <c r="AA848" s="17" t="e">
        <f>VLOOKUP(F848,[2]Wait!$H$225:$I$260,2,0)</f>
        <v>#N/A</v>
      </c>
    </row>
    <row r="849" spans="1:29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17" t="e">
        <f>VLOOKUP(F849,[2]Wait!$H$225:$I$260,2,0)</f>
        <v>#N/A</v>
      </c>
      <c r="AB849" s="5"/>
      <c r="AC849" s="6"/>
    </row>
    <row r="850" spans="1:29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  <c r="AA850" s="17" t="e">
        <f>VLOOKUP(F850,[2]Wait!$H$225:$I$260,2,0)</f>
        <v>#N/A</v>
      </c>
    </row>
    <row r="851" spans="1:29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  <c r="AA851" s="17" t="e">
        <f>VLOOKUP(F851,[2]Wait!$H$225:$I$260,2,0)</f>
        <v>#N/A</v>
      </c>
    </row>
    <row r="852" spans="1:29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  <c r="AA852" s="17" t="e">
        <f>VLOOKUP(F852,[2]Wait!$H$225:$I$260,2,0)</f>
        <v>#N/A</v>
      </c>
    </row>
    <row r="853" spans="1:29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  <c r="AA853" s="17" t="e">
        <f>VLOOKUP(F853,[2]Wait!$H$225:$I$260,2,0)</f>
        <v>#N/A</v>
      </c>
    </row>
    <row r="854" spans="1:29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17" t="e">
        <f>VLOOKUP(F854,[2]Wait!$H$225:$I$260,2,0)</f>
        <v>#N/A</v>
      </c>
      <c r="AB854" s="3"/>
    </row>
    <row r="855" spans="1:29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  <c r="AA855" s="17" t="e">
        <f>VLOOKUP(F855,[2]Wait!$H$225:$I$260,2,0)</f>
        <v>#N/A</v>
      </c>
    </row>
    <row r="856" spans="1:29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  <c r="AA856" s="17" t="e">
        <f>VLOOKUP(F856,[2]Wait!$H$225:$I$260,2,0)</f>
        <v>#N/A</v>
      </c>
    </row>
    <row r="857" spans="1:29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  <c r="AA857" s="17" t="e">
        <f>VLOOKUP(F857,[2]Wait!$H$225:$I$260,2,0)</f>
        <v>#N/A</v>
      </c>
    </row>
    <row r="858" spans="1:29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  <c r="AA858" s="17" t="e">
        <f>VLOOKUP(F858,[2]Wait!$H$225:$I$260,2,0)</f>
        <v>#N/A</v>
      </c>
    </row>
    <row r="859" spans="1:29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  <c r="AA859" s="17" t="e">
        <f>VLOOKUP(F859,[2]Wait!$H$225:$I$260,2,0)</f>
        <v>#N/A</v>
      </c>
    </row>
    <row r="860" spans="1:29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  <c r="AA860" s="17" t="e">
        <f>VLOOKUP(F860,[2]Wait!$H$225:$I$260,2,0)</f>
        <v>#N/A</v>
      </c>
    </row>
    <row r="861" spans="1:29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  <c r="AA861" s="17" t="e">
        <f>VLOOKUP(F861,[2]Wait!$H$225:$I$260,2,0)</f>
        <v>#N/A</v>
      </c>
    </row>
    <row r="862" spans="1:29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2279</v>
      </c>
      <c r="E862" s="20" t="s">
        <v>2280</v>
      </c>
      <c r="F862" s="20" t="s">
        <v>2280</v>
      </c>
      <c r="G862" s="20" t="s">
        <v>194</v>
      </c>
      <c r="H862" s="20" t="s">
        <v>26</v>
      </c>
      <c r="I862" s="21">
        <v>46258</v>
      </c>
      <c r="J862" s="20" t="s">
        <v>683</v>
      </c>
      <c r="K862" s="20" t="s">
        <v>28</v>
      </c>
      <c r="L862" s="20" t="s">
        <v>2281</v>
      </c>
      <c r="M862" s="20" t="s">
        <v>259</v>
      </c>
      <c r="N862" s="22" t="s">
        <v>250</v>
      </c>
      <c r="O862" s="20" t="s">
        <v>1044</v>
      </c>
      <c r="P862" s="20" t="s">
        <v>26</v>
      </c>
      <c r="Q862" s="20" t="s">
        <v>26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  <c r="AA862" s="17" t="e">
        <f>VLOOKUP(F862,[2]Wait!$H$225:$I$260,2,0)</f>
        <v>#N/A</v>
      </c>
    </row>
    <row r="863" spans="1:29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2285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255</v>
      </c>
      <c r="K863" s="20" t="s">
        <v>28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  <c r="AA863" s="17" t="e">
        <f>VLOOKUP(F863,[2]Wait!$H$225:$I$260,2,0)</f>
        <v>#N/A</v>
      </c>
    </row>
    <row r="864" spans="1:29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2288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260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  <c r="AA864" s="17" t="e">
        <f>VLOOKUP(F864,[2]Wait!$H$225:$I$260,2,0)</f>
        <v>#N/A</v>
      </c>
    </row>
    <row r="865" spans="1:29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2289</v>
      </c>
      <c r="E865" s="20" t="s">
        <v>2286</v>
      </c>
      <c r="F865" s="20" t="s">
        <v>2286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58</v>
      </c>
      <c r="L865" s="20" t="s">
        <v>2287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32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  <c r="AA865" s="17" t="e">
        <f>VLOOKUP(F865,[2]Wait!$H$225:$I$260,2,0)</f>
        <v>#N/A</v>
      </c>
    </row>
    <row r="866" spans="1:29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2290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255</v>
      </c>
      <c r="K866" s="20" t="s">
        <v>28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17" t="e">
        <f>VLOOKUP(F866,[2]Wait!$H$225:$I$260,2,0)</f>
        <v>#N/A</v>
      </c>
      <c r="AB866" s="5"/>
      <c r="AC866" s="6"/>
    </row>
    <row r="867" spans="1:29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2293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260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17" t="e">
        <f>VLOOKUP(F867,[2]Wait!$H$225:$I$260,2,0)</f>
        <v>#N/A</v>
      </c>
      <c r="AB867" s="5"/>
      <c r="AC867" s="6"/>
    </row>
    <row r="868" spans="1:29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2294</v>
      </c>
      <c r="E868" s="20" t="s">
        <v>2291</v>
      </c>
      <c r="F868" s="20" t="s">
        <v>2291</v>
      </c>
      <c r="G868" s="20" t="s">
        <v>194</v>
      </c>
      <c r="H868" s="20" t="s">
        <v>26</v>
      </c>
      <c r="I868" s="21">
        <v>46258</v>
      </c>
      <c r="J868" s="20" t="s">
        <v>255</v>
      </c>
      <c r="K868" s="20" t="s">
        <v>58</v>
      </c>
      <c r="L868" s="20" t="s">
        <v>2292</v>
      </c>
      <c r="M868" s="20" t="s">
        <v>259</v>
      </c>
      <c r="N868" s="22" t="s">
        <v>250</v>
      </c>
      <c r="O868" s="20" t="s">
        <v>1044</v>
      </c>
      <c r="P868" s="20" t="s">
        <v>257</v>
      </c>
      <c r="Q868" s="20" t="s">
        <v>258</v>
      </c>
      <c r="R868" s="20" t="s">
        <v>26</v>
      </c>
      <c r="S868" s="20" t="s">
        <v>255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17" t="e">
        <f>VLOOKUP(F868,[2]Wait!$H$225:$I$260,2,0)</f>
        <v>#N/A</v>
      </c>
      <c r="AB868" s="5"/>
      <c r="AC868" s="6"/>
    </row>
    <row r="869" spans="1:29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2298</v>
      </c>
      <c r="E869" s="20" t="s">
        <v>2299</v>
      </c>
      <c r="F869" s="20" t="s">
        <v>2299</v>
      </c>
      <c r="G869" s="20" t="s">
        <v>194</v>
      </c>
      <c r="H869" s="20" t="s">
        <v>26</v>
      </c>
      <c r="I869" s="21">
        <v>46258</v>
      </c>
      <c r="J869" s="20" t="s">
        <v>36</v>
      </c>
      <c r="K869" s="20" t="s">
        <v>28</v>
      </c>
      <c r="L869" s="20" t="s">
        <v>2300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46274</v>
      </c>
      <c r="Z869" s="20" t="s">
        <v>57</v>
      </c>
      <c r="AA869" s="17" t="e">
        <f>VLOOKUP(F869,[2]Wait!$H$225:$I$260,2,0)</f>
        <v>#N/A</v>
      </c>
      <c r="AB869" s="5"/>
      <c r="AC869" s="6"/>
    </row>
    <row r="870" spans="1:29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2909</v>
      </c>
      <c r="E870" s="20" t="s">
        <v>2910</v>
      </c>
      <c r="F870" s="20" t="s">
        <v>2910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2911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17" t="e">
        <f>VLOOKUP(F870,[2]Wait!$H$225:$I$260,2,0)</f>
        <v>#N/A</v>
      </c>
      <c r="AB870" s="5"/>
      <c r="AC870" s="6"/>
    </row>
    <row r="871" spans="1:29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2912</v>
      </c>
      <c r="E871" s="20" t="s">
        <v>2913</v>
      </c>
      <c r="F871" s="20" t="s">
        <v>2913</v>
      </c>
      <c r="G871" s="20" t="s">
        <v>194</v>
      </c>
      <c r="H871" s="20" t="s">
        <v>26</v>
      </c>
      <c r="I871" s="21">
        <v>46258</v>
      </c>
      <c r="J871" s="20" t="s">
        <v>32</v>
      </c>
      <c r="K871" s="20" t="s">
        <v>28</v>
      </c>
      <c r="L871" s="20" t="s">
        <v>2914</v>
      </c>
      <c r="M871" s="20" t="s">
        <v>259</v>
      </c>
      <c r="N871" s="22" t="s">
        <v>250</v>
      </c>
      <c r="O871" s="20" t="s">
        <v>1044</v>
      </c>
      <c r="P871" s="20" t="s">
        <v>26</v>
      </c>
      <c r="Q871" s="20" t="s">
        <v>26</v>
      </c>
      <c r="R871" s="20" t="s">
        <v>26</v>
      </c>
      <c r="S871" s="20" t="s">
        <v>32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46258</v>
      </c>
      <c r="Z871" s="20" t="s">
        <v>34</v>
      </c>
      <c r="AA871" s="17" t="e">
        <f>VLOOKUP(F871,[2]Wait!$H$225:$I$260,2,0)</f>
        <v>#N/A</v>
      </c>
      <c r="AB871" s="5"/>
      <c r="AC871" s="6"/>
    </row>
    <row r="872" spans="1:29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2301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28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17" t="e">
        <f>VLOOKUP(F872,[2]Wait!$H$225:$I$260,2,0)</f>
        <v>#N/A</v>
      </c>
      <c r="AB872" s="5"/>
      <c r="AC872" s="6"/>
    </row>
    <row r="873" spans="1:29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2304</v>
      </c>
      <c r="E873" s="20" t="s">
        <v>2302</v>
      </c>
      <c r="F873" s="20" t="s">
        <v>2302</v>
      </c>
      <c r="G873" s="20" t="s">
        <v>194</v>
      </c>
      <c r="H873" s="20" t="s">
        <v>26</v>
      </c>
      <c r="I873" s="21">
        <v>46258</v>
      </c>
      <c r="J873" s="20" t="s">
        <v>255</v>
      </c>
      <c r="K873" s="20" t="s">
        <v>58</v>
      </c>
      <c r="L873" s="20" t="s">
        <v>2303</v>
      </c>
      <c r="M873" s="20" t="s">
        <v>259</v>
      </c>
      <c r="N873" s="22" t="s">
        <v>250</v>
      </c>
      <c r="O873" s="20" t="s">
        <v>1044</v>
      </c>
      <c r="P873" s="20" t="s">
        <v>257</v>
      </c>
      <c r="Q873" s="20" t="s">
        <v>258</v>
      </c>
      <c r="R873" s="20" t="s">
        <v>26</v>
      </c>
      <c r="S873" s="20" t="s">
        <v>255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17" t="e">
        <f>VLOOKUP(F873,[2]Wait!$H$225:$I$260,2,0)</f>
        <v>#N/A</v>
      </c>
      <c r="AB873" s="5"/>
      <c r="AC873" s="6"/>
    </row>
    <row r="874" spans="1:29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2313</v>
      </c>
      <c r="E874" s="20" t="s">
        <v>2314</v>
      </c>
      <c r="F874" s="20" t="s">
        <v>2314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  <c r="AA874" s="17" t="e">
        <f>VLOOKUP(F874,[2]Wait!$H$225:$I$260,2,0)</f>
        <v>#N/A</v>
      </c>
    </row>
    <row r="875" spans="1:29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2315</v>
      </c>
      <c r="E875" s="20" t="s">
        <v>2316</v>
      </c>
      <c r="F875" s="20" t="s">
        <v>2316</v>
      </c>
      <c r="G875" s="20" t="s">
        <v>194</v>
      </c>
      <c r="H875" s="20" t="s">
        <v>26</v>
      </c>
      <c r="I875" s="21">
        <v>46258</v>
      </c>
      <c r="J875" s="20" t="s">
        <v>27</v>
      </c>
      <c r="K875" s="20" t="s">
        <v>28</v>
      </c>
      <c r="L875" s="20" t="s">
        <v>916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32</v>
      </c>
      <c r="T875" s="20" t="s">
        <v>195</v>
      </c>
      <c r="U875" s="20" t="s">
        <v>26</v>
      </c>
      <c r="V875" s="21"/>
      <c r="W875" s="21">
        <v>46258</v>
      </c>
      <c r="X875" s="20" t="s">
        <v>34</v>
      </c>
      <c r="Y875" s="21">
        <v>46274</v>
      </c>
      <c r="Z875" s="20" t="s">
        <v>57</v>
      </c>
      <c r="AA875" s="17" t="e">
        <f>VLOOKUP(F875,[2]Wait!$H$225:$I$260,2,0)</f>
        <v>#N/A</v>
      </c>
    </row>
    <row r="876" spans="1:29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2317</v>
      </c>
      <c r="E876" s="20" t="s">
        <v>2318</v>
      </c>
      <c r="F876" s="20" t="s">
        <v>2318</v>
      </c>
      <c r="G876" s="20" t="s">
        <v>194</v>
      </c>
      <c r="H876" s="20" t="s">
        <v>26</v>
      </c>
      <c r="I876" s="21">
        <v>46276</v>
      </c>
      <c r="J876" s="20" t="s">
        <v>196</v>
      </c>
      <c r="K876" s="20" t="s">
        <v>28</v>
      </c>
      <c r="L876" s="20" t="s">
        <v>2319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46276</v>
      </c>
      <c r="X876" s="20" t="s">
        <v>2320</v>
      </c>
      <c r="Y876" s="21">
        <v>46276</v>
      </c>
      <c r="Z876" s="20" t="s">
        <v>226</v>
      </c>
      <c r="AA876" s="17" t="e">
        <f>VLOOKUP(F876,[2]Wait!$H$225:$I$260,2,0)</f>
        <v>#N/A</v>
      </c>
    </row>
    <row r="877" spans="1:29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2328</v>
      </c>
      <c r="E877" s="20" t="s">
        <v>2329</v>
      </c>
      <c r="F877" s="20" t="s">
        <v>2329</v>
      </c>
      <c r="G877" s="20" t="s">
        <v>194</v>
      </c>
      <c r="H877" s="20" t="s">
        <v>26</v>
      </c>
      <c r="I877" s="21">
        <v>46277</v>
      </c>
      <c r="J877" s="20" t="s">
        <v>683</v>
      </c>
      <c r="K877" s="20" t="s">
        <v>28</v>
      </c>
      <c r="L877" s="20" t="s">
        <v>2330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683</v>
      </c>
      <c r="T877" s="20" t="s">
        <v>195</v>
      </c>
      <c r="U877" s="20" t="s">
        <v>26</v>
      </c>
      <c r="V877" s="21"/>
      <c r="W877" s="21">
        <v>46277</v>
      </c>
      <c r="X877" s="20" t="s">
        <v>2331</v>
      </c>
      <c r="Y877" s="21">
        <v>46284</v>
      </c>
      <c r="Z877" s="20" t="s">
        <v>1135</v>
      </c>
      <c r="AA877" s="17" t="e">
        <f>VLOOKUP(F877,[2]Wait!$H$225:$I$260,2,0)</f>
        <v>#N/A</v>
      </c>
    </row>
    <row r="878" spans="1:29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2933</v>
      </c>
      <c r="E878" s="20" t="s">
        <v>2934</v>
      </c>
      <c r="F878" s="20" t="s">
        <v>2934</v>
      </c>
      <c r="G878" s="20" t="s">
        <v>194</v>
      </c>
      <c r="H878" s="20" t="s">
        <v>26</v>
      </c>
      <c r="I878" s="21">
        <v>46288</v>
      </c>
      <c r="J878" s="20" t="s">
        <v>683</v>
      </c>
      <c r="K878" s="20" t="s">
        <v>28</v>
      </c>
      <c r="L878" s="20" t="s">
        <v>2935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46288</v>
      </c>
      <c r="X878" s="20" t="s">
        <v>1625</v>
      </c>
      <c r="Y878" s="21">
        <v>46289</v>
      </c>
      <c r="Z878" s="20" t="s">
        <v>226</v>
      </c>
      <c r="AA878" s="17" t="e">
        <f>VLOOKUP(F878,[2]Wait!$H$225:$I$260,2,0)</f>
        <v>#N/A</v>
      </c>
    </row>
    <row r="879" spans="1:29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2936</v>
      </c>
      <c r="E879" s="20" t="s">
        <v>2937</v>
      </c>
      <c r="F879" s="20" t="s">
        <v>2937</v>
      </c>
      <c r="G879" s="20" t="s">
        <v>194</v>
      </c>
      <c r="H879" s="20" t="s">
        <v>26</v>
      </c>
      <c r="I879" s="21">
        <v>46288</v>
      </c>
      <c r="J879" s="20" t="s">
        <v>683</v>
      </c>
      <c r="K879" s="20" t="s">
        <v>28</v>
      </c>
      <c r="L879" s="20" t="s">
        <v>2938</v>
      </c>
      <c r="M879" s="20" t="s">
        <v>259</v>
      </c>
      <c r="N879" s="22" t="s">
        <v>250</v>
      </c>
      <c r="O879" s="20" t="s">
        <v>1044</v>
      </c>
      <c r="P879" s="20" t="s">
        <v>26</v>
      </c>
      <c r="Q879" s="20" t="s">
        <v>26</v>
      </c>
      <c r="R879" s="20" t="s">
        <v>26</v>
      </c>
      <c r="S879" s="20" t="s">
        <v>63</v>
      </c>
      <c r="T879" s="20" t="s">
        <v>195</v>
      </c>
      <c r="U879" s="20" t="s">
        <v>26</v>
      </c>
      <c r="V879" s="21"/>
      <c r="W879" s="21">
        <v>46288</v>
      </c>
      <c r="X879" s="20" t="s">
        <v>2939</v>
      </c>
      <c r="Y879" s="21">
        <v>46289</v>
      </c>
      <c r="Z879" s="20" t="s">
        <v>226</v>
      </c>
      <c r="AA879" s="17" t="e">
        <f>VLOOKUP(F879,[2]Wait!$H$225:$I$260,2,0)</f>
        <v>#N/A</v>
      </c>
    </row>
    <row r="880" spans="1:29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2968</v>
      </c>
      <c r="E880" s="20" t="s">
        <v>2969</v>
      </c>
      <c r="F880" s="20" t="s">
        <v>2969</v>
      </c>
      <c r="G880" s="20" t="s">
        <v>194</v>
      </c>
      <c r="H880" s="20" t="s">
        <v>26</v>
      </c>
      <c r="I880" s="21">
        <v>46258</v>
      </c>
      <c r="J880" s="20" t="s">
        <v>683</v>
      </c>
      <c r="K880" s="20" t="s">
        <v>28</v>
      </c>
      <c r="L880" s="20" t="s">
        <v>2970</v>
      </c>
      <c r="M880" s="20" t="s">
        <v>259</v>
      </c>
      <c r="N880" s="22" t="s">
        <v>250</v>
      </c>
      <c r="O880" s="20" t="s">
        <v>1044</v>
      </c>
      <c r="P880" s="20" t="s">
        <v>26</v>
      </c>
      <c r="Q880" s="20" t="s">
        <v>26</v>
      </c>
      <c r="R880" s="20" t="s">
        <v>26</v>
      </c>
      <c r="S880" s="20" t="s">
        <v>63</v>
      </c>
      <c r="T880" s="20" t="s">
        <v>195</v>
      </c>
      <c r="U880" s="20" t="s">
        <v>26</v>
      </c>
      <c r="V880" s="21"/>
      <c r="W880" s="21">
        <v>46258</v>
      </c>
      <c r="X880" s="20" t="s">
        <v>34</v>
      </c>
      <c r="Y880" s="21">
        <v>46274</v>
      </c>
      <c r="Z880" s="20" t="s">
        <v>57</v>
      </c>
      <c r="AA880" s="17" t="e">
        <f>VLOOKUP(F880,[2]Wait!$H$225:$I$260,2,0)</f>
        <v>#N/A</v>
      </c>
    </row>
    <row r="881" spans="1:29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3643</v>
      </c>
      <c r="E881" s="20" t="s">
        <v>3644</v>
      </c>
      <c r="F881" s="20" t="s">
        <v>3644</v>
      </c>
      <c r="G881" s="20" t="s">
        <v>194</v>
      </c>
      <c r="H881" s="20" t="s">
        <v>26</v>
      </c>
      <c r="I881" s="21">
        <v>46292</v>
      </c>
      <c r="J881" s="20" t="s">
        <v>225</v>
      </c>
      <c r="K881" s="20" t="s">
        <v>28</v>
      </c>
      <c r="L881" s="20" t="s">
        <v>916</v>
      </c>
      <c r="M881" s="20" t="s">
        <v>259</v>
      </c>
      <c r="N881" s="22" t="s">
        <v>250</v>
      </c>
      <c r="O881" s="20" t="s">
        <v>1044</v>
      </c>
      <c r="P881" s="20" t="s">
        <v>26</v>
      </c>
      <c r="Q881" s="20" t="s">
        <v>26</v>
      </c>
      <c r="R881" s="20" t="s">
        <v>26</v>
      </c>
      <c r="S881" s="20" t="s">
        <v>32</v>
      </c>
      <c r="T881" s="20" t="s">
        <v>195</v>
      </c>
      <c r="U881" s="20" t="s">
        <v>26</v>
      </c>
      <c r="V881" s="21"/>
      <c r="W881" s="21">
        <v>46292</v>
      </c>
      <c r="X881" s="20" t="s">
        <v>3645</v>
      </c>
      <c r="Y881" s="21">
        <v>46292</v>
      </c>
      <c r="Z881" s="20" t="s">
        <v>226</v>
      </c>
      <c r="AA881" s="17" t="e">
        <f>VLOOKUP(F881,[2]Wait!$H$225:$I$260,2,0)</f>
        <v>#N/A</v>
      </c>
    </row>
    <row r="882" spans="1:29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3646</v>
      </c>
      <c r="E882" s="20" t="s">
        <v>3647</v>
      </c>
      <c r="F882" s="20" t="s">
        <v>3647</v>
      </c>
      <c r="G882" s="20" t="s">
        <v>194</v>
      </c>
      <c r="H882" s="20" t="s">
        <v>26</v>
      </c>
      <c r="I882" s="21">
        <v>46258</v>
      </c>
      <c r="J882" s="20" t="s">
        <v>683</v>
      </c>
      <c r="K882" s="20" t="s">
        <v>28</v>
      </c>
      <c r="L882" s="20" t="s">
        <v>3648</v>
      </c>
      <c r="M882" s="20" t="s">
        <v>259</v>
      </c>
      <c r="N882" s="22" t="s">
        <v>250</v>
      </c>
      <c r="O882" s="20" t="s">
        <v>1044</v>
      </c>
      <c r="P882" s="20" t="s">
        <v>26</v>
      </c>
      <c r="Q882" s="20" t="s">
        <v>26</v>
      </c>
      <c r="R882" s="20" t="s">
        <v>26</v>
      </c>
      <c r="S882" s="20" t="s">
        <v>63</v>
      </c>
      <c r="T882" s="20" t="s">
        <v>195</v>
      </c>
      <c r="U882" s="20" t="s">
        <v>26</v>
      </c>
      <c r="V882" s="21"/>
      <c r="W882" s="21">
        <v>46258</v>
      </c>
      <c r="X882" s="20" t="s">
        <v>34</v>
      </c>
      <c r="Y882" s="21">
        <v>46274</v>
      </c>
      <c r="Z882" s="20" t="s">
        <v>57</v>
      </c>
      <c r="AA882" s="17" t="e">
        <f>VLOOKUP(F882,[2]Wait!$H$225:$I$260,2,0)</f>
        <v>#N/A</v>
      </c>
    </row>
    <row r="883" spans="1:29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2351</v>
      </c>
      <c r="E883" s="20" t="s">
        <v>2352</v>
      </c>
      <c r="F883" s="20" t="s">
        <v>3649</v>
      </c>
      <c r="G883" s="20" t="s">
        <v>273</v>
      </c>
      <c r="H883" s="20" t="s">
        <v>26</v>
      </c>
      <c r="I883" s="21">
        <v>46256</v>
      </c>
      <c r="J883" s="20" t="s">
        <v>36</v>
      </c>
      <c r="K883" s="20" t="s">
        <v>28</v>
      </c>
      <c r="L883" s="20" t="s">
        <v>2353</v>
      </c>
      <c r="M883" s="20" t="s">
        <v>263</v>
      </c>
      <c r="N883" s="22" t="s">
        <v>250</v>
      </c>
      <c r="O883" s="20" t="s">
        <v>932</v>
      </c>
      <c r="P883" s="20" t="s">
        <v>30</v>
      </c>
      <c r="Q883" s="20" t="s">
        <v>31</v>
      </c>
      <c r="R883" s="20" t="s">
        <v>26</v>
      </c>
      <c r="S883" s="20" t="s">
        <v>32</v>
      </c>
      <c r="T883" s="20" t="s">
        <v>685</v>
      </c>
      <c r="U883" s="20" t="s">
        <v>2354</v>
      </c>
      <c r="V883" s="21"/>
      <c r="W883" s="21">
        <v>46256</v>
      </c>
      <c r="X883" s="20" t="s">
        <v>34</v>
      </c>
      <c r="Y883" s="21">
        <v>46267</v>
      </c>
      <c r="Z883" s="20" t="s">
        <v>34</v>
      </c>
      <c r="AA883" s="17" t="e">
        <f>VLOOKUP(F883,[2]Wait!$H$225:$I$260,2,0)</f>
        <v>#N/A</v>
      </c>
    </row>
    <row r="884" spans="1:29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2355</v>
      </c>
      <c r="E884" s="20" t="s">
        <v>2352</v>
      </c>
      <c r="F884" s="20" t="s">
        <v>3649</v>
      </c>
      <c r="G884" s="20" t="s">
        <v>273</v>
      </c>
      <c r="H884" s="20" t="s">
        <v>26</v>
      </c>
      <c r="I884" s="21">
        <v>46256</v>
      </c>
      <c r="J884" s="20" t="s">
        <v>36</v>
      </c>
      <c r="K884" s="20" t="s">
        <v>58</v>
      </c>
      <c r="L884" s="20" t="s">
        <v>2353</v>
      </c>
      <c r="M884" s="20" t="s">
        <v>263</v>
      </c>
      <c r="N884" s="22" t="s">
        <v>250</v>
      </c>
      <c r="O884" s="20" t="s">
        <v>932</v>
      </c>
      <c r="P884" s="20" t="s">
        <v>30</v>
      </c>
      <c r="Q884" s="20" t="s">
        <v>31</v>
      </c>
      <c r="R884" s="20" t="s">
        <v>26</v>
      </c>
      <c r="S884" s="20" t="s">
        <v>32</v>
      </c>
      <c r="T884" s="20" t="s">
        <v>685</v>
      </c>
      <c r="U884" s="20" t="s">
        <v>2354</v>
      </c>
      <c r="V884" s="21"/>
      <c r="W884" s="21">
        <v>46256</v>
      </c>
      <c r="X884" s="20" t="s">
        <v>34</v>
      </c>
      <c r="Y884" s="21">
        <v>46267</v>
      </c>
      <c r="Z884" s="20" t="s">
        <v>34</v>
      </c>
      <c r="AA884" s="17" t="e">
        <f>VLOOKUP(F884,[2]Wait!$H$225:$I$260,2,0)</f>
        <v>#N/A</v>
      </c>
    </row>
    <row r="885" spans="1:29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2356</v>
      </c>
      <c r="E885" s="20" t="s">
        <v>26</v>
      </c>
      <c r="F885" s="20" t="s">
        <v>3650</v>
      </c>
      <c r="G885" s="20" t="s">
        <v>35</v>
      </c>
      <c r="H885" s="20" t="s">
        <v>26</v>
      </c>
      <c r="I885" s="21">
        <v>46267</v>
      </c>
      <c r="J885" s="20" t="s">
        <v>82</v>
      </c>
      <c r="K885" s="20" t="s">
        <v>28</v>
      </c>
      <c r="L885" s="20" t="s">
        <v>2357</v>
      </c>
      <c r="M885" s="20" t="s">
        <v>263</v>
      </c>
      <c r="N885" s="22" t="s">
        <v>250</v>
      </c>
      <c r="O885" s="20" t="s">
        <v>961</v>
      </c>
      <c r="P885" s="20" t="s">
        <v>26</v>
      </c>
      <c r="Q885" s="20" t="s">
        <v>26</v>
      </c>
      <c r="R885" s="20" t="s">
        <v>126</v>
      </c>
      <c r="S885" s="20" t="s">
        <v>32</v>
      </c>
      <c r="T885" s="20" t="s">
        <v>70</v>
      </c>
      <c r="U885" s="20" t="s">
        <v>1110</v>
      </c>
      <c r="V885" s="21"/>
      <c r="W885" s="21">
        <v>46267</v>
      </c>
      <c r="X885" s="20" t="s">
        <v>39</v>
      </c>
      <c r="Y885" s="21">
        <v>46267</v>
      </c>
      <c r="Z885" s="20" t="s">
        <v>39</v>
      </c>
      <c r="AA885" s="17" t="e">
        <f>VLOOKUP(F885,[2]Wait!$H$225:$I$260,2,0)</f>
        <v>#N/A</v>
      </c>
    </row>
    <row r="886" spans="1:29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1968</v>
      </c>
      <c r="E886" s="20" t="s">
        <v>26</v>
      </c>
      <c r="F886" s="20" t="s">
        <v>3651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408</v>
      </c>
      <c r="M886" s="20" t="s">
        <v>263</v>
      </c>
      <c r="N886" s="22" t="s">
        <v>250</v>
      </c>
      <c r="O886" s="20" t="s">
        <v>939</v>
      </c>
      <c r="P886" s="20" t="s">
        <v>26</v>
      </c>
      <c r="Q886" s="20" t="s">
        <v>26</v>
      </c>
      <c r="R886" s="20" t="s">
        <v>61</v>
      </c>
      <c r="S886" s="20" t="s">
        <v>32</v>
      </c>
      <c r="T886" s="20" t="s">
        <v>33</v>
      </c>
      <c r="U886" s="20" t="s">
        <v>409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  <c r="AA886" s="17" t="e">
        <f>VLOOKUP(F886,[2]Wait!$H$225:$I$260,2,0)</f>
        <v>#N/A</v>
      </c>
    </row>
    <row r="887" spans="1:29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1969</v>
      </c>
      <c r="E887" s="20" t="s">
        <v>26</v>
      </c>
      <c r="F887" s="20" t="s">
        <v>3652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410</v>
      </c>
      <c r="M887" s="20" t="s">
        <v>263</v>
      </c>
      <c r="N887" s="22" t="s">
        <v>250</v>
      </c>
      <c r="O887" s="20" t="s">
        <v>939</v>
      </c>
      <c r="P887" s="20" t="s">
        <v>26</v>
      </c>
      <c r="Q887" s="20" t="s">
        <v>26</v>
      </c>
      <c r="R887" s="20" t="s">
        <v>61</v>
      </c>
      <c r="S887" s="20" t="s">
        <v>32</v>
      </c>
      <c r="T887" s="20" t="s">
        <v>33</v>
      </c>
      <c r="U887" s="20" t="s">
        <v>409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  <c r="AA887" s="17" t="e">
        <f>VLOOKUP(F887,[2]Wait!$H$225:$I$260,2,0)</f>
        <v>#N/A</v>
      </c>
    </row>
    <row r="888" spans="1:29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2984</v>
      </c>
      <c r="E888" s="20" t="s">
        <v>2985</v>
      </c>
      <c r="F888" s="20" t="s">
        <v>2985</v>
      </c>
      <c r="G888" s="20" t="s">
        <v>194</v>
      </c>
      <c r="H888" s="20" t="s">
        <v>26</v>
      </c>
      <c r="I888" s="21">
        <v>46289</v>
      </c>
      <c r="J888" s="20" t="s">
        <v>32</v>
      </c>
      <c r="K888" s="20" t="s">
        <v>28</v>
      </c>
      <c r="L888" s="20" t="s">
        <v>2986</v>
      </c>
      <c r="M888" s="20" t="s">
        <v>263</v>
      </c>
      <c r="N888" s="22" t="s">
        <v>250</v>
      </c>
      <c r="O888" s="20" t="s">
        <v>1044</v>
      </c>
      <c r="P888" s="20" t="s">
        <v>26</v>
      </c>
      <c r="Q888" s="20" t="s">
        <v>26</v>
      </c>
      <c r="R888" s="20" t="s">
        <v>26</v>
      </c>
      <c r="S888" s="20" t="s">
        <v>32</v>
      </c>
      <c r="T888" s="20" t="s">
        <v>195</v>
      </c>
      <c r="U888" s="20" t="s">
        <v>26</v>
      </c>
      <c r="V888" s="21"/>
      <c r="W888" s="21">
        <v>46289</v>
      </c>
      <c r="X888" s="20" t="s">
        <v>34</v>
      </c>
      <c r="Y888" s="21">
        <v>46289</v>
      </c>
      <c r="Z888" s="20" t="s">
        <v>34</v>
      </c>
      <c r="AA888" s="17" t="e">
        <f>VLOOKUP(F888,[2]Wait!$H$225:$I$260,2,0)</f>
        <v>#N/A</v>
      </c>
    </row>
    <row r="889" spans="1:29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2930</v>
      </c>
      <c r="E889" s="20" t="s">
        <v>2931</v>
      </c>
      <c r="F889" s="20" t="s">
        <v>2931</v>
      </c>
      <c r="G889" s="20" t="s">
        <v>194</v>
      </c>
      <c r="H889" s="20" t="s">
        <v>26</v>
      </c>
      <c r="I889" s="21">
        <v>46286</v>
      </c>
      <c r="J889" s="20" t="s">
        <v>32</v>
      </c>
      <c r="K889" s="20" t="s">
        <v>28</v>
      </c>
      <c r="L889" s="20" t="s">
        <v>2932</v>
      </c>
      <c r="M889" s="20" t="s">
        <v>263</v>
      </c>
      <c r="N889" s="22" t="s">
        <v>250</v>
      </c>
      <c r="O889" s="20" t="s">
        <v>1044</v>
      </c>
      <c r="P889" s="20" t="s">
        <v>26</v>
      </c>
      <c r="Q889" s="20" t="s">
        <v>26</v>
      </c>
      <c r="R889" s="20" t="s">
        <v>26</v>
      </c>
      <c r="S889" s="20" t="s">
        <v>32</v>
      </c>
      <c r="T889" s="20" t="s">
        <v>195</v>
      </c>
      <c r="U889" s="20" t="s">
        <v>26</v>
      </c>
      <c r="V889" s="21"/>
      <c r="W889" s="21">
        <v>46286</v>
      </c>
      <c r="X889" s="20" t="s">
        <v>34</v>
      </c>
      <c r="Y889" s="21">
        <v>46286</v>
      </c>
      <c r="Z889" s="20" t="s">
        <v>34</v>
      </c>
      <c r="AA889" s="17" t="e">
        <f>VLOOKUP(F889,[2]Wait!$H$225:$I$260,2,0)</f>
        <v>#N/A</v>
      </c>
    </row>
    <row r="890" spans="1:29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2369</v>
      </c>
      <c r="E890" s="20" t="s">
        <v>26</v>
      </c>
      <c r="F890" s="20" t="s">
        <v>3653</v>
      </c>
      <c r="G890" s="20" t="s">
        <v>35</v>
      </c>
      <c r="H890" s="20" t="s">
        <v>26</v>
      </c>
      <c r="I890" s="21">
        <v>46261</v>
      </c>
      <c r="J890" s="20" t="s">
        <v>36</v>
      </c>
      <c r="K890" s="20" t="s">
        <v>28</v>
      </c>
      <c r="L890" s="20" t="s">
        <v>2370</v>
      </c>
      <c r="M890" s="20" t="s">
        <v>278</v>
      </c>
      <c r="N890" s="22" t="s">
        <v>250</v>
      </c>
      <c r="O890" s="20" t="s">
        <v>939</v>
      </c>
      <c r="P890" s="20" t="s">
        <v>30</v>
      </c>
      <c r="Q890" s="20" t="s">
        <v>31</v>
      </c>
      <c r="R890" s="20" t="s">
        <v>61</v>
      </c>
      <c r="S890" s="20" t="s">
        <v>32</v>
      </c>
      <c r="T890" s="20" t="s">
        <v>136</v>
      </c>
      <c r="U890" s="20" t="s">
        <v>2371</v>
      </c>
      <c r="V890" s="21"/>
      <c r="W890" s="21">
        <v>46261</v>
      </c>
      <c r="X890" s="20" t="s">
        <v>39</v>
      </c>
      <c r="Y890" s="21">
        <v>46261</v>
      </c>
      <c r="Z890" s="20" t="s">
        <v>39</v>
      </c>
      <c r="AA890" s="17" t="e">
        <f>VLOOKUP(F890,[2]Wait!$H$225:$I$260,2,0)</f>
        <v>#N/A</v>
      </c>
      <c r="AB890" s="24"/>
      <c r="AC890" s="25"/>
    </row>
    <row r="891" spans="1:29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2372</v>
      </c>
      <c r="E891" s="20" t="s">
        <v>26</v>
      </c>
      <c r="F891" s="20" t="s">
        <v>3654</v>
      </c>
      <c r="G891" s="20" t="s">
        <v>35</v>
      </c>
      <c r="H891" s="20" t="s">
        <v>26</v>
      </c>
      <c r="I891" s="21">
        <v>46261</v>
      </c>
      <c r="J891" s="20" t="s">
        <v>36</v>
      </c>
      <c r="K891" s="20" t="s">
        <v>28</v>
      </c>
      <c r="L891" s="20" t="s">
        <v>2373</v>
      </c>
      <c r="M891" s="20" t="s">
        <v>278</v>
      </c>
      <c r="N891" s="22" t="s">
        <v>250</v>
      </c>
      <c r="O891" s="20" t="s">
        <v>939</v>
      </c>
      <c r="P891" s="20" t="s">
        <v>30</v>
      </c>
      <c r="Q891" s="20" t="s">
        <v>31</v>
      </c>
      <c r="R891" s="20" t="s">
        <v>61</v>
      </c>
      <c r="S891" s="20" t="s">
        <v>32</v>
      </c>
      <c r="T891" s="20" t="s">
        <v>136</v>
      </c>
      <c r="U891" s="20" t="s">
        <v>2371</v>
      </c>
      <c r="V891" s="21"/>
      <c r="W891" s="21">
        <v>46261</v>
      </c>
      <c r="X891" s="20" t="s">
        <v>39</v>
      </c>
      <c r="Y891" s="21">
        <v>46261</v>
      </c>
      <c r="Z891" s="20" t="s">
        <v>39</v>
      </c>
      <c r="AA891" s="17" t="e">
        <f>VLOOKUP(F891,[2]Wait!$H$225:$I$260,2,0)</f>
        <v>#N/A</v>
      </c>
      <c r="AB891" s="24"/>
      <c r="AC891" s="25"/>
    </row>
    <row r="892" spans="1:29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2374</v>
      </c>
      <c r="E892" s="20" t="s">
        <v>26</v>
      </c>
      <c r="F892" s="20" t="s">
        <v>3655</v>
      </c>
      <c r="G892" s="20" t="s">
        <v>35</v>
      </c>
      <c r="H892" s="20" t="s">
        <v>26</v>
      </c>
      <c r="I892" s="21">
        <v>46265</v>
      </c>
      <c r="J892" s="20" t="s">
        <v>36</v>
      </c>
      <c r="K892" s="20" t="s">
        <v>28</v>
      </c>
      <c r="L892" s="20" t="s">
        <v>2375</v>
      </c>
      <c r="M892" s="20" t="s">
        <v>278</v>
      </c>
      <c r="N892" s="22" t="s">
        <v>250</v>
      </c>
      <c r="O892" s="20" t="s">
        <v>1070</v>
      </c>
      <c r="P892" s="20" t="s">
        <v>41</v>
      </c>
      <c r="Q892" s="20" t="s">
        <v>42</v>
      </c>
      <c r="R892" s="20" t="s">
        <v>72</v>
      </c>
      <c r="S892" s="20" t="s">
        <v>32</v>
      </c>
      <c r="T892" s="20" t="s">
        <v>691</v>
      </c>
      <c r="U892" s="20" t="s">
        <v>2376</v>
      </c>
      <c r="V892" s="21"/>
      <c r="W892" s="21">
        <v>46265</v>
      </c>
      <c r="X892" s="20" t="s">
        <v>39</v>
      </c>
      <c r="Y892" s="21">
        <v>46265</v>
      </c>
      <c r="Z892" s="20" t="s">
        <v>39</v>
      </c>
      <c r="AA892" s="17" t="e">
        <f>VLOOKUP(F892,[2]Wait!$H$225:$I$260,2,0)</f>
        <v>#N/A</v>
      </c>
      <c r="AB892" s="24"/>
      <c r="AC892" s="25"/>
    </row>
    <row r="893" spans="1:29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2377</v>
      </c>
      <c r="E893" s="20" t="s">
        <v>26</v>
      </c>
      <c r="F893" s="20" t="s">
        <v>3656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2378</v>
      </c>
      <c r="M893" s="20" t="s">
        <v>278</v>
      </c>
      <c r="N893" s="22" t="s">
        <v>250</v>
      </c>
      <c r="O893" s="20" t="s">
        <v>1070</v>
      </c>
      <c r="P893" s="20" t="s">
        <v>41</v>
      </c>
      <c r="Q893" s="20" t="s">
        <v>42</v>
      </c>
      <c r="R893" s="20" t="s">
        <v>72</v>
      </c>
      <c r="S893" s="20" t="s">
        <v>32</v>
      </c>
      <c r="T893" s="20" t="s">
        <v>691</v>
      </c>
      <c r="U893" s="20" t="s">
        <v>2376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  <c r="AA893" s="17" t="e">
        <f>VLOOKUP(F893,[2]Wait!$H$225:$I$260,2,0)</f>
        <v>#N/A</v>
      </c>
    </row>
    <row r="894" spans="1:29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2379</v>
      </c>
      <c r="E894" s="20" t="s">
        <v>26</v>
      </c>
      <c r="F894" s="20" t="s">
        <v>3657</v>
      </c>
      <c r="G894" s="20" t="s">
        <v>35</v>
      </c>
      <c r="H894" s="20" t="s">
        <v>26</v>
      </c>
      <c r="I894" s="21">
        <v>46270</v>
      </c>
      <c r="J894" s="20" t="s">
        <v>196</v>
      </c>
      <c r="K894" s="20" t="s">
        <v>28</v>
      </c>
      <c r="L894" s="20" t="s">
        <v>692</v>
      </c>
      <c r="M894" s="20" t="s">
        <v>278</v>
      </c>
      <c r="N894" s="22" t="s">
        <v>250</v>
      </c>
      <c r="O894" s="20" t="s">
        <v>1013</v>
      </c>
      <c r="P894" s="20" t="s">
        <v>26</v>
      </c>
      <c r="Q894" s="20" t="s">
        <v>26</v>
      </c>
      <c r="R894" s="20" t="s">
        <v>337</v>
      </c>
      <c r="S894" s="20" t="s">
        <v>32</v>
      </c>
      <c r="T894" s="20" t="s">
        <v>693</v>
      </c>
      <c r="U894" s="20" t="s">
        <v>694</v>
      </c>
      <c r="V894" s="21"/>
      <c r="W894" s="21">
        <v>46270</v>
      </c>
      <c r="X894" s="20" t="s">
        <v>39</v>
      </c>
      <c r="Y894" s="21">
        <v>46270</v>
      </c>
      <c r="Z894" s="20" t="s">
        <v>39</v>
      </c>
      <c r="AA894" s="17" t="e">
        <f>VLOOKUP(F894,[2]Wait!$H$225:$I$260,2,0)</f>
        <v>#N/A</v>
      </c>
    </row>
    <row r="895" spans="1:29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2406</v>
      </c>
      <c r="E895" s="20" t="s">
        <v>26</v>
      </c>
      <c r="F895" s="20" t="s">
        <v>3658</v>
      </c>
      <c r="G895" s="20" t="s">
        <v>35</v>
      </c>
      <c r="H895" s="20" t="s">
        <v>26</v>
      </c>
      <c r="I895" s="21">
        <v>46258</v>
      </c>
      <c r="J895" s="20" t="s">
        <v>82</v>
      </c>
      <c r="K895" s="20" t="s">
        <v>28</v>
      </c>
      <c r="L895" s="20" t="s">
        <v>732</v>
      </c>
      <c r="M895" s="20" t="s">
        <v>278</v>
      </c>
      <c r="N895" s="22" t="s">
        <v>250</v>
      </c>
      <c r="O895" s="20" t="s">
        <v>991</v>
      </c>
      <c r="P895" s="20" t="s">
        <v>26</v>
      </c>
      <c r="Q895" s="20" t="s">
        <v>26</v>
      </c>
      <c r="R895" s="20" t="s">
        <v>126</v>
      </c>
      <c r="S895" s="20" t="s">
        <v>32</v>
      </c>
      <c r="T895" s="20" t="s">
        <v>70</v>
      </c>
      <c r="U895" s="20" t="s">
        <v>733</v>
      </c>
      <c r="V895" s="21"/>
      <c r="W895" s="21">
        <v>46258</v>
      </c>
      <c r="X895" s="20" t="s">
        <v>39</v>
      </c>
      <c r="Y895" s="21">
        <v>46258</v>
      </c>
      <c r="Z895" s="20" t="s">
        <v>39</v>
      </c>
      <c r="AA895" s="17" t="e">
        <f>VLOOKUP(F895,[2]Wait!$H$225:$I$260,2,0)</f>
        <v>#N/A</v>
      </c>
    </row>
    <row r="896" spans="1:29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2407</v>
      </c>
      <c r="E896" s="20" t="s">
        <v>26</v>
      </c>
      <c r="F896" s="20" t="s">
        <v>3659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735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65</v>
      </c>
      <c r="S896" s="20" t="s">
        <v>32</v>
      </c>
      <c r="T896" s="20" t="s">
        <v>736</v>
      </c>
      <c r="U896" s="20" t="s">
        <v>284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  <c r="AA896" s="17" t="e">
        <f>VLOOKUP(F896,[2]Wait!$H$225:$I$260,2,0)</f>
        <v>#N/A</v>
      </c>
    </row>
    <row r="897" spans="1:27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2408</v>
      </c>
      <c r="E897" s="20" t="s">
        <v>26</v>
      </c>
      <c r="F897" s="20" t="s">
        <v>3660</v>
      </c>
      <c r="G897" s="20" t="s">
        <v>35</v>
      </c>
      <c r="H897" s="20" t="s">
        <v>26</v>
      </c>
      <c r="I897" s="21">
        <v>46265</v>
      </c>
      <c r="J897" s="20" t="s">
        <v>36</v>
      </c>
      <c r="K897" s="20" t="s">
        <v>28</v>
      </c>
      <c r="L897" s="20" t="s">
        <v>737</v>
      </c>
      <c r="M897" s="20" t="s">
        <v>278</v>
      </c>
      <c r="N897" s="22" t="s">
        <v>250</v>
      </c>
      <c r="O897" s="20" t="s">
        <v>1070</v>
      </c>
      <c r="P897" s="20" t="s">
        <v>26</v>
      </c>
      <c r="Q897" s="20" t="s">
        <v>26</v>
      </c>
      <c r="R897" s="20" t="s">
        <v>135</v>
      </c>
      <c r="S897" s="20" t="s">
        <v>32</v>
      </c>
      <c r="T897" s="20" t="s">
        <v>71</v>
      </c>
      <c r="U897" s="20" t="s">
        <v>463</v>
      </c>
      <c r="V897" s="21"/>
      <c r="W897" s="21">
        <v>46265</v>
      </c>
      <c r="X897" s="20" t="s">
        <v>39</v>
      </c>
      <c r="Y897" s="21">
        <v>46265</v>
      </c>
      <c r="Z897" s="20" t="s">
        <v>39</v>
      </c>
      <c r="AA897" s="17" t="e">
        <f>VLOOKUP(F897,[2]Wait!$H$225:$I$260,2,0)</f>
        <v>#N/A</v>
      </c>
    </row>
    <row r="898" spans="1:27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2409</v>
      </c>
      <c r="E898" s="20" t="s">
        <v>26</v>
      </c>
      <c r="F898" s="20" t="s">
        <v>3661</v>
      </c>
      <c r="G898" s="20" t="s">
        <v>35</v>
      </c>
      <c r="H898" s="20" t="s">
        <v>26</v>
      </c>
      <c r="I898" s="21">
        <v>46261</v>
      </c>
      <c r="J898" s="20" t="s">
        <v>683</v>
      </c>
      <c r="K898" s="20" t="s">
        <v>28</v>
      </c>
      <c r="L898" s="20" t="s">
        <v>2410</v>
      </c>
      <c r="M898" s="20" t="s">
        <v>278</v>
      </c>
      <c r="N898" s="22" t="s">
        <v>250</v>
      </c>
      <c r="O898" s="20" t="s">
        <v>939</v>
      </c>
      <c r="P898" s="20" t="s">
        <v>26</v>
      </c>
      <c r="Q898" s="20" t="s">
        <v>26</v>
      </c>
      <c r="R898" s="20" t="s">
        <v>135</v>
      </c>
      <c r="S898" s="20" t="s">
        <v>32</v>
      </c>
      <c r="T898" s="20" t="s">
        <v>736</v>
      </c>
      <c r="U898" s="20" t="s">
        <v>1328</v>
      </c>
      <c r="V898" s="21"/>
      <c r="W898" s="21">
        <v>46261</v>
      </c>
      <c r="X898" s="20" t="s">
        <v>39</v>
      </c>
      <c r="Y898" s="21">
        <v>46261</v>
      </c>
      <c r="Z898" s="20" t="s">
        <v>39</v>
      </c>
      <c r="AA898" s="17" t="e">
        <f>VLOOKUP(F898,[2]Wait!$H$225:$I$260,2,0)</f>
        <v>#N/A</v>
      </c>
    </row>
    <row r="899" spans="1:27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2411</v>
      </c>
      <c r="E899" s="20" t="s">
        <v>26</v>
      </c>
      <c r="F899" s="20" t="s">
        <v>3662</v>
      </c>
      <c r="G899" s="20" t="s">
        <v>35</v>
      </c>
      <c r="H899" s="20" t="s">
        <v>26</v>
      </c>
      <c r="I899" s="21">
        <v>46261</v>
      </c>
      <c r="J899" s="20" t="s">
        <v>683</v>
      </c>
      <c r="K899" s="20" t="s">
        <v>28</v>
      </c>
      <c r="L899" s="20" t="s">
        <v>740</v>
      </c>
      <c r="M899" s="20" t="s">
        <v>278</v>
      </c>
      <c r="N899" s="22" t="s">
        <v>250</v>
      </c>
      <c r="O899" s="20" t="s">
        <v>939</v>
      </c>
      <c r="P899" s="20" t="s">
        <v>26</v>
      </c>
      <c r="Q899" s="20" t="s">
        <v>26</v>
      </c>
      <c r="R899" s="20" t="s">
        <v>135</v>
      </c>
      <c r="S899" s="20" t="s">
        <v>32</v>
      </c>
      <c r="T899" s="20" t="s">
        <v>736</v>
      </c>
      <c r="U899" s="20" t="s">
        <v>475</v>
      </c>
      <c r="V899" s="21"/>
      <c r="W899" s="21">
        <v>46261</v>
      </c>
      <c r="X899" s="20" t="s">
        <v>39</v>
      </c>
      <c r="Y899" s="21">
        <v>46261</v>
      </c>
      <c r="Z899" s="20" t="s">
        <v>39</v>
      </c>
      <c r="AA899" s="17" t="e">
        <f>VLOOKUP(F899,[2]Wait!$H$225:$I$260,2,0)</f>
        <v>#N/A</v>
      </c>
    </row>
    <row r="900" spans="1:27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2417</v>
      </c>
      <c r="E900" s="20" t="s">
        <v>26</v>
      </c>
      <c r="F900" s="20" t="s">
        <v>3663</v>
      </c>
      <c r="G900" s="20" t="s">
        <v>35</v>
      </c>
      <c r="H900" s="20" t="s">
        <v>26</v>
      </c>
      <c r="I900" s="21">
        <v>46261</v>
      </c>
      <c r="J900" s="20" t="s">
        <v>683</v>
      </c>
      <c r="K900" s="20" t="s">
        <v>28</v>
      </c>
      <c r="L900" s="20" t="s">
        <v>2418</v>
      </c>
      <c r="M900" s="20" t="s">
        <v>278</v>
      </c>
      <c r="N900" s="22" t="s">
        <v>250</v>
      </c>
      <c r="O900" s="20" t="s">
        <v>939</v>
      </c>
      <c r="P900" s="20" t="s">
        <v>26</v>
      </c>
      <c r="Q900" s="20" t="s">
        <v>26</v>
      </c>
      <c r="R900" s="20" t="s">
        <v>253</v>
      </c>
      <c r="S900" s="20" t="s">
        <v>32</v>
      </c>
      <c r="T900" s="20" t="s">
        <v>736</v>
      </c>
      <c r="U900" s="20" t="s">
        <v>1454</v>
      </c>
      <c r="V900" s="21"/>
      <c r="W900" s="21">
        <v>46261</v>
      </c>
      <c r="X900" s="20" t="s">
        <v>39</v>
      </c>
      <c r="Y900" s="21">
        <v>46261</v>
      </c>
      <c r="Z900" s="20" t="s">
        <v>39</v>
      </c>
      <c r="AA900" s="17" t="e">
        <f>VLOOKUP(F900,[2]Wait!$H$225:$I$260,2,0)</f>
        <v>#N/A</v>
      </c>
    </row>
    <row r="901" spans="1:27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2419</v>
      </c>
      <c r="E901" s="20" t="s">
        <v>26</v>
      </c>
      <c r="F901" s="20" t="s">
        <v>3664</v>
      </c>
      <c r="G901" s="20" t="s">
        <v>35</v>
      </c>
      <c r="H901" s="20" t="s">
        <v>26</v>
      </c>
      <c r="I901" s="21">
        <v>46261</v>
      </c>
      <c r="J901" s="20" t="s">
        <v>683</v>
      </c>
      <c r="K901" s="20" t="s">
        <v>28</v>
      </c>
      <c r="L901" s="20" t="s">
        <v>747</v>
      </c>
      <c r="M901" s="20" t="s">
        <v>278</v>
      </c>
      <c r="N901" s="22" t="s">
        <v>250</v>
      </c>
      <c r="O901" s="20" t="s">
        <v>939</v>
      </c>
      <c r="P901" s="20" t="s">
        <v>26</v>
      </c>
      <c r="Q901" s="20" t="s">
        <v>26</v>
      </c>
      <c r="R901" s="20" t="s">
        <v>253</v>
      </c>
      <c r="S901" s="20" t="s">
        <v>32</v>
      </c>
      <c r="T901" s="20" t="s">
        <v>736</v>
      </c>
      <c r="U901" s="20" t="s">
        <v>495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  <c r="AA901" s="17" t="e">
        <f>VLOOKUP(F901,[2]Wait!$H$225:$I$260,2,0)</f>
        <v>#N/A</v>
      </c>
    </row>
    <row r="902" spans="1:27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2420</v>
      </c>
      <c r="E902" s="20" t="s">
        <v>26</v>
      </c>
      <c r="F902" s="20" t="s">
        <v>3665</v>
      </c>
      <c r="G902" s="20" t="s">
        <v>35</v>
      </c>
      <c r="H902" s="20" t="s">
        <v>26</v>
      </c>
      <c r="I902" s="21">
        <v>46267</v>
      </c>
      <c r="J902" s="20" t="s">
        <v>683</v>
      </c>
      <c r="K902" s="20" t="s">
        <v>28</v>
      </c>
      <c r="L902" s="20" t="s">
        <v>748</v>
      </c>
      <c r="M902" s="20" t="s">
        <v>278</v>
      </c>
      <c r="N902" s="22" t="s">
        <v>250</v>
      </c>
      <c r="O902" s="20" t="s">
        <v>961</v>
      </c>
      <c r="P902" s="20" t="s">
        <v>26</v>
      </c>
      <c r="Q902" s="20" t="s">
        <v>26</v>
      </c>
      <c r="R902" s="20" t="s">
        <v>253</v>
      </c>
      <c r="S902" s="20" t="s">
        <v>32</v>
      </c>
      <c r="T902" s="20" t="s">
        <v>736</v>
      </c>
      <c r="U902" s="20" t="s">
        <v>500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  <c r="AA902" s="17" t="e">
        <f>VLOOKUP(F902,[2]Wait!$H$225:$I$260,2,0)</f>
        <v>#N/A</v>
      </c>
    </row>
    <row r="903" spans="1:27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2421</v>
      </c>
      <c r="E903" s="20" t="s">
        <v>26</v>
      </c>
      <c r="F903" s="20" t="s">
        <v>3666</v>
      </c>
      <c r="G903" s="20" t="s">
        <v>35</v>
      </c>
      <c r="H903" s="20" t="s">
        <v>26</v>
      </c>
      <c r="I903" s="21">
        <v>46265</v>
      </c>
      <c r="J903" s="20" t="s">
        <v>82</v>
      </c>
      <c r="K903" s="20" t="s">
        <v>28</v>
      </c>
      <c r="L903" s="20" t="s">
        <v>749</v>
      </c>
      <c r="M903" s="20" t="s">
        <v>278</v>
      </c>
      <c r="N903" s="22" t="s">
        <v>250</v>
      </c>
      <c r="O903" s="20" t="s">
        <v>1070</v>
      </c>
      <c r="P903" s="20" t="s">
        <v>214</v>
      </c>
      <c r="Q903" s="20" t="s">
        <v>215</v>
      </c>
      <c r="R903" s="20" t="s">
        <v>121</v>
      </c>
      <c r="S903" s="20" t="s">
        <v>32</v>
      </c>
      <c r="T903" s="20" t="s">
        <v>204</v>
      </c>
      <c r="U903" s="20" t="s">
        <v>235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  <c r="AA903" s="17" t="e">
        <f>VLOOKUP(F903,[2]Wait!$H$225:$I$260,2,0)</f>
        <v>#N/A</v>
      </c>
    </row>
    <row r="904" spans="1:27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2422</v>
      </c>
      <c r="E904" s="20" t="s">
        <v>26</v>
      </c>
      <c r="F904" s="20" t="s">
        <v>3667</v>
      </c>
      <c r="G904" s="20" t="s">
        <v>35</v>
      </c>
      <c r="H904" s="20" t="s">
        <v>26</v>
      </c>
      <c r="I904" s="21">
        <v>46265</v>
      </c>
      <c r="J904" s="20" t="s">
        <v>82</v>
      </c>
      <c r="K904" s="20" t="s">
        <v>28</v>
      </c>
      <c r="L904" s="20" t="s">
        <v>750</v>
      </c>
      <c r="M904" s="20" t="s">
        <v>278</v>
      </c>
      <c r="N904" s="22" t="s">
        <v>250</v>
      </c>
      <c r="O904" s="20" t="s">
        <v>1070</v>
      </c>
      <c r="P904" s="20" t="s">
        <v>214</v>
      </c>
      <c r="Q904" s="20" t="s">
        <v>215</v>
      </c>
      <c r="R904" s="20" t="s">
        <v>121</v>
      </c>
      <c r="S904" s="20" t="s">
        <v>32</v>
      </c>
      <c r="T904" s="20" t="s">
        <v>204</v>
      </c>
      <c r="U904" s="20" t="s">
        <v>751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  <c r="AA904" s="17" t="e">
        <f>VLOOKUP(F904,[2]Wait!$H$225:$I$260,2,0)</f>
        <v>#N/A</v>
      </c>
    </row>
    <row r="905" spans="1:27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2423</v>
      </c>
      <c r="E905" s="20" t="s">
        <v>26</v>
      </c>
      <c r="F905" s="20" t="s">
        <v>3668</v>
      </c>
      <c r="G905" s="20" t="s">
        <v>35</v>
      </c>
      <c r="H905" s="20" t="s">
        <v>26</v>
      </c>
      <c r="I905" s="21">
        <v>46269</v>
      </c>
      <c r="J905" s="20" t="s">
        <v>52</v>
      </c>
      <c r="K905" s="20" t="s">
        <v>28</v>
      </c>
      <c r="L905" s="20" t="s">
        <v>2424</v>
      </c>
      <c r="M905" s="20" t="s">
        <v>278</v>
      </c>
      <c r="N905" s="22" t="s">
        <v>250</v>
      </c>
      <c r="O905" s="20" t="s">
        <v>955</v>
      </c>
      <c r="P905" s="20" t="s">
        <v>30</v>
      </c>
      <c r="Q905" s="20" t="s">
        <v>31</v>
      </c>
      <c r="R905" s="20" t="s">
        <v>95</v>
      </c>
      <c r="S905" s="20" t="s">
        <v>32</v>
      </c>
      <c r="T905" s="20" t="s">
        <v>55</v>
      </c>
      <c r="U905" s="20" t="s">
        <v>2425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  <c r="AA905" s="17" t="e">
        <f>VLOOKUP(F905,[2]Wait!$H$225:$I$260,2,0)</f>
        <v>#N/A</v>
      </c>
    </row>
    <row r="906" spans="1:27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2427</v>
      </c>
      <c r="E906" s="20" t="s">
        <v>26</v>
      </c>
      <c r="F906" s="20" t="s">
        <v>3669</v>
      </c>
      <c r="G906" s="20" t="s">
        <v>35</v>
      </c>
      <c r="H906" s="20" t="s">
        <v>26</v>
      </c>
      <c r="I906" s="21">
        <v>46267</v>
      </c>
      <c r="J906" s="20" t="s">
        <v>82</v>
      </c>
      <c r="K906" s="20" t="s">
        <v>28</v>
      </c>
      <c r="L906" s="20" t="s">
        <v>754</v>
      </c>
      <c r="M906" s="20" t="s">
        <v>278</v>
      </c>
      <c r="N906" s="22" t="s">
        <v>250</v>
      </c>
      <c r="O906" s="20" t="s">
        <v>961</v>
      </c>
      <c r="P906" s="20" t="s">
        <v>30</v>
      </c>
      <c r="Q906" s="20" t="s">
        <v>31</v>
      </c>
      <c r="R906" s="20" t="s">
        <v>121</v>
      </c>
      <c r="S906" s="20" t="s">
        <v>32</v>
      </c>
      <c r="T906" s="20" t="s">
        <v>691</v>
      </c>
      <c r="U906" s="20" t="s">
        <v>755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  <c r="AA906" s="17" t="e">
        <f>VLOOKUP(F906,[2]Wait!$H$225:$I$260,2,0)</f>
        <v>#N/A</v>
      </c>
    </row>
    <row r="907" spans="1:27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2428</v>
      </c>
      <c r="E907" s="20" t="s">
        <v>26</v>
      </c>
      <c r="F907" s="20" t="s">
        <v>3670</v>
      </c>
      <c r="G907" s="20" t="s">
        <v>35</v>
      </c>
      <c r="H907" s="20" t="s">
        <v>26</v>
      </c>
      <c r="I907" s="21">
        <v>46265</v>
      </c>
      <c r="J907" s="20" t="s">
        <v>36</v>
      </c>
      <c r="K907" s="20" t="s">
        <v>28</v>
      </c>
      <c r="L907" s="20" t="s">
        <v>756</v>
      </c>
      <c r="M907" s="20" t="s">
        <v>278</v>
      </c>
      <c r="N907" s="22" t="s">
        <v>250</v>
      </c>
      <c r="O907" s="20" t="s">
        <v>1070</v>
      </c>
      <c r="P907" s="20" t="s">
        <v>41</v>
      </c>
      <c r="Q907" s="20" t="s">
        <v>42</v>
      </c>
      <c r="R907" s="20" t="s">
        <v>77</v>
      </c>
      <c r="S907" s="20" t="s">
        <v>32</v>
      </c>
      <c r="T907" s="20" t="s">
        <v>691</v>
      </c>
      <c r="U907" s="20" t="s">
        <v>757</v>
      </c>
      <c r="V907" s="21"/>
      <c r="W907" s="21">
        <v>46265</v>
      </c>
      <c r="X907" s="20" t="s">
        <v>39</v>
      </c>
      <c r="Y907" s="21">
        <v>46265</v>
      </c>
      <c r="Z907" s="20" t="s">
        <v>39</v>
      </c>
      <c r="AA907" s="17" t="e">
        <f>VLOOKUP(F907,[2]Wait!$H$225:$I$260,2,0)</f>
        <v>#N/A</v>
      </c>
    </row>
    <row r="908" spans="1:27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2429</v>
      </c>
      <c r="E908" s="20" t="s">
        <v>26</v>
      </c>
      <c r="F908" s="20" t="s">
        <v>3671</v>
      </c>
      <c r="G908" s="20" t="s">
        <v>35</v>
      </c>
      <c r="H908" s="20" t="s">
        <v>26</v>
      </c>
      <c r="I908" s="21">
        <v>46265</v>
      </c>
      <c r="J908" s="20" t="s">
        <v>36</v>
      </c>
      <c r="K908" s="20" t="s">
        <v>28</v>
      </c>
      <c r="L908" s="20" t="s">
        <v>756</v>
      </c>
      <c r="M908" s="20" t="s">
        <v>278</v>
      </c>
      <c r="N908" s="22" t="s">
        <v>250</v>
      </c>
      <c r="O908" s="20" t="s">
        <v>1070</v>
      </c>
      <c r="P908" s="20" t="s">
        <v>41</v>
      </c>
      <c r="Q908" s="20" t="s">
        <v>42</v>
      </c>
      <c r="R908" s="20" t="s">
        <v>77</v>
      </c>
      <c r="S908" s="20" t="s">
        <v>32</v>
      </c>
      <c r="T908" s="20" t="s">
        <v>691</v>
      </c>
      <c r="U908" s="20" t="s">
        <v>758</v>
      </c>
      <c r="V908" s="21"/>
      <c r="W908" s="21">
        <v>46265</v>
      </c>
      <c r="X908" s="20" t="s">
        <v>39</v>
      </c>
      <c r="Y908" s="21">
        <v>46265</v>
      </c>
      <c r="Z908" s="20" t="s">
        <v>39</v>
      </c>
      <c r="AA908" s="17" t="e">
        <f>VLOOKUP(F908,[2]Wait!$H$225:$I$260,2,0)</f>
        <v>#N/A</v>
      </c>
    </row>
    <row r="909" spans="1:27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2430</v>
      </c>
      <c r="E909" s="20" t="s">
        <v>26</v>
      </c>
      <c r="F909" s="20" t="s">
        <v>3672</v>
      </c>
      <c r="G909" s="20" t="s">
        <v>35</v>
      </c>
      <c r="H909" s="20" t="s">
        <v>26</v>
      </c>
      <c r="I909" s="21">
        <v>46269</v>
      </c>
      <c r="J909" s="20" t="s">
        <v>36</v>
      </c>
      <c r="K909" s="20" t="s">
        <v>28</v>
      </c>
      <c r="L909" s="20" t="s">
        <v>761</v>
      </c>
      <c r="M909" s="20" t="s">
        <v>278</v>
      </c>
      <c r="N909" s="22" t="s">
        <v>250</v>
      </c>
      <c r="O909" s="20" t="s">
        <v>955</v>
      </c>
      <c r="P909" s="20" t="s">
        <v>41</v>
      </c>
      <c r="Q909" s="20" t="s">
        <v>42</v>
      </c>
      <c r="R909" s="20" t="s">
        <v>61</v>
      </c>
      <c r="S909" s="20" t="s">
        <v>32</v>
      </c>
      <c r="T909" s="20" t="s">
        <v>55</v>
      </c>
      <c r="U909" s="20" t="s">
        <v>581</v>
      </c>
      <c r="V909" s="21"/>
      <c r="W909" s="21">
        <v>46269</v>
      </c>
      <c r="X909" s="20" t="s">
        <v>39</v>
      </c>
      <c r="Y909" s="21">
        <v>46269</v>
      </c>
      <c r="Z909" s="20" t="s">
        <v>39</v>
      </c>
      <c r="AA909" s="17" t="e">
        <f>VLOOKUP(F909,[2]Wait!$H$225:$I$260,2,0)</f>
        <v>#N/A</v>
      </c>
    </row>
    <row r="910" spans="1:27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2431</v>
      </c>
      <c r="E910" s="20" t="s">
        <v>26</v>
      </c>
      <c r="F910" s="20" t="s">
        <v>3673</v>
      </c>
      <c r="G910" s="20" t="s">
        <v>35</v>
      </c>
      <c r="H910" s="20" t="s">
        <v>26</v>
      </c>
      <c r="I910" s="21">
        <v>46267</v>
      </c>
      <c r="J910" s="20" t="s">
        <v>36</v>
      </c>
      <c r="K910" s="20" t="s">
        <v>28</v>
      </c>
      <c r="L910" s="20" t="s">
        <v>762</v>
      </c>
      <c r="M910" s="20" t="s">
        <v>278</v>
      </c>
      <c r="N910" s="22" t="s">
        <v>250</v>
      </c>
      <c r="O910" s="20" t="s">
        <v>961</v>
      </c>
      <c r="P910" s="20" t="s">
        <v>26</v>
      </c>
      <c r="Q910" s="20" t="s">
        <v>26</v>
      </c>
      <c r="R910" s="20" t="s">
        <v>61</v>
      </c>
      <c r="S910" s="20" t="s">
        <v>32</v>
      </c>
      <c r="T910" s="20" t="s">
        <v>71</v>
      </c>
      <c r="U910" s="20" t="s">
        <v>62</v>
      </c>
      <c r="V910" s="21"/>
      <c r="W910" s="21">
        <v>46267</v>
      </c>
      <c r="X910" s="20" t="s">
        <v>39</v>
      </c>
      <c r="Y910" s="21">
        <v>46267</v>
      </c>
      <c r="Z910" s="20" t="s">
        <v>39</v>
      </c>
      <c r="AA910" s="17" t="e">
        <f>VLOOKUP(F910,[2]Wait!$H$225:$I$260,2,0)</f>
        <v>#N/A</v>
      </c>
    </row>
    <row r="911" spans="1:27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2432</v>
      </c>
      <c r="E911" s="20" t="s">
        <v>26</v>
      </c>
      <c r="F911" s="20" t="s">
        <v>3674</v>
      </c>
      <c r="G911" s="20" t="s">
        <v>35</v>
      </c>
      <c r="H911" s="20" t="s">
        <v>26</v>
      </c>
      <c r="I911" s="21">
        <v>46270</v>
      </c>
      <c r="J911" s="20" t="s">
        <v>36</v>
      </c>
      <c r="K911" s="20" t="s">
        <v>28</v>
      </c>
      <c r="L911" s="20" t="s">
        <v>764</v>
      </c>
      <c r="M911" s="20" t="s">
        <v>278</v>
      </c>
      <c r="N911" s="22" t="s">
        <v>250</v>
      </c>
      <c r="O911" s="20" t="s">
        <v>1013</v>
      </c>
      <c r="P911" s="20" t="s">
        <v>41</v>
      </c>
      <c r="Q911" s="20" t="s">
        <v>42</v>
      </c>
      <c r="R911" s="20" t="s">
        <v>379</v>
      </c>
      <c r="S911" s="20" t="s">
        <v>32</v>
      </c>
      <c r="T911" s="20" t="s">
        <v>50</v>
      </c>
      <c r="U911" s="20" t="s">
        <v>765</v>
      </c>
      <c r="V911" s="21"/>
      <c r="W911" s="21">
        <v>46270</v>
      </c>
      <c r="X911" s="20" t="s">
        <v>39</v>
      </c>
      <c r="Y911" s="21">
        <v>46270</v>
      </c>
      <c r="Z911" s="20" t="s">
        <v>39</v>
      </c>
      <c r="AA911" s="17" t="e">
        <f>VLOOKUP(F911,[2]Wait!$H$225:$I$260,2,0)</f>
        <v>#N/A</v>
      </c>
    </row>
    <row r="912" spans="1:27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2438</v>
      </c>
      <c r="E912" s="20" t="s">
        <v>26</v>
      </c>
      <c r="F912" s="20" t="s">
        <v>3675</v>
      </c>
      <c r="G912" s="20" t="s">
        <v>35</v>
      </c>
      <c r="H912" s="20" t="s">
        <v>26</v>
      </c>
      <c r="I912" s="21">
        <v>46270</v>
      </c>
      <c r="J912" s="20" t="s">
        <v>36</v>
      </c>
      <c r="K912" s="20" t="s">
        <v>28</v>
      </c>
      <c r="L912" s="20" t="s">
        <v>766</v>
      </c>
      <c r="M912" s="20" t="s">
        <v>278</v>
      </c>
      <c r="N912" s="22" t="s">
        <v>250</v>
      </c>
      <c r="O912" s="20" t="s">
        <v>1013</v>
      </c>
      <c r="P912" s="20" t="s">
        <v>26</v>
      </c>
      <c r="Q912" s="20" t="s">
        <v>26</v>
      </c>
      <c r="R912" s="20" t="s">
        <v>118</v>
      </c>
      <c r="S912" s="20" t="s">
        <v>32</v>
      </c>
      <c r="T912" s="20" t="s">
        <v>70</v>
      </c>
      <c r="U912" s="20" t="s">
        <v>767</v>
      </c>
      <c r="V912" s="21"/>
      <c r="W912" s="21">
        <v>46270</v>
      </c>
      <c r="X912" s="20" t="s">
        <v>39</v>
      </c>
      <c r="Y912" s="21">
        <v>46270</v>
      </c>
      <c r="Z912" s="20" t="s">
        <v>39</v>
      </c>
      <c r="AA912" s="17" t="e">
        <f>VLOOKUP(F912,[2]Wait!$H$225:$I$260,2,0)</f>
        <v>#N/A</v>
      </c>
    </row>
    <row r="913" spans="1:27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2439</v>
      </c>
      <c r="E913" s="20" t="s">
        <v>2440</v>
      </c>
      <c r="F913" s="20" t="s">
        <v>3676</v>
      </c>
      <c r="G913" s="20" t="s">
        <v>25</v>
      </c>
      <c r="H913" s="20" t="s">
        <v>26</v>
      </c>
      <c r="I913" s="21">
        <v>46258</v>
      </c>
      <c r="J913" s="20" t="s">
        <v>82</v>
      </c>
      <c r="K913" s="20" t="s">
        <v>28</v>
      </c>
      <c r="L913" s="20" t="s">
        <v>2441</v>
      </c>
      <c r="M913" s="20" t="s">
        <v>278</v>
      </c>
      <c r="N913" s="22" t="s">
        <v>250</v>
      </c>
      <c r="O913" s="20" t="s">
        <v>1044</v>
      </c>
      <c r="P913" s="20" t="s">
        <v>41</v>
      </c>
      <c r="Q913" s="20" t="s">
        <v>42</v>
      </c>
      <c r="R913" s="20" t="s">
        <v>2442</v>
      </c>
      <c r="S913" s="20" t="s">
        <v>32</v>
      </c>
      <c r="T913" s="20" t="s">
        <v>195</v>
      </c>
      <c r="U913" s="20" t="s">
        <v>2443</v>
      </c>
      <c r="V913" s="21"/>
      <c r="W913" s="21">
        <v>46258</v>
      </c>
      <c r="X913" s="20" t="s">
        <v>34</v>
      </c>
      <c r="Y913" s="21">
        <v>46274</v>
      </c>
      <c r="Z913" s="20" t="s">
        <v>57</v>
      </c>
      <c r="AA913" s="17" t="e">
        <f>VLOOKUP(F913,[2]Wait!$H$225:$I$260,2,0)</f>
        <v>#N/A</v>
      </c>
    </row>
    <row r="914" spans="1:27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2444</v>
      </c>
      <c r="E914" s="20" t="s">
        <v>2445</v>
      </c>
      <c r="F914" s="20" t="s">
        <v>3677</v>
      </c>
      <c r="G914" s="20" t="s">
        <v>25</v>
      </c>
      <c r="H914" s="20" t="s">
        <v>26</v>
      </c>
      <c r="I914" s="21">
        <v>46258</v>
      </c>
      <c r="J914" s="20" t="s">
        <v>36</v>
      </c>
      <c r="K914" s="20" t="s">
        <v>28</v>
      </c>
      <c r="L914" s="20" t="s">
        <v>2446</v>
      </c>
      <c r="M914" s="20" t="s">
        <v>278</v>
      </c>
      <c r="N914" s="22" t="s">
        <v>250</v>
      </c>
      <c r="O914" s="20" t="s">
        <v>1044</v>
      </c>
      <c r="P914" s="20" t="s">
        <v>148</v>
      </c>
      <c r="Q914" s="20" t="s">
        <v>149</v>
      </c>
      <c r="R914" s="20" t="s">
        <v>26</v>
      </c>
      <c r="S914" s="20" t="s">
        <v>32</v>
      </c>
      <c r="T914" s="20" t="s">
        <v>107</v>
      </c>
      <c r="U914" s="20" t="s">
        <v>2447</v>
      </c>
      <c r="V914" s="21"/>
      <c r="W914" s="21">
        <v>46258</v>
      </c>
      <c r="X914" s="20" t="s">
        <v>34</v>
      </c>
      <c r="Y914" s="21">
        <v>46274</v>
      </c>
      <c r="Z914" s="20" t="s">
        <v>57</v>
      </c>
      <c r="AA914" s="17" t="e">
        <f>VLOOKUP(F914,[2]Wait!$H$225:$I$260,2,0)</f>
        <v>#N/A</v>
      </c>
    </row>
    <row r="915" spans="1:27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2448</v>
      </c>
      <c r="E915" s="20" t="s">
        <v>2449</v>
      </c>
      <c r="F915" s="20" t="s">
        <v>3678</v>
      </c>
      <c r="G915" s="20" t="s">
        <v>25</v>
      </c>
      <c r="H915" s="20" t="s">
        <v>26</v>
      </c>
      <c r="I915" s="21">
        <v>46258</v>
      </c>
      <c r="J915" s="20" t="s">
        <v>36</v>
      </c>
      <c r="K915" s="20" t="s">
        <v>28</v>
      </c>
      <c r="L915" s="20" t="s">
        <v>2450</v>
      </c>
      <c r="M915" s="20" t="s">
        <v>278</v>
      </c>
      <c r="N915" s="22" t="s">
        <v>250</v>
      </c>
      <c r="O915" s="20" t="s">
        <v>1044</v>
      </c>
      <c r="P915" s="20" t="s">
        <v>148</v>
      </c>
      <c r="Q915" s="20" t="s">
        <v>149</v>
      </c>
      <c r="R915" s="20" t="s">
        <v>26</v>
      </c>
      <c r="S915" s="20" t="s">
        <v>32</v>
      </c>
      <c r="T915" s="20" t="s">
        <v>107</v>
      </c>
      <c r="U915" s="20" t="s">
        <v>2451</v>
      </c>
      <c r="V915" s="21"/>
      <c r="W915" s="21">
        <v>46258</v>
      </c>
      <c r="X915" s="20" t="s">
        <v>34</v>
      </c>
      <c r="Y915" s="21">
        <v>46274</v>
      </c>
      <c r="Z915" s="20" t="s">
        <v>57</v>
      </c>
      <c r="AA915" s="17" t="e">
        <f>VLOOKUP(F915,[2]Wait!$H$225:$I$260,2,0)</f>
        <v>#N/A</v>
      </c>
    </row>
    <row r="916" spans="1:27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2456</v>
      </c>
      <c r="E916" s="20" t="s">
        <v>2457</v>
      </c>
      <c r="F916" s="20" t="s">
        <v>2457</v>
      </c>
      <c r="G916" s="20" t="s">
        <v>194</v>
      </c>
      <c r="H916" s="20" t="s">
        <v>26</v>
      </c>
      <c r="I916" s="21">
        <v>46258</v>
      </c>
      <c r="J916" s="20" t="s">
        <v>260</v>
      </c>
      <c r="K916" s="20" t="s">
        <v>28</v>
      </c>
      <c r="L916" s="20" t="s">
        <v>2458</v>
      </c>
      <c r="M916" s="20" t="s">
        <v>278</v>
      </c>
      <c r="N916" s="22" t="s">
        <v>250</v>
      </c>
      <c r="O916" s="20" t="s">
        <v>1044</v>
      </c>
      <c r="P916" s="20" t="s">
        <v>257</v>
      </c>
      <c r="Q916" s="20" t="s">
        <v>258</v>
      </c>
      <c r="R916" s="20" t="s">
        <v>26</v>
      </c>
      <c r="S916" s="20" t="s">
        <v>32</v>
      </c>
      <c r="T916" s="20" t="s">
        <v>195</v>
      </c>
      <c r="U916" s="20" t="s">
        <v>26</v>
      </c>
      <c r="V916" s="21"/>
      <c r="W916" s="21">
        <v>46258</v>
      </c>
      <c r="X916" s="20" t="s">
        <v>34</v>
      </c>
      <c r="Y916" s="21">
        <v>46274</v>
      </c>
      <c r="Z916" s="20" t="s">
        <v>57</v>
      </c>
      <c r="AA916" s="17" t="e">
        <f>VLOOKUP(F916,[2]Wait!$H$225:$I$260,2,0)</f>
        <v>#N/A</v>
      </c>
    </row>
    <row r="917" spans="1:27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3679</v>
      </c>
      <c r="E917" s="20" t="s">
        <v>3680</v>
      </c>
      <c r="F917" s="20" t="s">
        <v>3680</v>
      </c>
      <c r="G917" s="20" t="s">
        <v>194</v>
      </c>
      <c r="H917" s="20" t="s">
        <v>26</v>
      </c>
      <c r="I917" s="21">
        <v>46292</v>
      </c>
      <c r="J917" s="20" t="s">
        <v>82</v>
      </c>
      <c r="K917" s="20" t="s">
        <v>28</v>
      </c>
      <c r="L917" s="20" t="s">
        <v>682</v>
      </c>
      <c r="M917" s="20" t="s">
        <v>278</v>
      </c>
      <c r="N917" s="22" t="s">
        <v>250</v>
      </c>
      <c r="O917" s="20" t="s">
        <v>1044</v>
      </c>
      <c r="P917" s="20" t="s">
        <v>26</v>
      </c>
      <c r="Q917" s="20" t="s">
        <v>26</v>
      </c>
      <c r="R917" s="20" t="s">
        <v>26</v>
      </c>
      <c r="S917" s="20" t="s">
        <v>32</v>
      </c>
      <c r="T917" s="20" t="s">
        <v>195</v>
      </c>
      <c r="U917" s="20" t="s">
        <v>26</v>
      </c>
      <c r="V917" s="21"/>
      <c r="W917" s="21">
        <v>46292</v>
      </c>
      <c r="X917" s="20" t="s">
        <v>3681</v>
      </c>
      <c r="Y917" s="21">
        <v>46292</v>
      </c>
      <c r="Z917" s="20" t="s">
        <v>226</v>
      </c>
      <c r="AA917" s="17" t="e">
        <f>VLOOKUP(F917,[2]Wait!$H$225:$I$260,2,0)</f>
        <v>#N/A</v>
      </c>
    </row>
    <row r="918" spans="1:27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3682</v>
      </c>
      <c r="E918" s="20" t="s">
        <v>3683</v>
      </c>
      <c r="F918" s="20" t="s">
        <v>3683</v>
      </c>
      <c r="G918" s="20" t="s">
        <v>194</v>
      </c>
      <c r="H918" s="20" t="s">
        <v>26</v>
      </c>
      <c r="I918" s="21">
        <v>46292</v>
      </c>
      <c r="J918" s="20" t="s">
        <v>82</v>
      </c>
      <c r="K918" s="20" t="s">
        <v>28</v>
      </c>
      <c r="L918" s="20" t="s">
        <v>916</v>
      </c>
      <c r="M918" s="20" t="s">
        <v>278</v>
      </c>
      <c r="N918" s="22" t="s">
        <v>250</v>
      </c>
      <c r="O918" s="20" t="s">
        <v>1044</v>
      </c>
      <c r="P918" s="20" t="s">
        <v>26</v>
      </c>
      <c r="Q918" s="20" t="s">
        <v>26</v>
      </c>
      <c r="R918" s="20" t="s">
        <v>26</v>
      </c>
      <c r="S918" s="20" t="s">
        <v>32</v>
      </c>
      <c r="T918" s="20" t="s">
        <v>195</v>
      </c>
      <c r="U918" s="20" t="s">
        <v>26</v>
      </c>
      <c r="V918" s="21"/>
      <c r="W918" s="21">
        <v>46292</v>
      </c>
      <c r="X918" s="20" t="s">
        <v>3684</v>
      </c>
      <c r="Y918" s="21">
        <v>46292</v>
      </c>
      <c r="Z918" s="20" t="s">
        <v>226</v>
      </c>
      <c r="AA918" s="17" t="e">
        <f>VLOOKUP(F918,[2]Wait!$H$225:$I$260,2,0)</f>
        <v>#N/A</v>
      </c>
    </row>
    <row r="919" spans="1:27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1772</v>
      </c>
      <c r="E919" s="20" t="s">
        <v>26</v>
      </c>
      <c r="F919" s="20" t="s">
        <v>3685</v>
      </c>
      <c r="G919" s="20" t="s">
        <v>35</v>
      </c>
      <c r="H919" s="20" t="s">
        <v>26</v>
      </c>
      <c r="I919" s="21">
        <v>46267</v>
      </c>
      <c r="J919" s="20" t="s">
        <v>36</v>
      </c>
      <c r="K919" s="20" t="s">
        <v>28</v>
      </c>
      <c r="L919" s="20" t="s">
        <v>1771</v>
      </c>
      <c r="M919" s="20" t="s">
        <v>269</v>
      </c>
      <c r="N919" s="22" t="s">
        <v>250</v>
      </c>
      <c r="O919" s="20" t="s">
        <v>961</v>
      </c>
      <c r="P919" s="20" t="s">
        <v>26</v>
      </c>
      <c r="Q919" s="20" t="s">
        <v>26</v>
      </c>
      <c r="R919" s="20" t="s">
        <v>72</v>
      </c>
      <c r="S919" s="20" t="s">
        <v>32</v>
      </c>
      <c r="T919" s="20" t="s">
        <v>71</v>
      </c>
      <c r="U919" s="20" t="s">
        <v>1765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  <c r="AA919" s="17" t="e">
        <f>VLOOKUP(F919,[2]Wait!$H$225:$I$260,2,0)</f>
        <v>#N/A</v>
      </c>
    </row>
    <row r="920" spans="1:27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2459</v>
      </c>
      <c r="E920" s="20" t="s">
        <v>26</v>
      </c>
      <c r="F920" s="20" t="s">
        <v>3686</v>
      </c>
      <c r="G920" s="20" t="s">
        <v>35</v>
      </c>
      <c r="H920" s="20" t="s">
        <v>26</v>
      </c>
      <c r="I920" s="21">
        <v>46269</v>
      </c>
      <c r="J920" s="20" t="s">
        <v>36</v>
      </c>
      <c r="K920" s="20" t="s">
        <v>28</v>
      </c>
      <c r="L920" s="20" t="s">
        <v>292</v>
      </c>
      <c r="M920" s="20" t="s">
        <v>269</v>
      </c>
      <c r="N920" s="22" t="s">
        <v>250</v>
      </c>
      <c r="O920" s="20" t="s">
        <v>955</v>
      </c>
      <c r="P920" s="20" t="s">
        <v>41</v>
      </c>
      <c r="Q920" s="20" t="s">
        <v>42</v>
      </c>
      <c r="R920" s="20" t="s">
        <v>77</v>
      </c>
      <c r="S920" s="20" t="s">
        <v>32</v>
      </c>
      <c r="T920" s="20" t="s">
        <v>55</v>
      </c>
      <c r="U920" s="20" t="s">
        <v>293</v>
      </c>
      <c r="V920" s="21"/>
      <c r="W920" s="21">
        <v>46269</v>
      </c>
      <c r="X920" s="20" t="s">
        <v>39</v>
      </c>
      <c r="Y920" s="21">
        <v>46269</v>
      </c>
      <c r="Z920" s="20" t="s">
        <v>39</v>
      </c>
      <c r="AA920" s="17" t="e">
        <f>VLOOKUP(F920,[2]Wait!$H$225:$I$260,2,0)</f>
        <v>#N/A</v>
      </c>
    </row>
    <row r="921" spans="1:27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2461</v>
      </c>
      <c r="E921" s="20" t="s">
        <v>26</v>
      </c>
      <c r="F921" s="20" t="s">
        <v>3687</v>
      </c>
      <c r="G921" s="20" t="s">
        <v>35</v>
      </c>
      <c r="H921" s="20" t="s">
        <v>26</v>
      </c>
      <c r="I921" s="21">
        <v>46259</v>
      </c>
      <c r="J921" s="20" t="s">
        <v>82</v>
      </c>
      <c r="K921" s="20" t="s">
        <v>28</v>
      </c>
      <c r="L921" s="20" t="s">
        <v>2462</v>
      </c>
      <c r="M921" s="20" t="s">
        <v>269</v>
      </c>
      <c r="N921" s="22" t="s">
        <v>250</v>
      </c>
      <c r="O921" s="20" t="s">
        <v>946</v>
      </c>
      <c r="P921" s="20" t="s">
        <v>26</v>
      </c>
      <c r="Q921" s="20" t="s">
        <v>26</v>
      </c>
      <c r="R921" s="20" t="s">
        <v>126</v>
      </c>
      <c r="S921" s="20" t="s">
        <v>32</v>
      </c>
      <c r="T921" s="20" t="s">
        <v>70</v>
      </c>
      <c r="U921" s="20" t="s">
        <v>1110</v>
      </c>
      <c r="V921" s="21"/>
      <c r="W921" s="21">
        <v>46259</v>
      </c>
      <c r="X921" s="20" t="s">
        <v>39</v>
      </c>
      <c r="Y921" s="21">
        <v>46259</v>
      </c>
      <c r="Z921" s="20" t="s">
        <v>39</v>
      </c>
      <c r="AA921" s="17" t="e">
        <f>VLOOKUP(F921,[2]Wait!$H$225:$I$260,2,0)</f>
        <v>#N/A</v>
      </c>
    </row>
    <row r="922" spans="1:27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2464</v>
      </c>
      <c r="E922" s="20" t="s">
        <v>26</v>
      </c>
      <c r="F922" s="20" t="s">
        <v>3688</v>
      </c>
      <c r="G922" s="20" t="s">
        <v>35</v>
      </c>
      <c r="H922" s="20" t="s">
        <v>26</v>
      </c>
      <c r="I922" s="21">
        <v>46263</v>
      </c>
      <c r="J922" s="20" t="s">
        <v>36</v>
      </c>
      <c r="K922" s="20" t="s">
        <v>28</v>
      </c>
      <c r="L922" s="20" t="s">
        <v>2465</v>
      </c>
      <c r="M922" s="20" t="s">
        <v>269</v>
      </c>
      <c r="N922" s="22" t="s">
        <v>250</v>
      </c>
      <c r="O922" s="20" t="s">
        <v>949</v>
      </c>
      <c r="P922" s="20" t="s">
        <v>30</v>
      </c>
      <c r="Q922" s="20" t="s">
        <v>31</v>
      </c>
      <c r="R922" s="20" t="s">
        <v>285</v>
      </c>
      <c r="S922" s="20" t="s">
        <v>32</v>
      </c>
      <c r="T922" s="20" t="s">
        <v>66</v>
      </c>
      <c r="U922" s="20" t="s">
        <v>982</v>
      </c>
      <c r="V922" s="21"/>
      <c r="W922" s="21">
        <v>46263</v>
      </c>
      <c r="X922" s="20" t="s">
        <v>39</v>
      </c>
      <c r="Y922" s="21">
        <v>46263</v>
      </c>
      <c r="Z922" s="20" t="s">
        <v>39</v>
      </c>
      <c r="AA922" s="17" t="e">
        <f>VLOOKUP(F922,[2]Wait!$H$225:$I$260,2,0)</f>
        <v>#N/A</v>
      </c>
    </row>
    <row r="923" spans="1:27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2059</v>
      </c>
      <c r="E923" s="20" t="s">
        <v>26</v>
      </c>
      <c r="F923" s="20" t="s">
        <v>3689</v>
      </c>
      <c r="G923" s="20" t="s">
        <v>35</v>
      </c>
      <c r="H923" s="20" t="s">
        <v>74</v>
      </c>
      <c r="I923" s="21">
        <v>46261</v>
      </c>
      <c r="J923" s="20" t="s">
        <v>63</v>
      </c>
      <c r="K923" s="20" t="s">
        <v>28</v>
      </c>
      <c r="L923" s="20" t="s">
        <v>2060</v>
      </c>
      <c r="M923" s="20" t="s">
        <v>269</v>
      </c>
      <c r="N923" s="22" t="s">
        <v>250</v>
      </c>
      <c r="O923" s="20" t="s">
        <v>939</v>
      </c>
      <c r="P923" s="20" t="s">
        <v>41</v>
      </c>
      <c r="Q923" s="20" t="s">
        <v>42</v>
      </c>
      <c r="R923" s="20" t="s">
        <v>43</v>
      </c>
      <c r="S923" s="20" t="s">
        <v>32</v>
      </c>
      <c r="T923" s="20" t="s">
        <v>78</v>
      </c>
      <c r="U923" s="20" t="s">
        <v>2061</v>
      </c>
      <c r="V923" s="21"/>
      <c r="W923" s="21">
        <v>46261</v>
      </c>
      <c r="X923" s="20" t="s">
        <v>39</v>
      </c>
      <c r="Y923" s="21">
        <v>46261</v>
      </c>
      <c r="Z923" s="20" t="s">
        <v>39</v>
      </c>
      <c r="AA923" s="17" t="e">
        <f>VLOOKUP(F923,[2]Wait!$H$225:$I$260,2,0)</f>
        <v>#N/A</v>
      </c>
    </row>
    <row r="924" spans="1:27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2466</v>
      </c>
      <c r="E924" s="20" t="s">
        <v>26</v>
      </c>
      <c r="F924" s="20" t="s">
        <v>3690</v>
      </c>
      <c r="G924" s="20" t="s">
        <v>35</v>
      </c>
      <c r="H924" s="20" t="s">
        <v>26</v>
      </c>
      <c r="I924" s="21">
        <v>46261</v>
      </c>
      <c r="J924" s="20" t="s">
        <v>47</v>
      </c>
      <c r="K924" s="20" t="s">
        <v>28</v>
      </c>
      <c r="L924" s="20" t="s">
        <v>773</v>
      </c>
      <c r="M924" s="20" t="s">
        <v>269</v>
      </c>
      <c r="N924" s="22" t="s">
        <v>250</v>
      </c>
      <c r="O924" s="20" t="s">
        <v>939</v>
      </c>
      <c r="P924" s="20" t="s">
        <v>148</v>
      </c>
      <c r="Q924" s="20" t="s">
        <v>149</v>
      </c>
      <c r="R924" s="20" t="s">
        <v>126</v>
      </c>
      <c r="S924" s="20" t="s">
        <v>32</v>
      </c>
      <c r="T924" s="20" t="s">
        <v>33</v>
      </c>
      <c r="U924" s="20" t="s">
        <v>774</v>
      </c>
      <c r="V924" s="21"/>
      <c r="W924" s="21">
        <v>46261</v>
      </c>
      <c r="X924" s="20" t="s">
        <v>39</v>
      </c>
      <c r="Y924" s="21">
        <v>46261</v>
      </c>
      <c r="Z924" s="20" t="s">
        <v>39</v>
      </c>
      <c r="AA924" s="17" t="e">
        <f>VLOOKUP(F924,[2]Wait!$H$225:$I$260,2,0)</f>
        <v>#N/A</v>
      </c>
    </row>
    <row r="925" spans="1:27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2467</v>
      </c>
      <c r="E925" s="20" t="s">
        <v>26</v>
      </c>
      <c r="F925" s="20" t="s">
        <v>3691</v>
      </c>
      <c r="G925" s="20" t="s">
        <v>35</v>
      </c>
      <c r="H925" s="20" t="s">
        <v>26</v>
      </c>
      <c r="I925" s="21">
        <v>46263</v>
      </c>
      <c r="J925" s="20" t="s">
        <v>63</v>
      </c>
      <c r="K925" s="20" t="s">
        <v>28</v>
      </c>
      <c r="L925" s="20" t="s">
        <v>2468</v>
      </c>
      <c r="M925" s="20" t="s">
        <v>269</v>
      </c>
      <c r="N925" s="22" t="s">
        <v>250</v>
      </c>
      <c r="O925" s="20" t="s">
        <v>949</v>
      </c>
      <c r="P925" s="20" t="s">
        <v>30</v>
      </c>
      <c r="Q925" s="20" t="s">
        <v>31</v>
      </c>
      <c r="R925" s="20" t="s">
        <v>603</v>
      </c>
      <c r="S925" s="20" t="s">
        <v>32</v>
      </c>
      <c r="T925" s="20" t="s">
        <v>33</v>
      </c>
      <c r="U925" s="20" t="s">
        <v>2157</v>
      </c>
      <c r="V925" s="21"/>
      <c r="W925" s="21">
        <v>46263</v>
      </c>
      <c r="X925" s="20" t="s">
        <v>39</v>
      </c>
      <c r="Y925" s="21">
        <v>46263</v>
      </c>
      <c r="Z925" s="20" t="s">
        <v>39</v>
      </c>
      <c r="AA925" s="17" t="e">
        <f>VLOOKUP(F925,[2]Wait!$H$225:$I$260,2,0)</f>
        <v>#N/A</v>
      </c>
    </row>
    <row r="926" spans="1:27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2203</v>
      </c>
      <c r="E926" s="20" t="s">
        <v>26</v>
      </c>
      <c r="F926" s="20" t="s">
        <v>3692</v>
      </c>
      <c r="G926" s="20" t="s">
        <v>35</v>
      </c>
      <c r="H926" s="20" t="s">
        <v>26</v>
      </c>
      <c r="I926" s="21">
        <v>46269</v>
      </c>
      <c r="J926" s="20" t="s">
        <v>36</v>
      </c>
      <c r="K926" s="20" t="s">
        <v>28</v>
      </c>
      <c r="L926" s="20" t="s">
        <v>2204</v>
      </c>
      <c r="M926" s="20" t="s">
        <v>269</v>
      </c>
      <c r="N926" s="22" t="s">
        <v>250</v>
      </c>
      <c r="O926" s="20" t="s">
        <v>955</v>
      </c>
      <c r="P926" s="20" t="s">
        <v>41</v>
      </c>
      <c r="Q926" s="20" t="s">
        <v>42</v>
      </c>
      <c r="R926" s="20" t="s">
        <v>135</v>
      </c>
      <c r="S926" s="20" t="s">
        <v>32</v>
      </c>
      <c r="T926" s="20" t="s">
        <v>55</v>
      </c>
      <c r="U926" s="20" t="s">
        <v>2205</v>
      </c>
      <c r="V926" s="21"/>
      <c r="W926" s="21">
        <v>46269</v>
      </c>
      <c r="X926" s="20" t="s">
        <v>39</v>
      </c>
      <c r="Y926" s="21">
        <v>46269</v>
      </c>
      <c r="Z926" s="20" t="s">
        <v>39</v>
      </c>
      <c r="AA926" s="17" t="e">
        <f>VLOOKUP(F926,[2]Wait!$H$225:$I$260,2,0)</f>
        <v>#N/A</v>
      </c>
    </row>
    <row r="927" spans="1:27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2469</v>
      </c>
      <c r="E927" s="20" t="s">
        <v>2470</v>
      </c>
      <c r="F927" s="20" t="s">
        <v>2470</v>
      </c>
      <c r="G927" s="20" t="s">
        <v>194</v>
      </c>
      <c r="H927" s="20" t="s">
        <v>26</v>
      </c>
      <c r="I927" s="21">
        <v>46258</v>
      </c>
      <c r="J927" s="20" t="s">
        <v>268</v>
      </c>
      <c r="K927" s="20" t="s">
        <v>28</v>
      </c>
      <c r="L927" s="20" t="s">
        <v>2471</v>
      </c>
      <c r="M927" s="20" t="s">
        <v>269</v>
      </c>
      <c r="N927" s="22" t="s">
        <v>250</v>
      </c>
      <c r="O927" s="20" t="s">
        <v>1044</v>
      </c>
      <c r="P927" s="20" t="s">
        <v>257</v>
      </c>
      <c r="Q927" s="20" t="s">
        <v>258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  <c r="AA927" s="17" t="e">
        <f>VLOOKUP(F927,[2]Wait!$H$225:$I$260,2,0)</f>
        <v>#N/A</v>
      </c>
    </row>
    <row r="928" spans="1:27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2472</v>
      </c>
      <c r="E928" s="20" t="s">
        <v>2470</v>
      </c>
      <c r="F928" s="20" t="s">
        <v>2470</v>
      </c>
      <c r="G928" s="20" t="s">
        <v>194</v>
      </c>
      <c r="H928" s="20" t="s">
        <v>26</v>
      </c>
      <c r="I928" s="21">
        <v>46258</v>
      </c>
      <c r="J928" s="20" t="s">
        <v>255</v>
      </c>
      <c r="K928" s="20" t="s">
        <v>58</v>
      </c>
      <c r="L928" s="20" t="s">
        <v>2471</v>
      </c>
      <c r="M928" s="20" t="s">
        <v>269</v>
      </c>
      <c r="N928" s="22" t="s">
        <v>250</v>
      </c>
      <c r="O928" s="20" t="s">
        <v>1044</v>
      </c>
      <c r="P928" s="20" t="s">
        <v>257</v>
      </c>
      <c r="Q928" s="20" t="s">
        <v>258</v>
      </c>
      <c r="R928" s="20" t="s">
        <v>26</v>
      </c>
      <c r="S928" s="20" t="s">
        <v>32</v>
      </c>
      <c r="T928" s="20" t="s">
        <v>195</v>
      </c>
      <c r="U928" s="20" t="s">
        <v>26</v>
      </c>
      <c r="V928" s="21"/>
      <c r="W928" s="21">
        <v>46258</v>
      </c>
      <c r="X928" s="20" t="s">
        <v>34</v>
      </c>
      <c r="Y928" s="21">
        <v>46274</v>
      </c>
      <c r="Z928" s="20" t="s">
        <v>57</v>
      </c>
      <c r="AA928" s="17" t="e">
        <f>VLOOKUP(F928,[2]Wait!$H$225:$I$260,2,0)</f>
        <v>#N/A</v>
      </c>
    </row>
    <row r="929" spans="1:27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2473</v>
      </c>
      <c r="E929" s="20" t="s">
        <v>2474</v>
      </c>
      <c r="F929" s="20" t="s">
        <v>2474</v>
      </c>
      <c r="G929" s="20" t="s">
        <v>194</v>
      </c>
      <c r="H929" s="20" t="s">
        <v>26</v>
      </c>
      <c r="I929" s="21">
        <v>46258</v>
      </c>
      <c r="J929" s="20" t="s">
        <v>255</v>
      </c>
      <c r="K929" s="20" t="s">
        <v>28</v>
      </c>
      <c r="L929" s="20" t="s">
        <v>2475</v>
      </c>
      <c r="M929" s="20" t="s">
        <v>269</v>
      </c>
      <c r="N929" s="22" t="s">
        <v>250</v>
      </c>
      <c r="O929" s="20" t="s">
        <v>1044</v>
      </c>
      <c r="P929" s="20" t="s">
        <v>257</v>
      </c>
      <c r="Q929" s="20" t="s">
        <v>258</v>
      </c>
      <c r="R929" s="20" t="s">
        <v>26</v>
      </c>
      <c r="S929" s="20" t="s">
        <v>32</v>
      </c>
      <c r="T929" s="20" t="s">
        <v>195</v>
      </c>
      <c r="U929" s="20" t="s">
        <v>26</v>
      </c>
      <c r="V929" s="21"/>
      <c r="W929" s="21">
        <v>46258</v>
      </c>
      <c r="X929" s="20" t="s">
        <v>34</v>
      </c>
      <c r="Y929" s="21">
        <v>46274</v>
      </c>
      <c r="Z929" s="20" t="s">
        <v>57</v>
      </c>
      <c r="AA929" s="17" t="e">
        <f>VLOOKUP(F929,[2]Wait!$H$225:$I$260,2,0)</f>
        <v>#N/A</v>
      </c>
    </row>
    <row r="930" spans="1:27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2476</v>
      </c>
      <c r="E930" s="20" t="s">
        <v>2474</v>
      </c>
      <c r="F930" s="20" t="s">
        <v>2474</v>
      </c>
      <c r="G930" s="20" t="s">
        <v>194</v>
      </c>
      <c r="H930" s="20" t="s">
        <v>26</v>
      </c>
      <c r="I930" s="21">
        <v>46258</v>
      </c>
      <c r="J930" s="20" t="s">
        <v>255</v>
      </c>
      <c r="K930" s="20" t="s">
        <v>58</v>
      </c>
      <c r="L930" s="20" t="s">
        <v>2475</v>
      </c>
      <c r="M930" s="20" t="s">
        <v>269</v>
      </c>
      <c r="N930" s="22" t="s">
        <v>250</v>
      </c>
      <c r="O930" s="20" t="s">
        <v>1044</v>
      </c>
      <c r="P930" s="20" t="s">
        <v>257</v>
      </c>
      <c r="Q930" s="20" t="s">
        <v>258</v>
      </c>
      <c r="R930" s="20" t="s">
        <v>26</v>
      </c>
      <c r="S930" s="20" t="s">
        <v>32</v>
      </c>
      <c r="T930" s="20" t="s">
        <v>195</v>
      </c>
      <c r="U930" s="20" t="s">
        <v>26</v>
      </c>
      <c r="V930" s="21"/>
      <c r="W930" s="21">
        <v>46258</v>
      </c>
      <c r="X930" s="20" t="s">
        <v>34</v>
      </c>
      <c r="Y930" s="21">
        <v>46274</v>
      </c>
      <c r="Z930" s="20" t="s">
        <v>57</v>
      </c>
      <c r="AA930" s="17" t="e">
        <f>VLOOKUP(F930,[2]Wait!$H$225:$I$260,2,0)</f>
        <v>#N/A</v>
      </c>
    </row>
    <row r="931" spans="1:27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2477</v>
      </c>
      <c r="E931" s="20" t="s">
        <v>2478</v>
      </c>
      <c r="F931" s="20" t="s">
        <v>2478</v>
      </c>
      <c r="G931" s="20" t="s">
        <v>194</v>
      </c>
      <c r="H931" s="20" t="s">
        <v>26</v>
      </c>
      <c r="I931" s="21">
        <v>46258</v>
      </c>
      <c r="J931" s="20" t="s">
        <v>27</v>
      </c>
      <c r="K931" s="20" t="s">
        <v>28</v>
      </c>
      <c r="L931" s="20" t="s">
        <v>2479</v>
      </c>
      <c r="M931" s="20" t="s">
        <v>269</v>
      </c>
      <c r="N931" s="22" t="s">
        <v>250</v>
      </c>
      <c r="O931" s="20" t="s">
        <v>1044</v>
      </c>
      <c r="P931" s="20" t="s">
        <v>26</v>
      </c>
      <c r="Q931" s="20" t="s">
        <v>26</v>
      </c>
      <c r="R931" s="20" t="s">
        <v>26</v>
      </c>
      <c r="S931" s="20" t="s">
        <v>32</v>
      </c>
      <c r="T931" s="20" t="s">
        <v>195</v>
      </c>
      <c r="U931" s="20" t="s">
        <v>26</v>
      </c>
      <c r="V931" s="21"/>
      <c r="W931" s="21">
        <v>46258</v>
      </c>
      <c r="X931" s="20" t="s">
        <v>34</v>
      </c>
      <c r="Y931" s="21">
        <v>46274</v>
      </c>
      <c r="Z931" s="20" t="s">
        <v>57</v>
      </c>
      <c r="AA931" s="17" t="e">
        <f>VLOOKUP(F931,[2]Wait!$H$225:$I$260,2,0)</f>
        <v>#N/A</v>
      </c>
    </row>
    <row r="932" spans="1:27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1776</v>
      </c>
      <c r="E932" s="20" t="s">
        <v>26</v>
      </c>
      <c r="F932" s="20" t="s">
        <v>3693</v>
      </c>
      <c r="G932" s="20" t="s">
        <v>35</v>
      </c>
      <c r="H932" s="20" t="s">
        <v>26</v>
      </c>
      <c r="I932" s="21">
        <v>46259</v>
      </c>
      <c r="J932" s="20" t="s">
        <v>36</v>
      </c>
      <c r="K932" s="20" t="s">
        <v>28</v>
      </c>
      <c r="L932" s="20" t="s">
        <v>1777</v>
      </c>
      <c r="M932" s="20" t="s">
        <v>776</v>
      </c>
      <c r="N932" s="22" t="s">
        <v>250</v>
      </c>
      <c r="O932" s="20" t="s">
        <v>946</v>
      </c>
      <c r="P932" s="20" t="s">
        <v>26</v>
      </c>
      <c r="Q932" s="20" t="s">
        <v>26</v>
      </c>
      <c r="R932" s="20" t="s">
        <v>72</v>
      </c>
      <c r="S932" s="20" t="s">
        <v>32</v>
      </c>
      <c r="T932" s="20" t="s">
        <v>38</v>
      </c>
      <c r="U932" s="20" t="s">
        <v>1775</v>
      </c>
      <c r="V932" s="21"/>
      <c r="W932" s="21">
        <v>46259</v>
      </c>
      <c r="X932" s="20" t="s">
        <v>39</v>
      </c>
      <c r="Y932" s="21">
        <v>46259</v>
      </c>
      <c r="Z932" s="20" t="s">
        <v>39</v>
      </c>
      <c r="AA932" s="17" t="e">
        <f>VLOOKUP(F932,[2]Wait!$H$225:$I$260,2,0)</f>
        <v>#N/A</v>
      </c>
    </row>
    <row r="933" spans="1:27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2480</v>
      </c>
      <c r="E933" s="20" t="s">
        <v>26</v>
      </c>
      <c r="F933" s="20" t="s">
        <v>3694</v>
      </c>
      <c r="G933" s="20" t="s">
        <v>35</v>
      </c>
      <c r="H933" s="20" t="s">
        <v>74</v>
      </c>
      <c r="I933" s="21">
        <v>46261</v>
      </c>
      <c r="J933" s="20" t="s">
        <v>63</v>
      </c>
      <c r="K933" s="20" t="s">
        <v>28</v>
      </c>
      <c r="L933" s="20" t="s">
        <v>2481</v>
      </c>
      <c r="M933" s="20" t="s">
        <v>776</v>
      </c>
      <c r="N933" s="22" t="s">
        <v>250</v>
      </c>
      <c r="O933" s="20" t="s">
        <v>939</v>
      </c>
      <c r="P933" s="20" t="s">
        <v>41</v>
      </c>
      <c r="Q933" s="20" t="s">
        <v>42</v>
      </c>
      <c r="R933" s="20" t="s">
        <v>61</v>
      </c>
      <c r="S933" s="20" t="s">
        <v>32</v>
      </c>
      <c r="T933" s="20" t="s">
        <v>78</v>
      </c>
      <c r="U933" s="20" t="s">
        <v>2482</v>
      </c>
      <c r="V933" s="21"/>
      <c r="W933" s="21">
        <v>46261</v>
      </c>
      <c r="X933" s="20" t="s">
        <v>39</v>
      </c>
      <c r="Y933" s="21">
        <v>46261</v>
      </c>
      <c r="Z933" s="20" t="s">
        <v>39</v>
      </c>
      <c r="AA933" s="17" t="e">
        <f>VLOOKUP(F933,[2]Wait!$H$225:$I$260,2,0)</f>
        <v>#N/A</v>
      </c>
    </row>
    <row r="934" spans="1:27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2483</v>
      </c>
      <c r="E934" s="20" t="s">
        <v>26</v>
      </c>
      <c r="F934" s="20" t="s">
        <v>3695</v>
      </c>
      <c r="G934" s="20" t="s">
        <v>35</v>
      </c>
      <c r="H934" s="20" t="s">
        <v>26</v>
      </c>
      <c r="I934" s="21">
        <v>46254</v>
      </c>
      <c r="J934" s="20" t="s">
        <v>110</v>
      </c>
      <c r="K934" s="20" t="s">
        <v>28</v>
      </c>
      <c r="L934" s="20" t="s">
        <v>785</v>
      </c>
      <c r="M934" s="20" t="s">
        <v>776</v>
      </c>
      <c r="N934" s="22" t="s">
        <v>250</v>
      </c>
      <c r="O934" s="20" t="s">
        <v>1070</v>
      </c>
      <c r="P934" s="20" t="s">
        <v>30</v>
      </c>
      <c r="Q934" s="20" t="s">
        <v>31</v>
      </c>
      <c r="R934" s="20" t="s">
        <v>285</v>
      </c>
      <c r="S934" s="20" t="s">
        <v>32</v>
      </c>
      <c r="T934" s="20" t="s">
        <v>136</v>
      </c>
      <c r="U934" s="20" t="s">
        <v>786</v>
      </c>
      <c r="V934" s="21"/>
      <c r="W934" s="21">
        <v>46254</v>
      </c>
      <c r="X934" s="20" t="s">
        <v>34</v>
      </c>
      <c r="Y934" s="21">
        <v>46254</v>
      </c>
      <c r="Z934" s="20" t="s">
        <v>57</v>
      </c>
      <c r="AA934" s="17" t="e">
        <f>VLOOKUP(F934,[2]Wait!$H$225:$I$260,2,0)</f>
        <v>#N/A</v>
      </c>
    </row>
    <row r="935" spans="1:27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2484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46254</v>
      </c>
      <c r="J935" s="20" t="s">
        <v>27</v>
      </c>
      <c r="K935" s="20" t="s">
        <v>58</v>
      </c>
      <c r="L935" s="20" t="s">
        <v>785</v>
      </c>
      <c r="M935" s="20" t="s">
        <v>776</v>
      </c>
      <c r="N935" s="22" t="s">
        <v>250</v>
      </c>
      <c r="O935" s="20" t="s">
        <v>1070</v>
      </c>
      <c r="P935" s="20" t="s">
        <v>30</v>
      </c>
      <c r="Q935" s="20" t="s">
        <v>31</v>
      </c>
      <c r="R935" s="20" t="s">
        <v>285</v>
      </c>
      <c r="S935" s="20" t="s">
        <v>32</v>
      </c>
      <c r="T935" s="20" t="s">
        <v>136</v>
      </c>
      <c r="U935" s="20" t="s">
        <v>786</v>
      </c>
      <c r="V935" s="21"/>
      <c r="W935" s="21">
        <v>46254</v>
      </c>
      <c r="X935" s="20" t="s">
        <v>34</v>
      </c>
      <c r="Y935" s="21">
        <v>46254</v>
      </c>
      <c r="Z935" s="20" t="s">
        <v>57</v>
      </c>
      <c r="AA935" s="17" t="e">
        <f>VLOOKUP(F935,[2]Wait!$H$225:$I$260,2,0)</f>
        <v>#N/A</v>
      </c>
    </row>
    <row r="936" spans="1:27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2485</v>
      </c>
      <c r="E936" s="20" t="s">
        <v>26</v>
      </c>
      <c r="F936" s="20" t="s">
        <v>3695</v>
      </c>
      <c r="G936" s="20" t="s">
        <v>35</v>
      </c>
      <c r="H936" s="20" t="s">
        <v>26</v>
      </c>
      <c r="I936" s="21">
        <v>46254</v>
      </c>
      <c r="J936" s="20" t="s">
        <v>36</v>
      </c>
      <c r="K936" s="20" t="s">
        <v>59</v>
      </c>
      <c r="L936" s="20" t="s">
        <v>785</v>
      </c>
      <c r="M936" s="20" t="s">
        <v>776</v>
      </c>
      <c r="N936" s="22" t="s">
        <v>250</v>
      </c>
      <c r="O936" s="20" t="s">
        <v>1070</v>
      </c>
      <c r="P936" s="20" t="s">
        <v>30</v>
      </c>
      <c r="Q936" s="20" t="s">
        <v>31</v>
      </c>
      <c r="R936" s="20" t="s">
        <v>285</v>
      </c>
      <c r="S936" s="20" t="s">
        <v>32</v>
      </c>
      <c r="T936" s="20" t="s">
        <v>136</v>
      </c>
      <c r="U936" s="20" t="s">
        <v>786</v>
      </c>
      <c r="V936" s="21"/>
      <c r="W936" s="21">
        <v>46254</v>
      </c>
      <c r="X936" s="20" t="s">
        <v>34</v>
      </c>
      <c r="Y936" s="21">
        <v>46254</v>
      </c>
      <c r="Z936" s="20" t="s">
        <v>57</v>
      </c>
      <c r="AA936" s="17" t="e">
        <f>VLOOKUP(F936,[2]Wait!$H$225:$I$260,2,0)</f>
        <v>#N/A</v>
      </c>
    </row>
    <row r="937" spans="1:27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2360</v>
      </c>
      <c r="E937" s="20" t="s">
        <v>26</v>
      </c>
      <c r="F937" s="20" t="s">
        <v>3696</v>
      </c>
      <c r="G937" s="20" t="s">
        <v>35</v>
      </c>
      <c r="H937" s="20" t="s">
        <v>26</v>
      </c>
      <c r="I937" s="21">
        <v>46265</v>
      </c>
      <c r="J937" s="20" t="s">
        <v>36</v>
      </c>
      <c r="K937" s="20" t="s">
        <v>28</v>
      </c>
      <c r="L937" s="20" t="s">
        <v>688</v>
      </c>
      <c r="M937" s="20" t="s">
        <v>776</v>
      </c>
      <c r="N937" s="22" t="s">
        <v>250</v>
      </c>
      <c r="O937" s="20" t="s">
        <v>1070</v>
      </c>
      <c r="P937" s="20" t="s">
        <v>41</v>
      </c>
      <c r="Q937" s="20" t="s">
        <v>42</v>
      </c>
      <c r="R937" s="20" t="s">
        <v>43</v>
      </c>
      <c r="S937" s="20" t="s">
        <v>32</v>
      </c>
      <c r="T937" s="20" t="s">
        <v>71</v>
      </c>
      <c r="U937" s="20" t="s">
        <v>44</v>
      </c>
      <c r="V937" s="21"/>
      <c r="W937" s="21">
        <v>46265</v>
      </c>
      <c r="X937" s="20" t="s">
        <v>39</v>
      </c>
      <c r="Y937" s="21">
        <v>46265</v>
      </c>
      <c r="Z937" s="20" t="s">
        <v>39</v>
      </c>
      <c r="AA937" s="17" t="e">
        <f>VLOOKUP(F937,[2]Wait!$H$225:$I$260,2,0)</f>
        <v>#N/A</v>
      </c>
    </row>
    <row r="938" spans="1:27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2486</v>
      </c>
      <c r="E938" s="20" t="s">
        <v>26</v>
      </c>
      <c r="F938" s="20" t="s">
        <v>3697</v>
      </c>
      <c r="G938" s="20" t="s">
        <v>35</v>
      </c>
      <c r="H938" s="20" t="s">
        <v>26</v>
      </c>
      <c r="I938" s="21">
        <v>46261</v>
      </c>
      <c r="J938" s="20" t="s">
        <v>63</v>
      </c>
      <c r="K938" s="20" t="s">
        <v>28</v>
      </c>
      <c r="L938" s="20" t="s">
        <v>2487</v>
      </c>
      <c r="M938" s="20" t="s">
        <v>776</v>
      </c>
      <c r="N938" s="22" t="s">
        <v>250</v>
      </c>
      <c r="O938" s="20" t="s">
        <v>939</v>
      </c>
      <c r="P938" s="20" t="s">
        <v>41</v>
      </c>
      <c r="Q938" s="20" t="s">
        <v>42</v>
      </c>
      <c r="R938" s="20" t="s">
        <v>43</v>
      </c>
      <c r="S938" s="20" t="s">
        <v>32</v>
      </c>
      <c r="T938" s="20" t="s">
        <v>78</v>
      </c>
      <c r="U938" s="20" t="s">
        <v>2488</v>
      </c>
      <c r="V938" s="21"/>
      <c r="W938" s="21">
        <v>46261</v>
      </c>
      <c r="X938" s="20" t="s">
        <v>39</v>
      </c>
      <c r="Y938" s="21">
        <v>46261</v>
      </c>
      <c r="Z938" s="20" t="s">
        <v>39</v>
      </c>
      <c r="AA938" s="17" t="e">
        <f>VLOOKUP(F938,[2]Wait!$H$225:$I$260,2,0)</f>
        <v>#N/A</v>
      </c>
    </row>
    <row r="939" spans="1:27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2489</v>
      </c>
      <c r="E939" s="20" t="s">
        <v>26</v>
      </c>
      <c r="F939" s="20" t="s">
        <v>3698</v>
      </c>
      <c r="G939" s="20" t="s">
        <v>35</v>
      </c>
      <c r="H939" s="20" t="s">
        <v>26</v>
      </c>
      <c r="I939" s="21">
        <v>46269</v>
      </c>
      <c r="J939" s="20" t="s">
        <v>36</v>
      </c>
      <c r="K939" s="20" t="s">
        <v>28</v>
      </c>
      <c r="L939" s="20" t="s">
        <v>2490</v>
      </c>
      <c r="M939" s="20" t="s">
        <v>776</v>
      </c>
      <c r="N939" s="22" t="s">
        <v>250</v>
      </c>
      <c r="O939" s="20" t="s">
        <v>955</v>
      </c>
      <c r="P939" s="20" t="s">
        <v>41</v>
      </c>
      <c r="Q939" s="20" t="s">
        <v>42</v>
      </c>
      <c r="R939" s="20" t="s">
        <v>285</v>
      </c>
      <c r="S939" s="20" t="s">
        <v>32</v>
      </c>
      <c r="T939" s="20" t="s">
        <v>376</v>
      </c>
      <c r="U939" s="20" t="s">
        <v>2491</v>
      </c>
      <c r="V939" s="21"/>
      <c r="W939" s="21">
        <v>46269</v>
      </c>
      <c r="X939" s="20" t="s">
        <v>39</v>
      </c>
      <c r="Y939" s="21">
        <v>46269</v>
      </c>
      <c r="Z939" s="20" t="s">
        <v>39</v>
      </c>
      <c r="AA939" s="17" t="e">
        <f>VLOOKUP(F939,[2]Wait!$H$225:$I$260,2,0)</f>
        <v>#N/A</v>
      </c>
    </row>
    <row r="940" spans="1:27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2492</v>
      </c>
      <c r="E940" s="20" t="s">
        <v>2493</v>
      </c>
      <c r="F940" s="20" t="s">
        <v>2493</v>
      </c>
      <c r="G940" s="20" t="s">
        <v>194</v>
      </c>
      <c r="H940" s="20" t="s">
        <v>26</v>
      </c>
      <c r="I940" s="21">
        <v>46272</v>
      </c>
      <c r="J940" s="20" t="s">
        <v>36</v>
      </c>
      <c r="K940" s="20" t="s">
        <v>28</v>
      </c>
      <c r="L940" s="20" t="s">
        <v>2494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36</v>
      </c>
      <c r="T940" s="20" t="s">
        <v>195</v>
      </c>
      <c r="U940" s="20" t="s">
        <v>26</v>
      </c>
      <c r="V940" s="21"/>
      <c r="W940" s="21">
        <v>46272</v>
      </c>
      <c r="X940" s="20" t="s">
        <v>2495</v>
      </c>
      <c r="Y940" s="21">
        <v>46279</v>
      </c>
      <c r="Z940" s="20" t="s">
        <v>2496</v>
      </c>
      <c r="AA940" s="17" t="e">
        <f>VLOOKUP(F940,[2]Wait!$H$225:$I$260,2,0)</f>
        <v>#N/A</v>
      </c>
    </row>
    <row r="941" spans="1:27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2497</v>
      </c>
      <c r="E941" s="20" t="s">
        <v>2493</v>
      </c>
      <c r="F941" s="20" t="s">
        <v>2493</v>
      </c>
      <c r="G941" s="20" t="s">
        <v>194</v>
      </c>
      <c r="H941" s="20" t="s">
        <v>26</v>
      </c>
      <c r="I941" s="21">
        <v>46272</v>
      </c>
      <c r="J941" s="20" t="s">
        <v>36</v>
      </c>
      <c r="K941" s="20" t="s">
        <v>58</v>
      </c>
      <c r="L941" s="20" t="s">
        <v>2494</v>
      </c>
      <c r="M941" s="20" t="s">
        <v>776</v>
      </c>
      <c r="N941" s="22" t="s">
        <v>250</v>
      </c>
      <c r="O941" s="20" t="s">
        <v>1044</v>
      </c>
      <c r="P941" s="20" t="s">
        <v>26</v>
      </c>
      <c r="Q941" s="20" t="s">
        <v>26</v>
      </c>
      <c r="R941" s="20" t="s">
        <v>26</v>
      </c>
      <c r="S941" s="20" t="s">
        <v>36</v>
      </c>
      <c r="T941" s="20" t="s">
        <v>195</v>
      </c>
      <c r="U941" s="20" t="s">
        <v>26</v>
      </c>
      <c r="V941" s="21"/>
      <c r="W941" s="21">
        <v>46272</v>
      </c>
      <c r="X941" s="20" t="s">
        <v>2495</v>
      </c>
      <c r="Y941" s="21">
        <v>46279</v>
      </c>
      <c r="Z941" s="20" t="s">
        <v>2496</v>
      </c>
      <c r="AA941" s="17" t="e">
        <f>VLOOKUP(F941,[2]Wait!$H$225:$I$260,2,0)</f>
        <v>#N/A</v>
      </c>
    </row>
    <row r="942" spans="1:27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2498</v>
      </c>
      <c r="E942" s="20" t="s">
        <v>2499</v>
      </c>
      <c r="F942" s="20" t="s">
        <v>2499</v>
      </c>
      <c r="G942" s="20" t="s">
        <v>194</v>
      </c>
      <c r="H942" s="20" t="s">
        <v>26</v>
      </c>
      <c r="I942" s="21">
        <v>46278</v>
      </c>
      <c r="J942" s="20" t="s">
        <v>27</v>
      </c>
      <c r="K942" s="20" t="s">
        <v>28</v>
      </c>
      <c r="L942" s="20" t="s">
        <v>2500</v>
      </c>
      <c r="M942" s="20" t="s">
        <v>776</v>
      </c>
      <c r="N942" s="22" t="s">
        <v>250</v>
      </c>
      <c r="O942" s="20" t="s">
        <v>1044</v>
      </c>
      <c r="P942" s="20" t="s">
        <v>26</v>
      </c>
      <c r="Q942" s="20" t="s">
        <v>26</v>
      </c>
      <c r="R942" s="20" t="s">
        <v>26</v>
      </c>
      <c r="S942" s="20" t="s">
        <v>27</v>
      </c>
      <c r="T942" s="20" t="s">
        <v>195</v>
      </c>
      <c r="U942" s="20" t="s">
        <v>26</v>
      </c>
      <c r="V942" s="21"/>
      <c r="W942" s="21">
        <v>46278</v>
      </c>
      <c r="X942" s="20" t="s">
        <v>2501</v>
      </c>
      <c r="Y942" s="21">
        <v>46279</v>
      </c>
      <c r="Z942" s="20" t="s">
        <v>2496</v>
      </c>
      <c r="AA942" s="17" t="e">
        <f>VLOOKUP(F942,[2]Wait!$H$225:$I$260,2,0)</f>
        <v>#N/A</v>
      </c>
    </row>
    <row r="943" spans="1:27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2987</v>
      </c>
      <c r="E943" s="20" t="s">
        <v>2988</v>
      </c>
      <c r="F943" s="20" t="s">
        <v>2988</v>
      </c>
      <c r="G943" s="20" t="s">
        <v>194</v>
      </c>
      <c r="H943" s="20" t="s">
        <v>26</v>
      </c>
      <c r="I943" s="21">
        <v>46258</v>
      </c>
      <c r="J943" s="20" t="s">
        <v>36</v>
      </c>
      <c r="K943" s="20" t="s">
        <v>28</v>
      </c>
      <c r="L943" s="20" t="s">
        <v>2989</v>
      </c>
      <c r="M943" s="20" t="s">
        <v>776</v>
      </c>
      <c r="N943" s="22" t="s">
        <v>250</v>
      </c>
      <c r="O943" s="20" t="s">
        <v>1044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  <c r="AA943" s="17" t="e">
        <f>VLOOKUP(F943,[2]Wait!$H$225:$I$260,2,0)</f>
        <v>#N/A</v>
      </c>
    </row>
    <row r="944" spans="1:27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2502</v>
      </c>
      <c r="E944" s="20" t="s">
        <v>2503</v>
      </c>
      <c r="F944" s="20" t="s">
        <v>3699</v>
      </c>
      <c r="G944" s="20" t="s">
        <v>25</v>
      </c>
      <c r="H944" s="20" t="s">
        <v>26</v>
      </c>
      <c r="I944" s="21">
        <v>46256</v>
      </c>
      <c r="J944" s="20" t="s">
        <v>52</v>
      </c>
      <c r="K944" s="20" t="s">
        <v>28</v>
      </c>
      <c r="L944" s="20" t="s">
        <v>2504</v>
      </c>
      <c r="M944" s="20" t="s">
        <v>279</v>
      </c>
      <c r="N944" s="22" t="s">
        <v>250</v>
      </c>
      <c r="O944" s="20" t="s">
        <v>1727</v>
      </c>
      <c r="P944" s="20" t="s">
        <v>148</v>
      </c>
      <c r="Q944" s="20" t="s">
        <v>149</v>
      </c>
      <c r="R944" s="20" t="s">
        <v>2505</v>
      </c>
      <c r="S944" s="20" t="s">
        <v>32</v>
      </c>
      <c r="T944" s="20" t="s">
        <v>195</v>
      </c>
      <c r="U944" s="20" t="s">
        <v>2506</v>
      </c>
      <c r="V944" s="21"/>
      <c r="W944" s="21">
        <v>46256</v>
      </c>
      <c r="X944" s="20" t="s">
        <v>34</v>
      </c>
      <c r="Y944" s="21">
        <v>46267</v>
      </c>
      <c r="Z944" s="20" t="s">
        <v>34</v>
      </c>
      <c r="AA944" s="17" t="e">
        <f>VLOOKUP(F944,[2]Wait!$H$225:$I$260,2,0)</f>
        <v>#N/A</v>
      </c>
    </row>
    <row r="945" spans="1:27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2507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196</v>
      </c>
      <c r="K945" s="20" t="s">
        <v>28</v>
      </c>
      <c r="L945" s="20" t="s">
        <v>781</v>
      </c>
      <c r="M945" s="20" t="s">
        <v>279</v>
      </c>
      <c r="N945" s="22" t="s">
        <v>250</v>
      </c>
      <c r="O945" s="20" t="s">
        <v>1176</v>
      </c>
      <c r="P945" s="20" t="s">
        <v>148</v>
      </c>
      <c r="Q945" s="20" t="s">
        <v>149</v>
      </c>
      <c r="R945" s="20" t="s">
        <v>118</v>
      </c>
      <c r="S945" s="20" t="s">
        <v>32</v>
      </c>
      <c r="T945" s="20" t="s">
        <v>71</v>
      </c>
      <c r="U945" s="20" t="s">
        <v>782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  <c r="AA945" s="17" t="e">
        <f>VLOOKUP(F945,[2]Wait!$H$225:$I$260,2,0)</f>
        <v>#N/A</v>
      </c>
    </row>
    <row r="946" spans="1:27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2508</v>
      </c>
      <c r="E946" s="20" t="s">
        <v>26</v>
      </c>
      <c r="F946" s="20" t="s">
        <v>3701</v>
      </c>
      <c r="G946" s="20" t="s">
        <v>35</v>
      </c>
      <c r="H946" s="20" t="s">
        <v>26</v>
      </c>
      <c r="I946" s="21">
        <v>46261</v>
      </c>
      <c r="J946" s="20" t="s">
        <v>36</v>
      </c>
      <c r="K946" s="20" t="s">
        <v>28</v>
      </c>
      <c r="L946" s="20" t="s">
        <v>1764</v>
      </c>
      <c r="M946" s="20" t="s">
        <v>279</v>
      </c>
      <c r="N946" s="22" t="s">
        <v>250</v>
      </c>
      <c r="O946" s="20" t="s">
        <v>946</v>
      </c>
      <c r="P946" s="20" t="s">
        <v>26</v>
      </c>
      <c r="Q946" s="20" t="s">
        <v>26</v>
      </c>
      <c r="R946" s="20" t="s">
        <v>72</v>
      </c>
      <c r="S946" s="20" t="s">
        <v>32</v>
      </c>
      <c r="T946" s="20" t="s">
        <v>38</v>
      </c>
      <c r="U946" s="20" t="s">
        <v>1765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  <c r="AA946" s="17" t="e">
        <f>VLOOKUP(F946,[2]Wait!$H$225:$I$260,2,0)</f>
        <v>#N/A</v>
      </c>
    </row>
    <row r="947" spans="1:27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2511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46261</v>
      </c>
      <c r="J947" s="20" t="s">
        <v>82</v>
      </c>
      <c r="K947" s="20" t="s">
        <v>28</v>
      </c>
      <c r="L947" s="20" t="s">
        <v>689</v>
      </c>
      <c r="M947" s="20" t="s">
        <v>279</v>
      </c>
      <c r="N947" s="22" t="s">
        <v>250</v>
      </c>
      <c r="O947" s="20" t="s">
        <v>939</v>
      </c>
      <c r="P947" s="20" t="s">
        <v>613</v>
      </c>
      <c r="Q947" s="20" t="s">
        <v>614</v>
      </c>
      <c r="R947" s="20" t="s">
        <v>84</v>
      </c>
      <c r="S947" s="20" t="s">
        <v>32</v>
      </c>
      <c r="T947" s="20" t="s">
        <v>367</v>
      </c>
      <c r="U947" s="20" t="s">
        <v>690</v>
      </c>
      <c r="V947" s="21"/>
      <c r="W947" s="21">
        <v>46261</v>
      </c>
      <c r="X947" s="20" t="s">
        <v>39</v>
      </c>
      <c r="Y947" s="21">
        <v>46261</v>
      </c>
      <c r="Z947" s="20" t="s">
        <v>39</v>
      </c>
      <c r="AA947" s="17" t="e">
        <f>VLOOKUP(F947,[2]Wait!$H$225:$I$260,2,0)</f>
        <v>#N/A</v>
      </c>
    </row>
    <row r="948" spans="1:27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2514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46271</v>
      </c>
      <c r="J948" s="20" t="s">
        <v>36</v>
      </c>
      <c r="K948" s="20" t="s">
        <v>28</v>
      </c>
      <c r="L948" s="20" t="s">
        <v>784</v>
      </c>
      <c r="M948" s="20" t="s">
        <v>279</v>
      </c>
      <c r="N948" s="22" t="s">
        <v>250</v>
      </c>
      <c r="O948" s="20" t="s">
        <v>1176</v>
      </c>
      <c r="P948" s="20" t="s">
        <v>26</v>
      </c>
      <c r="Q948" s="20" t="s">
        <v>26</v>
      </c>
      <c r="R948" s="20" t="s">
        <v>61</v>
      </c>
      <c r="S948" s="20" t="s">
        <v>32</v>
      </c>
      <c r="T948" s="20" t="s">
        <v>107</v>
      </c>
      <c r="U948" s="20" t="s">
        <v>319</v>
      </c>
      <c r="V948" s="21"/>
      <c r="W948" s="21">
        <v>46271</v>
      </c>
      <c r="X948" s="20" t="s">
        <v>39</v>
      </c>
      <c r="Y948" s="21">
        <v>46271</v>
      </c>
      <c r="Z948" s="20" t="s">
        <v>39</v>
      </c>
      <c r="AA948" s="17" t="e">
        <f>VLOOKUP(F948,[2]Wait!$H$225:$I$260,2,0)</f>
        <v>#N/A</v>
      </c>
    </row>
    <row r="949" spans="1:27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2515</v>
      </c>
      <c r="E949" s="20" t="s">
        <v>26</v>
      </c>
      <c r="F949" s="20" t="s">
        <v>3704</v>
      </c>
      <c r="G949" s="20" t="s">
        <v>35</v>
      </c>
      <c r="H949" s="20" t="s">
        <v>74</v>
      </c>
      <c r="I949" s="21">
        <v>46261</v>
      </c>
      <c r="J949" s="20" t="s">
        <v>63</v>
      </c>
      <c r="K949" s="20" t="s">
        <v>28</v>
      </c>
      <c r="L949" s="20" t="s">
        <v>2516</v>
      </c>
      <c r="M949" s="20" t="s">
        <v>279</v>
      </c>
      <c r="N949" s="22" t="s">
        <v>250</v>
      </c>
      <c r="O949" s="20" t="s">
        <v>939</v>
      </c>
      <c r="P949" s="20" t="s">
        <v>41</v>
      </c>
      <c r="Q949" s="20" t="s">
        <v>42</v>
      </c>
      <c r="R949" s="20" t="s">
        <v>61</v>
      </c>
      <c r="S949" s="20" t="s">
        <v>32</v>
      </c>
      <c r="T949" s="20" t="s">
        <v>78</v>
      </c>
      <c r="U949" s="20" t="s">
        <v>2482</v>
      </c>
      <c r="V949" s="21"/>
      <c r="W949" s="21">
        <v>46261</v>
      </c>
      <c r="X949" s="20" t="s">
        <v>39</v>
      </c>
      <c r="Y949" s="21">
        <v>46261</v>
      </c>
      <c r="Z949" s="20" t="s">
        <v>39</v>
      </c>
      <c r="AA949" s="17" t="e">
        <f>VLOOKUP(F949,[2]Wait!$H$225:$I$260,2,0)</f>
        <v>#N/A</v>
      </c>
    </row>
    <row r="950" spans="1:27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2517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46259</v>
      </c>
      <c r="J950" s="20" t="s">
        <v>82</v>
      </c>
      <c r="K950" s="20" t="s">
        <v>28</v>
      </c>
      <c r="L950" s="20" t="s">
        <v>2518</v>
      </c>
      <c r="M950" s="20" t="s">
        <v>279</v>
      </c>
      <c r="N950" s="22" t="s">
        <v>250</v>
      </c>
      <c r="O950" s="20" t="s">
        <v>946</v>
      </c>
      <c r="P950" s="20" t="s">
        <v>26</v>
      </c>
      <c r="Q950" s="20" t="s">
        <v>26</v>
      </c>
      <c r="R950" s="20" t="s">
        <v>126</v>
      </c>
      <c r="S950" s="20" t="s">
        <v>32</v>
      </c>
      <c r="T950" s="20" t="s">
        <v>70</v>
      </c>
      <c r="U950" s="20" t="s">
        <v>1714</v>
      </c>
      <c r="V950" s="21"/>
      <c r="W950" s="21">
        <v>46259</v>
      </c>
      <c r="X950" s="20" t="s">
        <v>39</v>
      </c>
      <c r="Y950" s="21">
        <v>46259</v>
      </c>
      <c r="Z950" s="20" t="s">
        <v>39</v>
      </c>
      <c r="AA950" s="17" t="e">
        <f>VLOOKUP(F950,[2]Wait!$H$225:$I$260,2,0)</f>
        <v>#N/A</v>
      </c>
    </row>
    <row r="951" spans="1:27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2519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46267</v>
      </c>
      <c r="J951" s="20" t="s">
        <v>82</v>
      </c>
      <c r="K951" s="20" t="s">
        <v>28</v>
      </c>
      <c r="L951" s="20" t="s">
        <v>2520</v>
      </c>
      <c r="M951" s="20" t="s">
        <v>279</v>
      </c>
      <c r="N951" s="22" t="s">
        <v>250</v>
      </c>
      <c r="O951" s="20" t="s">
        <v>961</v>
      </c>
      <c r="P951" s="20" t="s">
        <v>26</v>
      </c>
      <c r="Q951" s="20" t="s">
        <v>26</v>
      </c>
      <c r="R951" s="20" t="s">
        <v>126</v>
      </c>
      <c r="S951" s="20" t="s">
        <v>32</v>
      </c>
      <c r="T951" s="20" t="s">
        <v>71</v>
      </c>
      <c r="U951" s="20" t="s">
        <v>964</v>
      </c>
      <c r="V951" s="21"/>
      <c r="W951" s="21">
        <v>46267</v>
      </c>
      <c r="X951" s="20" t="s">
        <v>39</v>
      </c>
      <c r="Y951" s="21">
        <v>46267</v>
      </c>
      <c r="Z951" s="20" t="s">
        <v>39</v>
      </c>
      <c r="AA951" s="17" t="e">
        <f>VLOOKUP(F951,[2]Wait!$H$225:$I$260,2,0)</f>
        <v>#N/A</v>
      </c>
    </row>
    <row r="952" spans="1:27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2521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46265</v>
      </c>
      <c r="J952" s="20" t="s">
        <v>36</v>
      </c>
      <c r="K952" s="20" t="s">
        <v>28</v>
      </c>
      <c r="L952" s="20" t="s">
        <v>369</v>
      </c>
      <c r="M952" s="20" t="s">
        <v>279</v>
      </c>
      <c r="N952" s="22" t="s">
        <v>250</v>
      </c>
      <c r="O952" s="20" t="s">
        <v>1070</v>
      </c>
      <c r="P952" s="20" t="s">
        <v>26</v>
      </c>
      <c r="Q952" s="20" t="s">
        <v>26</v>
      </c>
      <c r="R952" s="20" t="s">
        <v>61</v>
      </c>
      <c r="S952" s="20" t="s">
        <v>32</v>
      </c>
      <c r="T952" s="20" t="s">
        <v>71</v>
      </c>
      <c r="U952" s="20" t="s">
        <v>112</v>
      </c>
      <c r="V952" s="21"/>
      <c r="W952" s="21">
        <v>46265</v>
      </c>
      <c r="X952" s="20" t="s">
        <v>39</v>
      </c>
      <c r="Y952" s="21">
        <v>46265</v>
      </c>
      <c r="Z952" s="20" t="s">
        <v>39</v>
      </c>
      <c r="AA952" s="17" t="e">
        <f>VLOOKUP(F952,[2]Wait!$H$225:$I$260,2,0)</f>
        <v>#N/A</v>
      </c>
    </row>
    <row r="953" spans="1:27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2384</v>
      </c>
      <c r="E953" s="20" t="s">
        <v>26</v>
      </c>
      <c r="F953" s="20" t="s">
        <v>3708</v>
      </c>
      <c r="G953" s="20" t="s">
        <v>35</v>
      </c>
      <c r="H953" s="20" t="s">
        <v>26</v>
      </c>
      <c r="I953" s="21">
        <v>46265</v>
      </c>
      <c r="J953" s="20" t="s">
        <v>36</v>
      </c>
      <c r="K953" s="20" t="s">
        <v>28</v>
      </c>
      <c r="L953" s="20" t="s">
        <v>695</v>
      </c>
      <c r="M953" s="20" t="s">
        <v>279</v>
      </c>
      <c r="N953" s="22" t="s">
        <v>250</v>
      </c>
      <c r="O953" s="20" t="s">
        <v>1070</v>
      </c>
      <c r="P953" s="20" t="s">
        <v>41</v>
      </c>
      <c r="Q953" s="20" t="s">
        <v>42</v>
      </c>
      <c r="R953" s="20" t="s">
        <v>77</v>
      </c>
      <c r="S953" s="20" t="s">
        <v>32</v>
      </c>
      <c r="T953" s="20" t="s">
        <v>691</v>
      </c>
      <c r="U953" s="20" t="s">
        <v>696</v>
      </c>
      <c r="V953" s="21"/>
      <c r="W953" s="21">
        <v>46265</v>
      </c>
      <c r="X953" s="20" t="s">
        <v>39</v>
      </c>
      <c r="Y953" s="21">
        <v>46265</v>
      </c>
      <c r="Z953" s="20" t="s">
        <v>39</v>
      </c>
      <c r="AA953" s="17" t="e">
        <f>VLOOKUP(F953,[2]Wait!$H$225:$I$260,2,0)</f>
        <v>#N/A</v>
      </c>
    </row>
    <row r="954" spans="1:27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2522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46269</v>
      </c>
      <c r="J954" s="20" t="s">
        <v>36</v>
      </c>
      <c r="K954" s="20" t="s">
        <v>28</v>
      </c>
      <c r="L954" s="20" t="s">
        <v>2523</v>
      </c>
      <c r="M954" s="20" t="s">
        <v>279</v>
      </c>
      <c r="N954" s="22" t="s">
        <v>250</v>
      </c>
      <c r="O954" s="20" t="s">
        <v>955</v>
      </c>
      <c r="P954" s="20" t="s">
        <v>26</v>
      </c>
      <c r="Q954" s="20" t="s">
        <v>26</v>
      </c>
      <c r="R954" s="20" t="s">
        <v>253</v>
      </c>
      <c r="S954" s="20" t="s">
        <v>32</v>
      </c>
      <c r="T954" s="20" t="s">
        <v>38</v>
      </c>
      <c r="U954" s="20" t="s">
        <v>1936</v>
      </c>
      <c r="V954" s="21"/>
      <c r="W954" s="21">
        <v>46269</v>
      </c>
      <c r="X954" s="20" t="s">
        <v>39</v>
      </c>
      <c r="Y954" s="21">
        <v>46269</v>
      </c>
      <c r="Z954" s="20" t="s">
        <v>39</v>
      </c>
      <c r="AA954" s="17" t="e">
        <f>VLOOKUP(F954,[2]Wait!$H$225:$I$260,2,0)</f>
        <v>#N/A</v>
      </c>
    </row>
    <row r="955" spans="1:27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2524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46279</v>
      </c>
      <c r="J955" s="20" t="s">
        <v>82</v>
      </c>
      <c r="K955" s="20" t="s">
        <v>28</v>
      </c>
      <c r="L955" s="20" t="s">
        <v>787</v>
      </c>
      <c r="M955" s="20" t="s">
        <v>279</v>
      </c>
      <c r="N955" s="22" t="s">
        <v>250</v>
      </c>
      <c r="O955" s="20" t="s">
        <v>939</v>
      </c>
      <c r="P955" s="20" t="s">
        <v>30</v>
      </c>
      <c r="Q955" s="20" t="s">
        <v>31</v>
      </c>
      <c r="R955" s="20" t="s">
        <v>337</v>
      </c>
      <c r="S955" s="20" t="s">
        <v>32</v>
      </c>
      <c r="T955" s="20" t="s">
        <v>204</v>
      </c>
      <c r="U955" s="20" t="s">
        <v>788</v>
      </c>
      <c r="V955" s="21"/>
      <c r="W955" s="21">
        <v>46279</v>
      </c>
      <c r="X955" s="20" t="s">
        <v>39</v>
      </c>
      <c r="Y955" s="21">
        <v>46280</v>
      </c>
      <c r="Z955" s="20" t="s">
        <v>39</v>
      </c>
      <c r="AA955" s="17" t="e">
        <f>VLOOKUP(F955,[2]Wait!$H$225:$I$260,2,0)</f>
        <v>#N/A</v>
      </c>
    </row>
    <row r="956" spans="1:27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2525</v>
      </c>
      <c r="E956" s="20" t="s">
        <v>26</v>
      </c>
      <c r="F956" s="20" t="s">
        <v>3710</v>
      </c>
      <c r="G956" s="20" t="s">
        <v>35</v>
      </c>
      <c r="H956" s="20" t="s">
        <v>26</v>
      </c>
      <c r="I956" s="21">
        <v>46279</v>
      </c>
      <c r="J956" s="20" t="s">
        <v>82</v>
      </c>
      <c r="K956" s="20" t="s">
        <v>59</v>
      </c>
      <c r="L956" s="20" t="s">
        <v>787</v>
      </c>
      <c r="M956" s="20" t="s">
        <v>279</v>
      </c>
      <c r="N956" s="22" t="s">
        <v>250</v>
      </c>
      <c r="O956" s="20" t="s">
        <v>939</v>
      </c>
      <c r="P956" s="20" t="s">
        <v>30</v>
      </c>
      <c r="Q956" s="20" t="s">
        <v>31</v>
      </c>
      <c r="R956" s="20" t="s">
        <v>337</v>
      </c>
      <c r="S956" s="20" t="s">
        <v>32</v>
      </c>
      <c r="T956" s="20" t="s">
        <v>204</v>
      </c>
      <c r="U956" s="20" t="s">
        <v>788</v>
      </c>
      <c r="V956" s="21"/>
      <c r="W956" s="21">
        <v>46279</v>
      </c>
      <c r="X956" s="20" t="s">
        <v>39</v>
      </c>
      <c r="Y956" s="21">
        <v>46280</v>
      </c>
      <c r="Z956" s="20" t="s">
        <v>39</v>
      </c>
      <c r="AA956" s="17" t="e">
        <f>VLOOKUP(F956,[2]Wait!$H$225:$I$260,2,0)</f>
        <v>#N/A</v>
      </c>
    </row>
    <row r="957" spans="1:27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2526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46279</v>
      </c>
      <c r="J957" s="20" t="s">
        <v>82</v>
      </c>
      <c r="K957" s="20" t="s">
        <v>1141</v>
      </c>
      <c r="L957" s="20" t="s">
        <v>787</v>
      </c>
      <c r="M957" s="20" t="s">
        <v>279</v>
      </c>
      <c r="N957" s="22" t="s">
        <v>250</v>
      </c>
      <c r="O957" s="20" t="s">
        <v>939</v>
      </c>
      <c r="P957" s="20" t="s">
        <v>30</v>
      </c>
      <c r="Q957" s="20" t="s">
        <v>31</v>
      </c>
      <c r="R957" s="20" t="s">
        <v>337</v>
      </c>
      <c r="S957" s="20" t="s">
        <v>32</v>
      </c>
      <c r="T957" s="20" t="s">
        <v>204</v>
      </c>
      <c r="U957" s="20" t="s">
        <v>788</v>
      </c>
      <c r="V957" s="21"/>
      <c r="W957" s="21">
        <v>46279</v>
      </c>
      <c r="X957" s="20" t="s">
        <v>39</v>
      </c>
      <c r="Y957" s="21">
        <v>46280</v>
      </c>
      <c r="Z957" s="20" t="s">
        <v>39</v>
      </c>
      <c r="AA957" s="17" t="e">
        <f>VLOOKUP(F957,[2]Wait!$H$225:$I$260,2,0)</f>
        <v>#N/A</v>
      </c>
    </row>
    <row r="958" spans="1:27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2527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46267</v>
      </c>
      <c r="J958" s="20" t="s">
        <v>36</v>
      </c>
      <c r="K958" s="20" t="s">
        <v>28</v>
      </c>
      <c r="L958" s="20" t="s">
        <v>2528</v>
      </c>
      <c r="M958" s="20" t="s">
        <v>279</v>
      </c>
      <c r="N958" s="22" t="s">
        <v>250</v>
      </c>
      <c r="O958" s="20" t="s">
        <v>961</v>
      </c>
      <c r="P958" s="20" t="s">
        <v>30</v>
      </c>
      <c r="Q958" s="20" t="s">
        <v>31</v>
      </c>
      <c r="R958" s="20" t="s">
        <v>135</v>
      </c>
      <c r="S958" s="20" t="s">
        <v>32</v>
      </c>
      <c r="T958" s="20" t="s">
        <v>204</v>
      </c>
      <c r="U958" s="20" t="s">
        <v>2529</v>
      </c>
      <c r="V958" s="21"/>
      <c r="W958" s="21">
        <v>46267</v>
      </c>
      <c r="X958" s="20" t="s">
        <v>39</v>
      </c>
      <c r="Y958" s="21">
        <v>46267</v>
      </c>
      <c r="Z958" s="20" t="s">
        <v>39</v>
      </c>
      <c r="AA958" s="17" t="e">
        <f>VLOOKUP(F958,[2]Wait!$H$225:$I$260,2,0)</f>
        <v>#N/A</v>
      </c>
    </row>
    <row r="959" spans="1:27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2533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46254</v>
      </c>
      <c r="J959" s="20" t="s">
        <v>47</v>
      </c>
      <c r="K959" s="20" t="s">
        <v>28</v>
      </c>
      <c r="L959" s="20" t="s">
        <v>790</v>
      </c>
      <c r="M959" s="20" t="s">
        <v>279</v>
      </c>
      <c r="N959" s="22" t="s">
        <v>250</v>
      </c>
      <c r="O959" s="20" t="s">
        <v>955</v>
      </c>
      <c r="P959" s="20" t="s">
        <v>30</v>
      </c>
      <c r="Q959" s="20" t="s">
        <v>31</v>
      </c>
      <c r="R959" s="20" t="s">
        <v>49</v>
      </c>
      <c r="S959" s="20" t="s">
        <v>32</v>
      </c>
      <c r="T959" s="20" t="s">
        <v>55</v>
      </c>
      <c r="U959" s="20" t="s">
        <v>791</v>
      </c>
      <c r="V959" s="21"/>
      <c r="W959" s="21">
        <v>46254</v>
      </c>
      <c r="X959" s="20" t="s">
        <v>34</v>
      </c>
      <c r="Y959" s="21">
        <v>46254</v>
      </c>
      <c r="Z959" s="20" t="s">
        <v>57</v>
      </c>
      <c r="AA959" s="17" t="e">
        <f>VLOOKUP(F959,[2]Wait!$H$225:$I$260,2,0)</f>
        <v>#N/A</v>
      </c>
    </row>
    <row r="960" spans="1:27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2426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82</v>
      </c>
      <c r="K960" s="20" t="s">
        <v>28</v>
      </c>
      <c r="L960" s="20" t="s">
        <v>752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121</v>
      </c>
      <c r="S960" s="20" t="s">
        <v>32</v>
      </c>
      <c r="T960" s="20" t="s">
        <v>691</v>
      </c>
      <c r="U960" s="20" t="s">
        <v>753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  <c r="AA960" s="17" t="e">
        <f>VLOOKUP(F960,[2]Wait!$H$225:$I$260,2,0)</f>
        <v>#N/A</v>
      </c>
    </row>
    <row r="961" spans="1:27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2534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46259</v>
      </c>
      <c r="J961" s="20" t="s">
        <v>82</v>
      </c>
      <c r="K961" s="20" t="s">
        <v>28</v>
      </c>
      <c r="L961" s="20" t="s">
        <v>2535</v>
      </c>
      <c r="M961" s="20" t="s">
        <v>279</v>
      </c>
      <c r="N961" s="22" t="s">
        <v>250</v>
      </c>
      <c r="O961" s="20" t="s">
        <v>946</v>
      </c>
      <c r="P961" s="20" t="s">
        <v>26</v>
      </c>
      <c r="Q961" s="20" t="s">
        <v>26</v>
      </c>
      <c r="R961" s="20" t="s">
        <v>126</v>
      </c>
      <c r="S961" s="20" t="s">
        <v>32</v>
      </c>
      <c r="T961" s="20" t="s">
        <v>33</v>
      </c>
      <c r="U961" s="20" t="s">
        <v>2536</v>
      </c>
      <c r="V961" s="21"/>
      <c r="W961" s="21">
        <v>46259</v>
      </c>
      <c r="X961" s="20" t="s">
        <v>39</v>
      </c>
      <c r="Y961" s="21">
        <v>46259</v>
      </c>
      <c r="Z961" s="20" t="s">
        <v>39</v>
      </c>
      <c r="AA961" s="17" t="e">
        <f>VLOOKUP(F961,[2]Wait!$H$225:$I$260,2,0)</f>
        <v>#N/A</v>
      </c>
    </row>
    <row r="962" spans="1:27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2537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46265</v>
      </c>
      <c r="J962" s="20" t="s">
        <v>82</v>
      </c>
      <c r="K962" s="20" t="s">
        <v>28</v>
      </c>
      <c r="L962" s="20" t="s">
        <v>2538</v>
      </c>
      <c r="M962" s="20" t="s">
        <v>279</v>
      </c>
      <c r="N962" s="22" t="s">
        <v>250</v>
      </c>
      <c r="O962" s="20" t="s">
        <v>1070</v>
      </c>
      <c r="P962" s="20" t="s">
        <v>26</v>
      </c>
      <c r="Q962" s="20" t="s">
        <v>26</v>
      </c>
      <c r="R962" s="20" t="s">
        <v>126</v>
      </c>
      <c r="S962" s="20" t="s">
        <v>32</v>
      </c>
      <c r="T962" s="20" t="s">
        <v>33</v>
      </c>
      <c r="U962" s="20" t="s">
        <v>2536</v>
      </c>
      <c r="V962" s="21"/>
      <c r="W962" s="21">
        <v>46265</v>
      </c>
      <c r="X962" s="20" t="s">
        <v>39</v>
      </c>
      <c r="Y962" s="21">
        <v>46265</v>
      </c>
      <c r="Z962" s="20" t="s">
        <v>39</v>
      </c>
      <c r="AA962" s="17" t="e">
        <f>VLOOKUP(F962,[2]Wait!$H$225:$I$260,2,0)</f>
        <v>#N/A</v>
      </c>
    </row>
    <row r="963" spans="1:27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2539</v>
      </c>
      <c r="E963" s="20" t="s">
        <v>26</v>
      </c>
      <c r="F963" s="20" t="s">
        <v>3716</v>
      </c>
      <c r="G963" s="20" t="s">
        <v>35</v>
      </c>
      <c r="H963" s="20" t="s">
        <v>26</v>
      </c>
      <c r="I963" s="21">
        <v>46267</v>
      </c>
      <c r="J963" s="20" t="s">
        <v>36</v>
      </c>
      <c r="K963" s="20" t="s">
        <v>28</v>
      </c>
      <c r="L963" s="20" t="s">
        <v>763</v>
      </c>
      <c r="M963" s="20" t="s">
        <v>279</v>
      </c>
      <c r="N963" s="22" t="s">
        <v>250</v>
      </c>
      <c r="O963" s="20" t="s">
        <v>961</v>
      </c>
      <c r="P963" s="20" t="s">
        <v>26</v>
      </c>
      <c r="Q963" s="20" t="s">
        <v>26</v>
      </c>
      <c r="R963" s="20" t="s">
        <v>61</v>
      </c>
      <c r="S963" s="20" t="s">
        <v>32</v>
      </c>
      <c r="T963" s="20" t="s">
        <v>71</v>
      </c>
      <c r="U963" s="20" t="s">
        <v>62</v>
      </c>
      <c r="V963" s="21"/>
      <c r="W963" s="21">
        <v>46267</v>
      </c>
      <c r="X963" s="20" t="s">
        <v>39</v>
      </c>
      <c r="Y963" s="21">
        <v>46267</v>
      </c>
      <c r="Z963" s="20" t="s">
        <v>39</v>
      </c>
      <c r="AA963" s="17" t="e">
        <f>VLOOKUP(F963,[2]Wait!$H$225:$I$260,2,0)</f>
        <v>#N/A</v>
      </c>
    </row>
    <row r="964" spans="1:27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2540</v>
      </c>
      <c r="E964" s="20" t="s">
        <v>26</v>
      </c>
      <c r="F964" s="20" t="s">
        <v>3717</v>
      </c>
      <c r="G964" s="20" t="s">
        <v>35</v>
      </c>
      <c r="H964" s="20" t="s">
        <v>26</v>
      </c>
      <c r="I964" s="21">
        <v>46271</v>
      </c>
      <c r="J964" s="20" t="s">
        <v>82</v>
      </c>
      <c r="K964" s="20" t="s">
        <v>28</v>
      </c>
      <c r="L964" s="20" t="s">
        <v>792</v>
      </c>
      <c r="M964" s="20" t="s">
        <v>279</v>
      </c>
      <c r="N964" s="22" t="s">
        <v>250</v>
      </c>
      <c r="O964" s="20" t="s">
        <v>1176</v>
      </c>
      <c r="P964" s="20" t="s">
        <v>26</v>
      </c>
      <c r="Q964" s="20" t="s">
        <v>26</v>
      </c>
      <c r="R964" s="20" t="s">
        <v>84</v>
      </c>
      <c r="S964" s="20" t="s">
        <v>32</v>
      </c>
      <c r="T964" s="20" t="s">
        <v>70</v>
      </c>
      <c r="U964" s="20" t="s">
        <v>793</v>
      </c>
      <c r="V964" s="21"/>
      <c r="W964" s="21">
        <v>46271</v>
      </c>
      <c r="X964" s="20" t="s">
        <v>39</v>
      </c>
      <c r="Y964" s="21">
        <v>46271</v>
      </c>
      <c r="Z964" s="20" t="s">
        <v>39</v>
      </c>
      <c r="AA964" s="17" t="e">
        <f>VLOOKUP(F964,[2]Wait!$H$225:$I$260,2,0)</f>
        <v>#N/A</v>
      </c>
    </row>
    <row r="965" spans="1:27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2541</v>
      </c>
      <c r="E965" s="20" t="s">
        <v>26</v>
      </c>
      <c r="F965" s="20" t="s">
        <v>3718</v>
      </c>
      <c r="G965" s="20" t="s">
        <v>35</v>
      </c>
      <c r="H965" s="20" t="s">
        <v>26</v>
      </c>
      <c r="I965" s="21">
        <v>46271</v>
      </c>
      <c r="J965" s="20" t="s">
        <v>36</v>
      </c>
      <c r="K965" s="20" t="s">
        <v>28</v>
      </c>
      <c r="L965" s="20" t="s">
        <v>794</v>
      </c>
      <c r="M965" s="20" t="s">
        <v>279</v>
      </c>
      <c r="N965" s="22" t="s">
        <v>250</v>
      </c>
      <c r="O965" s="20" t="s">
        <v>1176</v>
      </c>
      <c r="P965" s="20" t="s">
        <v>26</v>
      </c>
      <c r="Q965" s="20" t="s">
        <v>26</v>
      </c>
      <c r="R965" s="20" t="s">
        <v>61</v>
      </c>
      <c r="S965" s="20" t="s">
        <v>32</v>
      </c>
      <c r="T965" s="20" t="s">
        <v>70</v>
      </c>
      <c r="U965" s="20" t="s">
        <v>795</v>
      </c>
      <c r="V965" s="21"/>
      <c r="W965" s="21">
        <v>46271</v>
      </c>
      <c r="X965" s="20" t="s">
        <v>39</v>
      </c>
      <c r="Y965" s="21">
        <v>46271</v>
      </c>
      <c r="Z965" s="20" t="s">
        <v>39</v>
      </c>
      <c r="AA965" s="17" t="e">
        <f>VLOOKUP(F965,[2]Wait!$H$225:$I$260,2,0)</f>
        <v>#N/A</v>
      </c>
    </row>
    <row r="966" spans="1:27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2630</v>
      </c>
      <c r="E966" s="20" t="s">
        <v>2631</v>
      </c>
      <c r="F966" s="20" t="s">
        <v>2631</v>
      </c>
      <c r="G966" s="20" t="s">
        <v>194</v>
      </c>
      <c r="H966" s="20" t="s">
        <v>26</v>
      </c>
      <c r="I966" s="21">
        <v>46262</v>
      </c>
      <c r="J966" s="20" t="s">
        <v>255</v>
      </c>
      <c r="K966" s="20" t="s">
        <v>28</v>
      </c>
      <c r="L966" s="20" t="s">
        <v>2632</v>
      </c>
      <c r="M966" s="20" t="s">
        <v>279</v>
      </c>
      <c r="N966" s="22" t="s">
        <v>250</v>
      </c>
      <c r="O966" s="20" t="s">
        <v>1044</v>
      </c>
      <c r="P966" s="20" t="s">
        <v>26</v>
      </c>
      <c r="Q966" s="20" t="s">
        <v>26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46262</v>
      </c>
      <c r="X966" s="20" t="s">
        <v>34</v>
      </c>
      <c r="Y966" s="21">
        <v>46262</v>
      </c>
      <c r="Z966" s="20" t="s">
        <v>34</v>
      </c>
      <c r="AA966" s="17" t="e">
        <f>VLOOKUP(F966,[2]Wait!$H$225:$I$260,2,0)</f>
        <v>#N/A</v>
      </c>
    </row>
    <row r="967" spans="1:27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2361</v>
      </c>
      <c r="E967" s="20" t="s">
        <v>2362</v>
      </c>
      <c r="F967" s="20" t="s">
        <v>2362</v>
      </c>
      <c r="G967" s="20" t="s">
        <v>194</v>
      </c>
      <c r="H967" s="20" t="s">
        <v>26</v>
      </c>
      <c r="I967" s="21">
        <v>46262</v>
      </c>
      <c r="J967" s="20" t="s">
        <v>255</v>
      </c>
      <c r="K967" s="20" t="s">
        <v>28</v>
      </c>
      <c r="L967" s="20" t="s">
        <v>2363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255</v>
      </c>
      <c r="T967" s="20" t="s">
        <v>195</v>
      </c>
      <c r="U967" s="20" t="s">
        <v>26</v>
      </c>
      <c r="V967" s="21"/>
      <c r="W967" s="21">
        <v>46262</v>
      </c>
      <c r="X967" s="20" t="s">
        <v>34</v>
      </c>
      <c r="Y967" s="21">
        <v>46262</v>
      </c>
      <c r="Z967" s="20" t="s">
        <v>34</v>
      </c>
      <c r="AA967" s="17" t="e">
        <f>VLOOKUP(F967,[2]Wait!$H$225:$I$260,2,0)</f>
        <v>#N/A</v>
      </c>
    </row>
    <row r="968" spans="1:27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2545</v>
      </c>
      <c r="E968" s="20" t="s">
        <v>2546</v>
      </c>
      <c r="F968" s="20" t="s">
        <v>2546</v>
      </c>
      <c r="G968" s="20" t="s">
        <v>194</v>
      </c>
      <c r="H968" s="20" t="s">
        <v>26</v>
      </c>
      <c r="I968" s="21">
        <v>46258</v>
      </c>
      <c r="J968" s="20" t="s">
        <v>268</v>
      </c>
      <c r="K968" s="20" t="s">
        <v>28</v>
      </c>
      <c r="L968" s="20" t="s">
        <v>2547</v>
      </c>
      <c r="M968" s="20" t="s">
        <v>279</v>
      </c>
      <c r="N968" s="22" t="s">
        <v>250</v>
      </c>
      <c r="O968" s="20" t="s">
        <v>1044</v>
      </c>
      <c r="P968" s="20" t="s">
        <v>257</v>
      </c>
      <c r="Q968" s="20" t="s">
        <v>258</v>
      </c>
      <c r="R968" s="20" t="s">
        <v>26</v>
      </c>
      <c r="S968" s="20" t="s">
        <v>255</v>
      </c>
      <c r="T968" s="20" t="s">
        <v>195</v>
      </c>
      <c r="U968" s="20" t="s">
        <v>26</v>
      </c>
      <c r="V968" s="21"/>
      <c r="W968" s="21">
        <v>46258</v>
      </c>
      <c r="X968" s="20" t="s">
        <v>34</v>
      </c>
      <c r="Y968" s="21">
        <v>46274</v>
      </c>
      <c r="Z968" s="20" t="s">
        <v>57</v>
      </c>
      <c r="AA968" s="17" t="e">
        <f>VLOOKUP(F968,[2]Wait!$H$225:$I$260,2,0)</f>
        <v>#N/A</v>
      </c>
    </row>
    <row r="969" spans="1:27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2548</v>
      </c>
      <c r="E969" s="20" t="s">
        <v>2546</v>
      </c>
      <c r="F969" s="20" t="s">
        <v>2546</v>
      </c>
      <c r="G969" s="20" t="s">
        <v>194</v>
      </c>
      <c r="H969" s="20" t="s">
        <v>26</v>
      </c>
      <c r="I969" s="21">
        <v>46258</v>
      </c>
      <c r="J969" s="20" t="s">
        <v>255</v>
      </c>
      <c r="K969" s="20" t="s">
        <v>58</v>
      </c>
      <c r="L969" s="20" t="s">
        <v>2547</v>
      </c>
      <c r="M969" s="20" t="s">
        <v>279</v>
      </c>
      <c r="N969" s="22" t="s">
        <v>250</v>
      </c>
      <c r="O969" s="20" t="s">
        <v>1044</v>
      </c>
      <c r="P969" s="20" t="s">
        <v>257</v>
      </c>
      <c r="Q969" s="20" t="s">
        <v>258</v>
      </c>
      <c r="R969" s="20" t="s">
        <v>26</v>
      </c>
      <c r="S969" s="20" t="s">
        <v>255</v>
      </c>
      <c r="T969" s="20" t="s">
        <v>195</v>
      </c>
      <c r="U969" s="20" t="s">
        <v>26</v>
      </c>
      <c r="V969" s="21"/>
      <c r="W969" s="21">
        <v>46258</v>
      </c>
      <c r="X969" s="20" t="s">
        <v>34</v>
      </c>
      <c r="Y969" s="21">
        <v>46274</v>
      </c>
      <c r="Z969" s="20" t="s">
        <v>57</v>
      </c>
      <c r="AA969" s="17" t="e">
        <f>VLOOKUP(F969,[2]Wait!$H$225:$I$260,2,0)</f>
        <v>#N/A</v>
      </c>
    </row>
    <row r="970" spans="1:27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2549</v>
      </c>
      <c r="E970" s="20" t="s">
        <v>2550</v>
      </c>
      <c r="F970" s="20" t="s">
        <v>2550</v>
      </c>
      <c r="G970" s="20" t="s">
        <v>194</v>
      </c>
      <c r="H970" s="20" t="s">
        <v>26</v>
      </c>
      <c r="I970" s="21">
        <v>46258</v>
      </c>
      <c r="J970" s="20" t="s">
        <v>82</v>
      </c>
      <c r="K970" s="20" t="s">
        <v>28</v>
      </c>
      <c r="L970" s="20" t="s">
        <v>682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32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46261</v>
      </c>
      <c r="Z970" s="20" t="s">
        <v>226</v>
      </c>
      <c r="AA970" s="17" t="e">
        <f>VLOOKUP(F970,[2]Wait!$H$225:$I$260,2,0)</f>
        <v>#N/A</v>
      </c>
    </row>
    <row r="971" spans="1:27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2295</v>
      </c>
      <c r="E971" s="20" t="s">
        <v>2296</v>
      </c>
      <c r="F971" s="20" t="s">
        <v>2296</v>
      </c>
      <c r="G971" s="20" t="s">
        <v>194</v>
      </c>
      <c r="H971" s="20" t="s">
        <v>26</v>
      </c>
      <c r="I971" s="21">
        <v>46258</v>
      </c>
      <c r="J971" s="20" t="s">
        <v>225</v>
      </c>
      <c r="K971" s="20" t="s">
        <v>28</v>
      </c>
      <c r="L971" s="20" t="s">
        <v>2297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32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  <c r="AA971" s="17" t="e">
        <f>VLOOKUP(F971,[2]Wait!$H$225:$I$260,2,0)</f>
        <v>#N/A</v>
      </c>
    </row>
    <row r="972" spans="1:27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2555</v>
      </c>
      <c r="E972" s="20" t="s">
        <v>2556</v>
      </c>
      <c r="F972" s="20" t="s">
        <v>2556</v>
      </c>
      <c r="G972" s="20" t="s">
        <v>194</v>
      </c>
      <c r="H972" s="20" t="s">
        <v>26</v>
      </c>
      <c r="I972" s="21">
        <v>46272</v>
      </c>
      <c r="J972" s="20" t="s">
        <v>36</v>
      </c>
      <c r="K972" s="20" t="s">
        <v>28</v>
      </c>
      <c r="L972" s="20" t="s">
        <v>2557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46272</v>
      </c>
      <c r="X972" s="20" t="s">
        <v>2558</v>
      </c>
      <c r="Y972" s="21">
        <v>46273</v>
      </c>
      <c r="Z972" s="20" t="s">
        <v>226</v>
      </c>
      <c r="AA972" s="17" t="e">
        <f>VLOOKUP(F972,[2]Wait!$H$225:$I$260,2,0)</f>
        <v>#N/A</v>
      </c>
    </row>
    <row r="973" spans="1:27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2559</v>
      </c>
      <c r="E973" s="20" t="s">
        <v>2560</v>
      </c>
      <c r="F973" s="20" t="s">
        <v>2560</v>
      </c>
      <c r="G973" s="20" t="s">
        <v>194</v>
      </c>
      <c r="H973" s="20" t="s">
        <v>26</v>
      </c>
      <c r="I973" s="21">
        <v>46272</v>
      </c>
      <c r="J973" s="20" t="s">
        <v>36</v>
      </c>
      <c r="K973" s="20" t="s">
        <v>28</v>
      </c>
      <c r="L973" s="20" t="s">
        <v>2561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46272</v>
      </c>
      <c r="X973" s="20" t="s">
        <v>2562</v>
      </c>
      <c r="Y973" s="21">
        <v>46273</v>
      </c>
      <c r="Z973" s="20" t="s">
        <v>226</v>
      </c>
      <c r="AA973" s="17" t="e">
        <f>VLOOKUP(F973,[2]Wait!$H$225:$I$260,2,0)</f>
        <v>#N/A</v>
      </c>
    </row>
    <row r="974" spans="1:27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2563</v>
      </c>
      <c r="E974" s="20" t="s">
        <v>2564</v>
      </c>
      <c r="F974" s="20" t="s">
        <v>2564</v>
      </c>
      <c r="G974" s="20" t="s">
        <v>194</v>
      </c>
      <c r="H974" s="20" t="s">
        <v>26</v>
      </c>
      <c r="I974" s="21">
        <v>46258</v>
      </c>
      <c r="J974" s="20" t="s">
        <v>225</v>
      </c>
      <c r="K974" s="20" t="s">
        <v>28</v>
      </c>
      <c r="L974" s="20" t="s">
        <v>2565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63</v>
      </c>
      <c r="T974" s="20" t="s">
        <v>195</v>
      </c>
      <c r="U974" s="20" t="s">
        <v>26</v>
      </c>
      <c r="V974" s="21"/>
      <c r="W974" s="21">
        <v>46258</v>
      </c>
      <c r="X974" s="20" t="s">
        <v>34</v>
      </c>
      <c r="Y974" s="21">
        <v>46274</v>
      </c>
      <c r="Z974" s="20" t="s">
        <v>57</v>
      </c>
      <c r="AA974" s="17" t="e">
        <f>VLOOKUP(F974,[2]Wait!$H$225:$I$260,2,0)</f>
        <v>#N/A</v>
      </c>
    </row>
    <row r="975" spans="1:27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2566</v>
      </c>
      <c r="E975" s="20" t="s">
        <v>2564</v>
      </c>
      <c r="F975" s="20" t="s">
        <v>2564</v>
      </c>
      <c r="G975" s="20" t="s">
        <v>194</v>
      </c>
      <c r="H975" s="20" t="s">
        <v>26</v>
      </c>
      <c r="I975" s="21">
        <v>46258</v>
      </c>
      <c r="J975" s="20" t="s">
        <v>683</v>
      </c>
      <c r="K975" s="20" t="s">
        <v>58</v>
      </c>
      <c r="L975" s="20" t="s">
        <v>2565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63</v>
      </c>
      <c r="T975" s="20" t="s">
        <v>195</v>
      </c>
      <c r="U975" s="20" t="s">
        <v>26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  <c r="AA975" s="17" t="e">
        <f>VLOOKUP(F975,[2]Wait!$H$225:$I$260,2,0)</f>
        <v>#N/A</v>
      </c>
    </row>
    <row r="976" spans="1:27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2567</v>
      </c>
      <c r="E976" s="20" t="s">
        <v>2568</v>
      </c>
      <c r="F976" s="20" t="s">
        <v>2568</v>
      </c>
      <c r="G976" s="20" t="s">
        <v>194</v>
      </c>
      <c r="H976" s="20" t="s">
        <v>26</v>
      </c>
      <c r="I976" s="21">
        <v>46258</v>
      </c>
      <c r="J976" s="20" t="s">
        <v>36</v>
      </c>
      <c r="K976" s="20" t="s">
        <v>28</v>
      </c>
      <c r="L976" s="20" t="s">
        <v>2569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63</v>
      </c>
      <c r="T976" s="20" t="s">
        <v>195</v>
      </c>
      <c r="U976" s="20" t="s">
        <v>26</v>
      </c>
      <c r="V976" s="21"/>
      <c r="W976" s="21">
        <v>46258</v>
      </c>
      <c r="X976" s="20" t="s">
        <v>34</v>
      </c>
      <c r="Y976" s="21">
        <v>46274</v>
      </c>
      <c r="Z976" s="20" t="s">
        <v>57</v>
      </c>
      <c r="AA976" s="17" t="e">
        <f>VLOOKUP(F976,[2]Wait!$H$225:$I$260,2,0)</f>
        <v>#N/A</v>
      </c>
    </row>
    <row r="977" spans="1:27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2570</v>
      </c>
      <c r="E977" s="20" t="s">
        <v>2571</v>
      </c>
      <c r="F977" s="20" t="s">
        <v>2571</v>
      </c>
      <c r="G977" s="20" t="s">
        <v>194</v>
      </c>
      <c r="H977" s="20" t="s">
        <v>26</v>
      </c>
      <c r="I977" s="21">
        <v>46258</v>
      </c>
      <c r="J977" s="20" t="s">
        <v>27</v>
      </c>
      <c r="K977" s="20" t="s">
        <v>28</v>
      </c>
      <c r="L977" s="20" t="s">
        <v>2572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46258</v>
      </c>
      <c r="X977" s="20" t="s">
        <v>34</v>
      </c>
      <c r="Y977" s="21">
        <v>46274</v>
      </c>
      <c r="Z977" s="20" t="s">
        <v>57</v>
      </c>
      <c r="AA977" s="17" t="e">
        <f>VLOOKUP(F977,[2]Wait!$H$225:$I$260,2,0)</f>
        <v>#N/A</v>
      </c>
    </row>
    <row r="978" spans="1:27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2339</v>
      </c>
      <c r="E978" s="20" t="s">
        <v>2340</v>
      </c>
      <c r="F978" s="20" t="s">
        <v>2340</v>
      </c>
      <c r="G978" s="20" t="s">
        <v>194</v>
      </c>
      <c r="H978" s="20" t="s">
        <v>26</v>
      </c>
      <c r="I978" s="21">
        <v>46278</v>
      </c>
      <c r="J978" s="20" t="s">
        <v>36</v>
      </c>
      <c r="K978" s="20" t="s">
        <v>28</v>
      </c>
      <c r="L978" s="20" t="s">
        <v>2341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32</v>
      </c>
      <c r="T978" s="20" t="s">
        <v>195</v>
      </c>
      <c r="U978" s="20" t="s">
        <v>26</v>
      </c>
      <c r="V978" s="21"/>
      <c r="W978" s="21">
        <v>46278</v>
      </c>
      <c r="X978" s="20" t="s">
        <v>2342</v>
      </c>
      <c r="Y978" s="21">
        <v>46278</v>
      </c>
      <c r="Z978" s="20" t="s">
        <v>226</v>
      </c>
      <c r="AA978" s="17" t="e">
        <f>VLOOKUP(F978,[2]Wait!$H$225:$I$260,2,0)</f>
        <v>#N/A</v>
      </c>
    </row>
    <row r="979" spans="1:27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2343</v>
      </c>
      <c r="E979" s="20" t="s">
        <v>2340</v>
      </c>
      <c r="F979" s="20" t="s">
        <v>2340</v>
      </c>
      <c r="G979" s="20" t="s">
        <v>194</v>
      </c>
      <c r="H979" s="20" t="s">
        <v>26</v>
      </c>
      <c r="I979" s="21">
        <v>46278</v>
      </c>
      <c r="J979" s="20" t="s">
        <v>27</v>
      </c>
      <c r="K979" s="20" t="s">
        <v>58</v>
      </c>
      <c r="L979" s="20" t="s">
        <v>2341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32</v>
      </c>
      <c r="T979" s="20" t="s">
        <v>195</v>
      </c>
      <c r="U979" s="20" t="s">
        <v>26</v>
      </c>
      <c r="V979" s="21"/>
      <c r="W979" s="21">
        <v>46278</v>
      </c>
      <c r="X979" s="20" t="s">
        <v>2342</v>
      </c>
      <c r="Y979" s="21">
        <v>46278</v>
      </c>
      <c r="Z979" s="20" t="s">
        <v>226</v>
      </c>
      <c r="AA979" s="17" t="e">
        <f>VLOOKUP(F979,[2]Wait!$H$225:$I$260,2,0)</f>
        <v>#N/A</v>
      </c>
    </row>
    <row r="980" spans="1:27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2344</v>
      </c>
      <c r="E980" s="20" t="s">
        <v>2340</v>
      </c>
      <c r="F980" s="20" t="s">
        <v>2340</v>
      </c>
      <c r="G980" s="20" t="s">
        <v>194</v>
      </c>
      <c r="H980" s="20" t="s">
        <v>26</v>
      </c>
      <c r="I980" s="21">
        <v>46278</v>
      </c>
      <c r="J980" s="20" t="s">
        <v>36</v>
      </c>
      <c r="K980" s="20" t="s">
        <v>59</v>
      </c>
      <c r="L980" s="20" t="s">
        <v>2341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32</v>
      </c>
      <c r="T980" s="20" t="s">
        <v>195</v>
      </c>
      <c r="U980" s="20" t="s">
        <v>26</v>
      </c>
      <c r="V980" s="21"/>
      <c r="W980" s="21">
        <v>46278</v>
      </c>
      <c r="X980" s="20" t="s">
        <v>2342</v>
      </c>
      <c r="Y980" s="21">
        <v>46278</v>
      </c>
      <c r="Z980" s="20" t="s">
        <v>226</v>
      </c>
      <c r="AA980" s="17" t="e">
        <f>VLOOKUP(F980,[2]Wait!$H$225:$I$260,2,0)</f>
        <v>#N/A</v>
      </c>
    </row>
    <row r="981" spans="1:27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2947</v>
      </c>
      <c r="E981" s="20" t="s">
        <v>2948</v>
      </c>
      <c r="F981" s="20" t="s">
        <v>2948</v>
      </c>
      <c r="G981" s="20" t="s">
        <v>194</v>
      </c>
      <c r="H981" s="20" t="s">
        <v>26</v>
      </c>
      <c r="I981" s="21">
        <v>46288</v>
      </c>
      <c r="J981" s="20" t="s">
        <v>683</v>
      </c>
      <c r="K981" s="20" t="s">
        <v>28</v>
      </c>
      <c r="L981" s="20" t="s">
        <v>2949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63</v>
      </c>
      <c r="T981" s="20" t="s">
        <v>195</v>
      </c>
      <c r="U981" s="20" t="s">
        <v>26</v>
      </c>
      <c r="V981" s="21"/>
      <c r="W981" s="21">
        <v>46288</v>
      </c>
      <c r="X981" s="20" t="s">
        <v>2950</v>
      </c>
      <c r="Y981" s="21">
        <v>46289</v>
      </c>
      <c r="Z981" s="20" t="s">
        <v>226</v>
      </c>
      <c r="AA981" s="17" t="e">
        <f>VLOOKUP(F981,[2]Wait!$H$225:$I$260,2,0)</f>
        <v>#N/A</v>
      </c>
    </row>
    <row r="982" spans="1:27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2990</v>
      </c>
      <c r="E982" s="20" t="s">
        <v>2991</v>
      </c>
      <c r="F982" s="20" t="s">
        <v>2991</v>
      </c>
      <c r="G982" s="20" t="s">
        <v>194</v>
      </c>
      <c r="H982" s="20" t="s">
        <v>26</v>
      </c>
      <c r="I982" s="21">
        <v>46258</v>
      </c>
      <c r="J982" s="20" t="s">
        <v>36</v>
      </c>
      <c r="K982" s="20" t="s">
        <v>28</v>
      </c>
      <c r="L982" s="20" t="s">
        <v>2992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63</v>
      </c>
      <c r="T982" s="20" t="s">
        <v>195</v>
      </c>
      <c r="U982" s="20" t="s">
        <v>26</v>
      </c>
      <c r="V982" s="21"/>
      <c r="W982" s="21">
        <v>46258</v>
      </c>
      <c r="X982" s="20" t="s">
        <v>34</v>
      </c>
      <c r="Y982" s="21">
        <v>46274</v>
      </c>
      <c r="Z982" s="20" t="s">
        <v>57</v>
      </c>
      <c r="AA982" s="17" t="e">
        <f>VLOOKUP(F982,[2]Wait!$H$225:$I$260,2,0)</f>
        <v>#N/A</v>
      </c>
    </row>
    <row r="983" spans="1:27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2583</v>
      </c>
      <c r="E983" s="20" t="s">
        <v>2584</v>
      </c>
      <c r="F983" s="20" t="s">
        <v>2584</v>
      </c>
      <c r="G983" s="20" t="s">
        <v>194</v>
      </c>
      <c r="H983" s="20" t="s">
        <v>26</v>
      </c>
      <c r="I983" s="21">
        <v>46262</v>
      </c>
      <c r="J983" s="20" t="s">
        <v>255</v>
      </c>
      <c r="K983" s="20" t="s">
        <v>28</v>
      </c>
      <c r="L983" s="20" t="s">
        <v>2585</v>
      </c>
      <c r="M983" s="20" t="s">
        <v>2586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255</v>
      </c>
      <c r="T983" s="20" t="s">
        <v>195</v>
      </c>
      <c r="U983" s="20" t="s">
        <v>26</v>
      </c>
      <c r="V983" s="21"/>
      <c r="W983" s="21">
        <v>46262</v>
      </c>
      <c r="X983" s="20" t="s">
        <v>34</v>
      </c>
      <c r="Y983" s="21">
        <v>46262</v>
      </c>
      <c r="Z983" s="20" t="s">
        <v>34</v>
      </c>
      <c r="AA983" s="17" t="e">
        <f>VLOOKUP(F983,[2]Wait!$H$225:$I$260,2,0)</f>
        <v>#N/A</v>
      </c>
    </row>
    <row r="984" spans="1:27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2587</v>
      </c>
      <c r="E984" s="20" t="s">
        <v>2588</v>
      </c>
      <c r="F984" s="20" t="s">
        <v>2588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2589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  <c r="AA984" s="17" t="e">
        <f>VLOOKUP(F984,[2]Wait!$H$225:$I$260,2,0)</f>
        <v>#N/A</v>
      </c>
    </row>
    <row r="985" spans="1:27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2951</v>
      </c>
      <c r="E985" s="20" t="s">
        <v>2952</v>
      </c>
      <c r="F985" s="20" t="s">
        <v>2952</v>
      </c>
      <c r="G985" s="20" t="s">
        <v>194</v>
      </c>
      <c r="H985" s="20" t="s">
        <v>26</v>
      </c>
      <c r="I985" s="21">
        <v>46286</v>
      </c>
      <c r="J985" s="20" t="s">
        <v>32</v>
      </c>
      <c r="K985" s="20" t="s">
        <v>28</v>
      </c>
      <c r="L985" s="20" t="s">
        <v>2953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32</v>
      </c>
      <c r="T985" s="20" t="s">
        <v>195</v>
      </c>
      <c r="U985" s="20" t="s">
        <v>26</v>
      </c>
      <c r="V985" s="21"/>
      <c r="W985" s="21">
        <v>46286</v>
      </c>
      <c r="X985" s="20" t="s">
        <v>34</v>
      </c>
      <c r="Y985" s="21">
        <v>46286</v>
      </c>
      <c r="Z985" s="20" t="s">
        <v>34</v>
      </c>
      <c r="AA985" s="17" t="e">
        <f>VLOOKUP(F985,[2]Wait!$H$225:$I$260,2,0)</f>
        <v>#N/A</v>
      </c>
    </row>
    <row r="986" spans="1:27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2590</v>
      </c>
      <c r="E986" s="20" t="s">
        <v>2591</v>
      </c>
      <c r="F986" s="20" t="s">
        <v>3719</v>
      </c>
      <c r="G986" s="20" t="s">
        <v>25</v>
      </c>
      <c r="H986" s="20" t="s">
        <v>26</v>
      </c>
      <c r="I986" s="21">
        <v>46256</v>
      </c>
      <c r="J986" s="20" t="s">
        <v>2592</v>
      </c>
      <c r="K986" s="20" t="s">
        <v>28</v>
      </c>
      <c r="L986" s="20" t="s">
        <v>2593</v>
      </c>
      <c r="M986" s="20" t="s">
        <v>796</v>
      </c>
      <c r="N986" s="22" t="s">
        <v>250</v>
      </c>
      <c r="O986" s="20" t="s">
        <v>932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66</v>
      </c>
      <c r="U986" s="20" t="s">
        <v>2594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  <c r="AA986" s="17" t="e">
        <f>VLOOKUP(F986,[2]Wait!$H$225:$I$260,2,0)</f>
        <v>#N/A</v>
      </c>
    </row>
    <row r="987" spans="1:27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2595</v>
      </c>
      <c r="E987" s="20" t="s">
        <v>2591</v>
      </c>
      <c r="F987" s="20" t="s">
        <v>3719</v>
      </c>
      <c r="G987" s="20" t="s">
        <v>25</v>
      </c>
      <c r="H987" s="20" t="s">
        <v>26</v>
      </c>
      <c r="I987" s="21">
        <v>46256</v>
      </c>
      <c r="J987" s="20" t="s">
        <v>27</v>
      </c>
      <c r="K987" s="20" t="s">
        <v>58</v>
      </c>
      <c r="L987" s="20" t="s">
        <v>2593</v>
      </c>
      <c r="M987" s="20" t="s">
        <v>796</v>
      </c>
      <c r="N987" s="22" t="s">
        <v>250</v>
      </c>
      <c r="O987" s="20" t="s">
        <v>932</v>
      </c>
      <c r="P987" s="20" t="s">
        <v>148</v>
      </c>
      <c r="Q987" s="20" t="s">
        <v>149</v>
      </c>
      <c r="R987" s="20" t="s">
        <v>26</v>
      </c>
      <c r="S987" s="20" t="s">
        <v>32</v>
      </c>
      <c r="T987" s="20" t="s">
        <v>66</v>
      </c>
      <c r="U987" s="20" t="s">
        <v>2594</v>
      </c>
      <c r="V987" s="21"/>
      <c r="W987" s="21">
        <v>46256</v>
      </c>
      <c r="X987" s="20" t="s">
        <v>34</v>
      </c>
      <c r="Y987" s="21">
        <v>46267</v>
      </c>
      <c r="Z987" s="20" t="s">
        <v>34</v>
      </c>
      <c r="AA987" s="17" t="e">
        <f>VLOOKUP(F987,[2]Wait!$H$225:$I$260,2,0)</f>
        <v>#N/A</v>
      </c>
    </row>
    <row r="988" spans="1:27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2596</v>
      </c>
      <c r="E988" s="20" t="s">
        <v>2591</v>
      </c>
      <c r="F988" s="20" t="s">
        <v>3719</v>
      </c>
      <c r="G988" s="20" t="s">
        <v>25</v>
      </c>
      <c r="H988" s="20" t="s">
        <v>26</v>
      </c>
      <c r="I988" s="21">
        <v>46256</v>
      </c>
      <c r="J988" s="20" t="s">
        <v>683</v>
      </c>
      <c r="K988" s="20" t="s">
        <v>59</v>
      </c>
      <c r="L988" s="20" t="s">
        <v>2593</v>
      </c>
      <c r="M988" s="20" t="s">
        <v>796</v>
      </c>
      <c r="N988" s="22" t="s">
        <v>250</v>
      </c>
      <c r="O988" s="20" t="s">
        <v>932</v>
      </c>
      <c r="P988" s="20" t="s">
        <v>148</v>
      </c>
      <c r="Q988" s="20" t="s">
        <v>149</v>
      </c>
      <c r="R988" s="20" t="s">
        <v>26</v>
      </c>
      <c r="S988" s="20" t="s">
        <v>32</v>
      </c>
      <c r="T988" s="20" t="s">
        <v>66</v>
      </c>
      <c r="U988" s="20" t="s">
        <v>2594</v>
      </c>
      <c r="V988" s="21"/>
      <c r="W988" s="21">
        <v>46256</v>
      </c>
      <c r="X988" s="20" t="s">
        <v>34</v>
      </c>
      <c r="Y988" s="21">
        <v>46267</v>
      </c>
      <c r="Z988" s="20" t="s">
        <v>34</v>
      </c>
      <c r="AA988" s="17" t="e">
        <f>VLOOKUP(F988,[2]Wait!$H$225:$I$260,2,0)</f>
        <v>#N/A</v>
      </c>
    </row>
    <row r="989" spans="1:27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2597</v>
      </c>
      <c r="E989" s="20" t="s">
        <v>2598</v>
      </c>
      <c r="F989" s="20" t="s">
        <v>3720</v>
      </c>
      <c r="G989" s="20" t="s">
        <v>273</v>
      </c>
      <c r="H989" s="20" t="s">
        <v>26</v>
      </c>
      <c r="I989" s="21">
        <v>46256</v>
      </c>
      <c r="J989" s="20" t="s">
        <v>82</v>
      </c>
      <c r="K989" s="20" t="s">
        <v>28</v>
      </c>
      <c r="L989" s="20" t="s">
        <v>2599</v>
      </c>
      <c r="M989" s="20" t="s">
        <v>261</v>
      </c>
      <c r="N989" s="22" t="s">
        <v>250</v>
      </c>
      <c r="O989" s="20" t="s">
        <v>1193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281</v>
      </c>
      <c r="U989" s="20" t="s">
        <v>2600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  <c r="AA989" s="17" t="e">
        <f>VLOOKUP(F989,[2]Wait!$H$225:$I$260,2,0)</f>
        <v>#N/A</v>
      </c>
    </row>
    <row r="990" spans="1:27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2607</v>
      </c>
      <c r="E990" s="20" t="s">
        <v>2608</v>
      </c>
      <c r="F990" s="20" t="s">
        <v>3721</v>
      </c>
      <c r="G990" s="20" t="s">
        <v>273</v>
      </c>
      <c r="H990" s="20" t="s">
        <v>26</v>
      </c>
      <c r="I990" s="21">
        <v>46256</v>
      </c>
      <c r="J990" s="20" t="s">
        <v>36</v>
      </c>
      <c r="K990" s="20" t="s">
        <v>28</v>
      </c>
      <c r="L990" s="20" t="s">
        <v>2609</v>
      </c>
      <c r="M990" s="20" t="s">
        <v>261</v>
      </c>
      <c r="N990" s="22" t="s">
        <v>250</v>
      </c>
      <c r="O990" s="20" t="s">
        <v>932</v>
      </c>
      <c r="P990" s="20" t="s">
        <v>30</v>
      </c>
      <c r="Q990" s="20" t="s">
        <v>31</v>
      </c>
      <c r="R990" s="20" t="s">
        <v>26</v>
      </c>
      <c r="S990" s="20" t="s">
        <v>32</v>
      </c>
      <c r="T990" s="20" t="s">
        <v>685</v>
      </c>
      <c r="U990" s="20" t="s">
        <v>2610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  <c r="AA990" s="17" t="e">
        <f>VLOOKUP(F990,[2]Wait!$H$225:$I$260,2,0)</f>
        <v>#N/A</v>
      </c>
    </row>
    <row r="991" spans="1:27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2611</v>
      </c>
      <c r="E991" s="20" t="s">
        <v>2608</v>
      </c>
      <c r="F991" s="20" t="s">
        <v>3721</v>
      </c>
      <c r="G991" s="20" t="s">
        <v>273</v>
      </c>
      <c r="H991" s="20" t="s">
        <v>26</v>
      </c>
      <c r="I991" s="21">
        <v>46256</v>
      </c>
      <c r="J991" s="20" t="s">
        <v>27</v>
      </c>
      <c r="K991" s="20" t="s">
        <v>58</v>
      </c>
      <c r="L991" s="20" t="s">
        <v>2609</v>
      </c>
      <c r="M991" s="20" t="s">
        <v>261</v>
      </c>
      <c r="N991" s="22" t="s">
        <v>250</v>
      </c>
      <c r="O991" s="20" t="s">
        <v>932</v>
      </c>
      <c r="P991" s="20" t="s">
        <v>30</v>
      </c>
      <c r="Q991" s="20" t="s">
        <v>31</v>
      </c>
      <c r="R991" s="20" t="s">
        <v>26</v>
      </c>
      <c r="S991" s="20" t="s">
        <v>32</v>
      </c>
      <c r="T991" s="20" t="s">
        <v>685</v>
      </c>
      <c r="U991" s="20" t="s">
        <v>2610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  <c r="AA991" s="17" t="e">
        <f>VLOOKUP(F991,[2]Wait!$H$225:$I$260,2,0)</f>
        <v>#N/A</v>
      </c>
    </row>
    <row r="992" spans="1:27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2612</v>
      </c>
      <c r="E992" s="20" t="s">
        <v>2608</v>
      </c>
      <c r="F992" s="20" t="s">
        <v>3721</v>
      </c>
      <c r="G992" s="20" t="s">
        <v>273</v>
      </c>
      <c r="H992" s="20" t="s">
        <v>26</v>
      </c>
      <c r="I992" s="21">
        <v>46256</v>
      </c>
      <c r="J992" s="20" t="s">
        <v>110</v>
      </c>
      <c r="K992" s="20" t="s">
        <v>59</v>
      </c>
      <c r="L992" s="20" t="s">
        <v>2609</v>
      </c>
      <c r="M992" s="20" t="s">
        <v>261</v>
      </c>
      <c r="N992" s="22" t="s">
        <v>250</v>
      </c>
      <c r="O992" s="20" t="s">
        <v>932</v>
      </c>
      <c r="P992" s="20" t="s">
        <v>30</v>
      </c>
      <c r="Q992" s="20" t="s">
        <v>31</v>
      </c>
      <c r="R992" s="20" t="s">
        <v>26</v>
      </c>
      <c r="S992" s="20" t="s">
        <v>32</v>
      </c>
      <c r="T992" s="20" t="s">
        <v>685</v>
      </c>
      <c r="U992" s="20" t="s">
        <v>2610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  <c r="AA992" s="17" t="e">
        <f>VLOOKUP(F992,[2]Wait!$H$225:$I$260,2,0)</f>
        <v>#N/A</v>
      </c>
    </row>
    <row r="993" spans="1:27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2613</v>
      </c>
      <c r="E993" s="20" t="s">
        <v>2608</v>
      </c>
      <c r="F993" s="20" t="s">
        <v>3721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684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  <c r="AA993" s="17" t="e">
        <f>VLOOKUP(F993,[2]Wait!$H$225:$I$260,2,0)</f>
        <v>#N/A</v>
      </c>
    </row>
    <row r="994" spans="1:27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2614</v>
      </c>
      <c r="E994" s="20" t="s">
        <v>26</v>
      </c>
      <c r="F994" s="20" t="s">
        <v>3722</v>
      </c>
      <c r="G994" s="20" t="s">
        <v>35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797</v>
      </c>
      <c r="M994" s="20" t="s">
        <v>261</v>
      </c>
      <c r="N994" s="22" t="s">
        <v>250</v>
      </c>
      <c r="O994" s="20" t="s">
        <v>991</v>
      </c>
      <c r="P994" s="20" t="s">
        <v>26</v>
      </c>
      <c r="Q994" s="20" t="s">
        <v>26</v>
      </c>
      <c r="R994" s="20" t="s">
        <v>61</v>
      </c>
      <c r="S994" s="20" t="s">
        <v>32</v>
      </c>
      <c r="T994" s="20" t="s">
        <v>107</v>
      </c>
      <c r="U994" s="20" t="s">
        <v>798</v>
      </c>
      <c r="V994" s="21"/>
      <c r="W994" s="21">
        <v>46258</v>
      </c>
      <c r="X994" s="20" t="s">
        <v>39</v>
      </c>
      <c r="Y994" s="21">
        <v>46258</v>
      </c>
      <c r="Z994" s="20" t="s">
        <v>39</v>
      </c>
      <c r="AA994" s="17" t="e">
        <f>VLOOKUP(F994,[2]Wait!$H$225:$I$260,2,0)</f>
        <v>#N/A</v>
      </c>
    </row>
    <row r="995" spans="1:27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2615</v>
      </c>
      <c r="E995" s="20" t="s">
        <v>26</v>
      </c>
      <c r="F995" s="20" t="s">
        <v>3723</v>
      </c>
      <c r="G995" s="20" t="s">
        <v>35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799</v>
      </c>
      <c r="M995" s="20" t="s">
        <v>261</v>
      </c>
      <c r="N995" s="22" t="s">
        <v>250</v>
      </c>
      <c r="O995" s="20" t="s">
        <v>991</v>
      </c>
      <c r="P995" s="20" t="s">
        <v>41</v>
      </c>
      <c r="Q995" s="20" t="s">
        <v>42</v>
      </c>
      <c r="R995" s="20" t="s">
        <v>61</v>
      </c>
      <c r="S995" s="20" t="s">
        <v>32</v>
      </c>
      <c r="T995" s="20" t="s">
        <v>107</v>
      </c>
      <c r="U995" s="20" t="s">
        <v>798</v>
      </c>
      <c r="V995" s="21"/>
      <c r="W995" s="21">
        <v>46258</v>
      </c>
      <c r="X995" s="20" t="s">
        <v>39</v>
      </c>
      <c r="Y995" s="21">
        <v>46258</v>
      </c>
      <c r="Z995" s="20" t="s">
        <v>39</v>
      </c>
      <c r="AA995" s="17" t="e">
        <f>VLOOKUP(F995,[2]Wait!$H$225:$I$260,2,0)</f>
        <v>#N/A</v>
      </c>
    </row>
    <row r="996" spans="1:27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2618</v>
      </c>
      <c r="E996" s="20" t="s">
        <v>26</v>
      </c>
      <c r="F996" s="20" t="s">
        <v>3724</v>
      </c>
      <c r="G996" s="20" t="s">
        <v>35</v>
      </c>
      <c r="H996" s="20" t="s">
        <v>26</v>
      </c>
      <c r="I996" s="21">
        <v>46261</v>
      </c>
      <c r="J996" s="20" t="s">
        <v>110</v>
      </c>
      <c r="K996" s="20" t="s">
        <v>28</v>
      </c>
      <c r="L996" s="20" t="s">
        <v>2619</v>
      </c>
      <c r="M996" s="20" t="s">
        <v>261</v>
      </c>
      <c r="N996" s="22" t="s">
        <v>250</v>
      </c>
      <c r="O996" s="20" t="s">
        <v>939</v>
      </c>
      <c r="P996" s="20" t="s">
        <v>30</v>
      </c>
      <c r="Q996" s="20" t="s">
        <v>31</v>
      </c>
      <c r="R996" s="20" t="s">
        <v>61</v>
      </c>
      <c r="S996" s="20" t="s">
        <v>32</v>
      </c>
      <c r="T996" s="20" t="s">
        <v>113</v>
      </c>
      <c r="U996" s="20" t="s">
        <v>2620</v>
      </c>
      <c r="V996" s="21"/>
      <c r="W996" s="21">
        <v>46261</v>
      </c>
      <c r="X996" s="20" t="s">
        <v>39</v>
      </c>
      <c r="Y996" s="21">
        <v>46261</v>
      </c>
      <c r="Z996" s="20" t="s">
        <v>39</v>
      </c>
      <c r="AA996" s="17" t="e">
        <f>VLOOKUP(F996,[2]Wait!$H$225:$I$260,2,0)</f>
        <v>#N/A</v>
      </c>
    </row>
    <row r="997" spans="1:27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2621</v>
      </c>
      <c r="E997" s="20" t="s">
        <v>26</v>
      </c>
      <c r="F997" s="20" t="s">
        <v>3725</v>
      </c>
      <c r="G997" s="20" t="s">
        <v>35</v>
      </c>
      <c r="H997" s="20" t="s">
        <v>26</v>
      </c>
      <c r="I997" s="21">
        <v>46254</v>
      </c>
      <c r="J997" s="20" t="s">
        <v>36</v>
      </c>
      <c r="K997" s="20" t="s">
        <v>28</v>
      </c>
      <c r="L997" s="20" t="s">
        <v>803</v>
      </c>
      <c r="M997" s="20" t="s">
        <v>261</v>
      </c>
      <c r="N997" s="22" t="s">
        <v>250</v>
      </c>
      <c r="O997" s="20" t="s">
        <v>949</v>
      </c>
      <c r="P997" s="20" t="s">
        <v>41</v>
      </c>
      <c r="Q997" s="20" t="s">
        <v>42</v>
      </c>
      <c r="R997" s="20" t="s">
        <v>37</v>
      </c>
      <c r="S997" s="20" t="s">
        <v>32</v>
      </c>
      <c r="T997" s="20" t="s">
        <v>78</v>
      </c>
      <c r="U997" s="20" t="s">
        <v>804</v>
      </c>
      <c r="V997" s="21"/>
      <c r="W997" s="21">
        <v>46254</v>
      </c>
      <c r="X997" s="20" t="s">
        <v>34</v>
      </c>
      <c r="Y997" s="21">
        <v>46254</v>
      </c>
      <c r="Z997" s="20" t="s">
        <v>57</v>
      </c>
      <c r="AA997" s="17" t="e">
        <f>VLOOKUP(F997,[2]Wait!$H$225:$I$260,2,0)</f>
        <v>#N/A</v>
      </c>
    </row>
    <row r="998" spans="1:27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2622</v>
      </c>
      <c r="E998" s="20" t="s">
        <v>26</v>
      </c>
      <c r="F998" s="20" t="s">
        <v>3725</v>
      </c>
      <c r="G998" s="20" t="s">
        <v>35</v>
      </c>
      <c r="H998" s="20" t="s">
        <v>26</v>
      </c>
      <c r="I998" s="21">
        <v>46254</v>
      </c>
      <c r="J998" s="20" t="s">
        <v>36</v>
      </c>
      <c r="K998" s="20" t="s">
        <v>58</v>
      </c>
      <c r="L998" s="20" t="s">
        <v>803</v>
      </c>
      <c r="M998" s="20" t="s">
        <v>261</v>
      </c>
      <c r="N998" s="22" t="s">
        <v>250</v>
      </c>
      <c r="O998" s="20" t="s">
        <v>949</v>
      </c>
      <c r="P998" s="20" t="s">
        <v>41</v>
      </c>
      <c r="Q998" s="20" t="s">
        <v>42</v>
      </c>
      <c r="R998" s="20" t="s">
        <v>37</v>
      </c>
      <c r="S998" s="20" t="s">
        <v>32</v>
      </c>
      <c r="T998" s="20" t="s">
        <v>78</v>
      </c>
      <c r="U998" s="20" t="s">
        <v>804</v>
      </c>
      <c r="V998" s="21"/>
      <c r="W998" s="21">
        <v>46254</v>
      </c>
      <c r="X998" s="20" t="s">
        <v>34</v>
      </c>
      <c r="Y998" s="21">
        <v>46254</v>
      </c>
      <c r="Z998" s="20" t="s">
        <v>57</v>
      </c>
      <c r="AA998" s="17" t="e">
        <f>VLOOKUP(F998,[2]Wait!$H$225:$I$260,2,0)</f>
        <v>#N/A</v>
      </c>
    </row>
    <row r="999" spans="1:27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2625</v>
      </c>
      <c r="E999" s="20" t="s">
        <v>26</v>
      </c>
      <c r="F999" s="20" t="s">
        <v>3726</v>
      </c>
      <c r="G999" s="20" t="s">
        <v>35</v>
      </c>
      <c r="H999" s="20" t="s">
        <v>26</v>
      </c>
      <c r="I999" s="21">
        <v>46263</v>
      </c>
      <c r="J999" s="20" t="s">
        <v>36</v>
      </c>
      <c r="K999" s="20" t="s">
        <v>28</v>
      </c>
      <c r="L999" s="20" t="s">
        <v>2626</v>
      </c>
      <c r="M999" s="20" t="s">
        <v>261</v>
      </c>
      <c r="N999" s="22" t="s">
        <v>250</v>
      </c>
      <c r="O999" s="20" t="s">
        <v>949</v>
      </c>
      <c r="P999" s="20" t="s">
        <v>30</v>
      </c>
      <c r="Q999" s="20" t="s">
        <v>31</v>
      </c>
      <c r="R999" s="20" t="s">
        <v>77</v>
      </c>
      <c r="S999" s="20" t="s">
        <v>32</v>
      </c>
      <c r="T999" s="20" t="s">
        <v>204</v>
      </c>
      <c r="U999" s="20" t="s">
        <v>2627</v>
      </c>
      <c r="V999" s="21"/>
      <c r="W999" s="21">
        <v>46263</v>
      </c>
      <c r="X999" s="20" t="s">
        <v>39</v>
      </c>
      <c r="Y999" s="21">
        <v>46263</v>
      </c>
      <c r="Z999" s="20" t="s">
        <v>39</v>
      </c>
      <c r="AA999" s="17" t="e">
        <f>VLOOKUP(F999,[2]Wait!$H$225:$I$260,2,0)</f>
        <v>#N/A</v>
      </c>
    </row>
    <row r="1000" spans="1:27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3727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  <c r="AA1000" s="17" t="e">
        <f>VLOOKUP(F1000,[2]Wait!$H$225:$I$260,2,0)</f>
        <v>#N/A</v>
      </c>
    </row>
    <row r="1001" spans="1:27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3727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  <c r="AA1001" s="17" t="e">
        <f>VLOOKUP(F1001,[2]Wait!$H$225:$I$260,2,0)</f>
        <v>#N/A</v>
      </c>
    </row>
    <row r="1002" spans="1:27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  <c r="AA1002" s="17" t="e">
        <f>VLOOKUP(F1002,[2]Wait!$H$225:$I$260,2,0)</f>
        <v>#N/A</v>
      </c>
    </row>
    <row r="1003" spans="1:27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  <c r="AA1003" s="17" t="e">
        <f>VLOOKUP(F1003,[2]Wait!$H$225:$I$260,2,0)</f>
        <v>#N/A</v>
      </c>
    </row>
    <row r="1004" spans="1:27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  <c r="AA1004" s="17" t="e">
        <f>VLOOKUP(F1004,[2]Wait!$H$225:$I$260,2,0)</f>
        <v>#N/A</v>
      </c>
    </row>
    <row r="1005" spans="1:27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2639</v>
      </c>
      <c r="E1005" s="20" t="s">
        <v>2640</v>
      </c>
      <c r="F1005" s="20" t="s">
        <v>2640</v>
      </c>
      <c r="G1005" s="20" t="s">
        <v>194</v>
      </c>
      <c r="H1005" s="20" t="s">
        <v>26</v>
      </c>
      <c r="I1005" s="21">
        <v>46268</v>
      </c>
      <c r="J1005" s="20" t="s">
        <v>255</v>
      </c>
      <c r="K1005" s="20" t="s">
        <v>28</v>
      </c>
      <c r="L1005" s="20" t="s">
        <v>2641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255</v>
      </c>
      <c r="T1005" s="20" t="s">
        <v>195</v>
      </c>
      <c r="U1005" s="20" t="s">
        <v>26</v>
      </c>
      <c r="V1005" s="21"/>
      <c r="W1005" s="21">
        <v>46268</v>
      </c>
      <c r="X1005" s="20" t="s">
        <v>34</v>
      </c>
      <c r="Y1005" s="21">
        <v>46268</v>
      </c>
      <c r="Z1005" s="20" t="s">
        <v>34</v>
      </c>
      <c r="AA1005" s="17" t="e">
        <f>VLOOKUP(F1005,[2]Wait!$H$225:$I$260,2,0)</f>
        <v>#N/A</v>
      </c>
    </row>
    <row r="1006" spans="1:27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2915</v>
      </c>
      <c r="E1006" s="20" t="s">
        <v>2916</v>
      </c>
      <c r="F1006" s="20" t="s">
        <v>2916</v>
      </c>
      <c r="G1006" s="20" t="s">
        <v>194</v>
      </c>
      <c r="H1006" s="20" t="s">
        <v>26</v>
      </c>
      <c r="I1006" s="21">
        <v>46281</v>
      </c>
      <c r="J1006" s="20" t="s">
        <v>32</v>
      </c>
      <c r="K1006" s="20" t="s">
        <v>28</v>
      </c>
      <c r="L1006" s="20" t="s">
        <v>2917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46281</v>
      </c>
      <c r="X1006" s="20" t="s">
        <v>34</v>
      </c>
      <c r="Y1006" s="21">
        <v>46281</v>
      </c>
      <c r="Z1006" s="20" t="s">
        <v>34</v>
      </c>
      <c r="AA1006" s="17" t="e">
        <f>VLOOKUP(F1006,[2]Wait!$H$225:$I$260,2,0)</f>
        <v>#N/A</v>
      </c>
    </row>
    <row r="1007" spans="1:27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2918</v>
      </c>
      <c r="E1007" s="20" t="s">
        <v>2919</v>
      </c>
      <c r="F1007" s="20" t="s">
        <v>2919</v>
      </c>
      <c r="G1007" s="20" t="s">
        <v>194</v>
      </c>
      <c r="H1007" s="20" t="s">
        <v>26</v>
      </c>
      <c r="I1007" s="21">
        <v>46282</v>
      </c>
      <c r="J1007" s="20" t="s">
        <v>32</v>
      </c>
      <c r="K1007" s="20" t="s">
        <v>28</v>
      </c>
      <c r="L1007" s="20" t="s">
        <v>2920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46282</v>
      </c>
      <c r="X1007" s="20" t="s">
        <v>34</v>
      </c>
      <c r="Y1007" s="21">
        <v>46282</v>
      </c>
      <c r="Z1007" s="20" t="s">
        <v>34</v>
      </c>
      <c r="AA1007" s="17" t="e">
        <f>VLOOKUP(F1007,[2]Wait!$H$225:$I$260,2,0)</f>
        <v>#N/A</v>
      </c>
    </row>
    <row r="1008" spans="1:27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3728</v>
      </c>
      <c r="E1008" s="20" t="s">
        <v>3729</v>
      </c>
      <c r="F1008" s="20" t="s">
        <v>3729</v>
      </c>
      <c r="G1008" s="20" t="s">
        <v>194</v>
      </c>
      <c r="H1008" s="20" t="s">
        <v>26</v>
      </c>
      <c r="I1008" s="21">
        <v>46289</v>
      </c>
      <c r="J1008" s="20" t="s">
        <v>32</v>
      </c>
      <c r="K1008" s="20" t="s">
        <v>28</v>
      </c>
      <c r="L1008" s="20" t="s">
        <v>3730</v>
      </c>
      <c r="M1008" s="20" t="s">
        <v>261</v>
      </c>
      <c r="N1008" s="22" t="s">
        <v>250</v>
      </c>
      <c r="O1008" s="20" t="s">
        <v>1044</v>
      </c>
      <c r="P1008" s="20" t="s">
        <v>26</v>
      </c>
      <c r="Q1008" s="20" t="s">
        <v>26</v>
      </c>
      <c r="R1008" s="20" t="s">
        <v>26</v>
      </c>
      <c r="S1008" s="20" t="s">
        <v>32</v>
      </c>
      <c r="T1008" s="20" t="s">
        <v>195</v>
      </c>
      <c r="U1008" s="20" t="s">
        <v>26</v>
      </c>
      <c r="V1008" s="21"/>
      <c r="W1008" s="21">
        <v>46289</v>
      </c>
      <c r="X1008" s="20" t="s">
        <v>34</v>
      </c>
      <c r="Y1008" s="21">
        <v>46289</v>
      </c>
      <c r="Z1008" s="20" t="s">
        <v>34</v>
      </c>
      <c r="AA1008" s="17" t="e">
        <f>VLOOKUP(F1008,[2]Wait!$H$225:$I$260,2,0)</f>
        <v>#N/A</v>
      </c>
    </row>
    <row r="1009" spans="1:27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2645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28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  <c r="AA1009" s="17" t="e">
        <f>VLOOKUP(F1009,[2]Wait!$H$225:$I$260,2,0)</f>
        <v>#N/A</v>
      </c>
    </row>
    <row r="1010" spans="1:27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2648</v>
      </c>
      <c r="E1010" s="20" t="s">
        <v>2646</v>
      </c>
      <c r="F1010" s="20" t="s">
        <v>2646</v>
      </c>
      <c r="G1010" s="20" t="s">
        <v>194</v>
      </c>
      <c r="H1010" s="20" t="s">
        <v>26</v>
      </c>
      <c r="I1010" s="21">
        <v>46258</v>
      </c>
      <c r="J1010" s="20" t="s">
        <v>255</v>
      </c>
      <c r="K1010" s="20" t="s">
        <v>58</v>
      </c>
      <c r="L1010" s="20" t="s">
        <v>2647</v>
      </c>
      <c r="M1010" s="20" t="s">
        <v>261</v>
      </c>
      <c r="N1010" s="22" t="s">
        <v>250</v>
      </c>
      <c r="O1010" s="20" t="s">
        <v>1044</v>
      </c>
      <c r="P1010" s="20" t="s">
        <v>257</v>
      </c>
      <c r="Q1010" s="20" t="s">
        <v>258</v>
      </c>
      <c r="R1010" s="20" t="s">
        <v>26</v>
      </c>
      <c r="S1010" s="20" t="s">
        <v>255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  <c r="AA1010" s="17" t="e">
        <f>VLOOKUP(F1010,[2]Wait!$H$225:$I$260,2,0)</f>
        <v>#N/A</v>
      </c>
    </row>
    <row r="1011" spans="1:27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2649</v>
      </c>
      <c r="E1011" s="20" t="s">
        <v>2650</v>
      </c>
      <c r="F1011" s="20" t="s">
        <v>2650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  <c r="AA1011" s="17" t="e">
        <f>VLOOKUP(F1011,[2]Wait!$H$225:$I$260,2,0)</f>
        <v>#N/A</v>
      </c>
    </row>
    <row r="1012" spans="1:27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2651</v>
      </c>
      <c r="E1012" s="20" t="s">
        <v>2652</v>
      </c>
      <c r="F1012" s="20" t="s">
        <v>2652</v>
      </c>
      <c r="G1012" s="20" t="s">
        <v>194</v>
      </c>
      <c r="H1012" s="20" t="s">
        <v>26</v>
      </c>
      <c r="I1012" s="21">
        <v>46258</v>
      </c>
      <c r="J1012" s="20" t="s">
        <v>36</v>
      </c>
      <c r="K1012" s="20" t="s">
        <v>28</v>
      </c>
      <c r="L1012" s="20" t="s">
        <v>1668</v>
      </c>
      <c r="M1012" s="20" t="s">
        <v>261</v>
      </c>
      <c r="N1012" s="22" t="s">
        <v>250</v>
      </c>
      <c r="O1012" s="20" t="s">
        <v>1044</v>
      </c>
      <c r="P1012" s="20" t="s">
        <v>26</v>
      </c>
      <c r="Q1012" s="20" t="s">
        <v>26</v>
      </c>
      <c r="R1012" s="20" t="s">
        <v>26</v>
      </c>
      <c r="S1012" s="20" t="s">
        <v>36</v>
      </c>
      <c r="T1012" s="20" t="s">
        <v>195</v>
      </c>
      <c r="U1012" s="20" t="s">
        <v>26</v>
      </c>
      <c r="V1012" s="21"/>
      <c r="W1012" s="21">
        <v>46258</v>
      </c>
      <c r="X1012" s="20" t="s">
        <v>34</v>
      </c>
      <c r="Y1012" s="21">
        <v>46274</v>
      </c>
      <c r="Z1012" s="20" t="s">
        <v>57</v>
      </c>
      <c r="AA1012" s="17" t="e">
        <f>VLOOKUP(F1012,[2]Wait!$H$225:$I$260,2,0)</f>
        <v>#N/A</v>
      </c>
    </row>
    <row r="1013" spans="1:27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2653</v>
      </c>
      <c r="E1013" s="20" t="s">
        <v>2654</v>
      </c>
      <c r="F1013" s="20" t="s">
        <v>3731</v>
      </c>
      <c r="G1013" s="20" t="s">
        <v>273</v>
      </c>
      <c r="H1013" s="20" t="s">
        <v>26</v>
      </c>
      <c r="I1013" s="21">
        <v>46256</v>
      </c>
      <c r="J1013" s="20" t="s">
        <v>36</v>
      </c>
      <c r="K1013" s="20" t="s">
        <v>28</v>
      </c>
      <c r="L1013" s="20" t="s">
        <v>2655</v>
      </c>
      <c r="M1013" s="20" t="s">
        <v>681</v>
      </c>
      <c r="N1013" s="22" t="s">
        <v>250</v>
      </c>
      <c r="O1013" s="20" t="s">
        <v>1193</v>
      </c>
      <c r="P1013" s="20" t="s">
        <v>214</v>
      </c>
      <c r="Q1013" s="20" t="s">
        <v>215</v>
      </c>
      <c r="R1013" s="20" t="s">
        <v>72</v>
      </c>
      <c r="S1013" s="20" t="s">
        <v>32</v>
      </c>
      <c r="T1013" s="20" t="s">
        <v>685</v>
      </c>
      <c r="U1013" s="20" t="s">
        <v>2656</v>
      </c>
      <c r="V1013" s="21"/>
      <c r="W1013" s="21">
        <v>46256</v>
      </c>
      <c r="X1013" s="20" t="s">
        <v>34</v>
      </c>
      <c r="Y1013" s="21">
        <v>46267</v>
      </c>
      <c r="Z1013" s="20" t="s">
        <v>34</v>
      </c>
      <c r="AA1013" s="17" t="e">
        <f>VLOOKUP(F1013,[2]Wait!$H$225:$I$260,2,0)</f>
        <v>#N/A</v>
      </c>
    </row>
    <row r="1014" spans="1:27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2657</v>
      </c>
      <c r="E1014" s="20" t="s">
        <v>2658</v>
      </c>
      <c r="F1014" s="20" t="s">
        <v>3732</v>
      </c>
      <c r="G1014" s="20" t="s">
        <v>25</v>
      </c>
      <c r="H1014" s="20" t="s">
        <v>26</v>
      </c>
      <c r="I1014" s="21">
        <v>46258</v>
      </c>
      <c r="J1014" s="20" t="s">
        <v>52</v>
      </c>
      <c r="K1014" s="20" t="s">
        <v>28</v>
      </c>
      <c r="L1014" s="20" t="s">
        <v>2659</v>
      </c>
      <c r="M1014" s="20" t="s">
        <v>681</v>
      </c>
      <c r="N1014" s="22" t="s">
        <v>250</v>
      </c>
      <c r="O1014" s="20" t="s">
        <v>1044</v>
      </c>
      <c r="P1014" s="20" t="s">
        <v>214</v>
      </c>
      <c r="Q1014" s="20" t="s">
        <v>215</v>
      </c>
      <c r="R1014" s="20" t="s">
        <v>26</v>
      </c>
      <c r="S1014" s="20" t="s">
        <v>32</v>
      </c>
      <c r="T1014" s="20" t="s">
        <v>195</v>
      </c>
      <c r="U1014" s="20" t="s">
        <v>2660</v>
      </c>
      <c r="V1014" s="21"/>
      <c r="W1014" s="21">
        <v>46258</v>
      </c>
      <c r="X1014" s="20" t="s">
        <v>34</v>
      </c>
      <c r="Y1014" s="21">
        <v>46274</v>
      </c>
      <c r="Z1014" s="20" t="s">
        <v>57</v>
      </c>
      <c r="AA1014" s="17" t="e">
        <f>VLOOKUP(F1014,[2]Wait!$H$225:$I$260,2,0)</f>
        <v>#N/A</v>
      </c>
    </row>
    <row r="1015" spans="1:27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2661</v>
      </c>
      <c r="E1015" s="20" t="s">
        <v>2662</v>
      </c>
      <c r="F1015" s="20" t="s">
        <v>3733</v>
      </c>
      <c r="G1015" s="20" t="s">
        <v>25</v>
      </c>
      <c r="H1015" s="20" t="s">
        <v>26</v>
      </c>
      <c r="I1015" s="21">
        <v>46256</v>
      </c>
      <c r="J1015" s="20" t="s">
        <v>36</v>
      </c>
      <c r="K1015" s="20" t="s">
        <v>28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  <c r="AA1015" s="17" t="e">
        <f>VLOOKUP(F1015,[2]Wait!$H$225:$I$260,2,0)</f>
        <v>#N/A</v>
      </c>
    </row>
    <row r="1016" spans="1:27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2663</v>
      </c>
      <c r="E1016" s="20" t="s">
        <v>2662</v>
      </c>
      <c r="F1016" s="20" t="s">
        <v>3733</v>
      </c>
      <c r="G1016" s="20" t="s">
        <v>25</v>
      </c>
      <c r="H1016" s="20" t="s">
        <v>26</v>
      </c>
      <c r="I1016" s="21">
        <v>46256</v>
      </c>
      <c r="J1016" s="20" t="s">
        <v>196</v>
      </c>
      <c r="K1016" s="20" t="s">
        <v>58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  <c r="AA1016" s="17" t="e">
        <f>VLOOKUP(F1016,[2]Wait!$H$225:$I$260,2,0)</f>
        <v>#N/A</v>
      </c>
    </row>
    <row r="1017" spans="1:27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2664</v>
      </c>
      <c r="E1017" s="20" t="s">
        <v>2662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52</v>
      </c>
      <c r="K1017" s="20" t="s">
        <v>59</v>
      </c>
      <c r="L1017" s="20" t="s">
        <v>810</v>
      </c>
      <c r="M1017" s="20" t="s">
        <v>681</v>
      </c>
      <c r="N1017" s="22" t="s">
        <v>250</v>
      </c>
      <c r="O1017" s="20" t="s">
        <v>1044</v>
      </c>
      <c r="P1017" s="20" t="s">
        <v>148</v>
      </c>
      <c r="Q1017" s="20" t="s">
        <v>149</v>
      </c>
      <c r="R1017" s="20" t="s">
        <v>26</v>
      </c>
      <c r="S1017" s="20" t="s">
        <v>32</v>
      </c>
      <c r="T1017" s="20" t="s">
        <v>195</v>
      </c>
      <c r="U1017" s="20" t="s">
        <v>811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  <c r="AA1017" s="17" t="e">
        <f>VLOOKUP(F1017,[2]Wait!$H$225:$I$260,2,0)</f>
        <v>#N/A</v>
      </c>
    </row>
    <row r="1018" spans="1:27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2665</v>
      </c>
      <c r="E1018" s="20" t="s">
        <v>2666</v>
      </c>
      <c r="F1018" s="20" t="s">
        <v>3734</v>
      </c>
      <c r="G1018" s="20" t="s">
        <v>25</v>
      </c>
      <c r="H1018" s="20" t="s">
        <v>26</v>
      </c>
      <c r="I1018" s="21">
        <v>46256</v>
      </c>
      <c r="J1018" s="20" t="s">
        <v>36</v>
      </c>
      <c r="K1018" s="20" t="s">
        <v>28</v>
      </c>
      <c r="L1018" s="20" t="s">
        <v>2667</v>
      </c>
      <c r="M1018" s="20" t="s">
        <v>681</v>
      </c>
      <c r="N1018" s="22" t="s">
        <v>250</v>
      </c>
      <c r="O1018" s="20" t="s">
        <v>1193</v>
      </c>
      <c r="P1018" s="20" t="s">
        <v>41</v>
      </c>
      <c r="Q1018" s="20" t="s">
        <v>42</v>
      </c>
      <c r="R1018" s="20" t="s">
        <v>1235</v>
      </c>
      <c r="S1018" s="20" t="s">
        <v>32</v>
      </c>
      <c r="T1018" s="20" t="s">
        <v>66</v>
      </c>
      <c r="U1018" s="20" t="s">
        <v>2668</v>
      </c>
      <c r="V1018" s="21"/>
      <c r="W1018" s="21">
        <v>46256</v>
      </c>
      <c r="X1018" s="20" t="s">
        <v>34</v>
      </c>
      <c r="Y1018" s="21">
        <v>46267</v>
      </c>
      <c r="Z1018" s="20" t="s">
        <v>34</v>
      </c>
      <c r="AA1018" s="17" t="e">
        <f>VLOOKUP(F1018,[2]Wait!$H$225:$I$260,2,0)</f>
        <v>#N/A</v>
      </c>
    </row>
    <row r="1019" spans="1:27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2669</v>
      </c>
      <c r="E1019" s="20" t="s">
        <v>2670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812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813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  <c r="AA1019" s="17" t="e">
        <f>VLOOKUP(F1019,[2]Wait!$H$225:$I$260,2,0)</f>
        <v>#N/A</v>
      </c>
    </row>
    <row r="1020" spans="1:27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2671</v>
      </c>
      <c r="E1020" s="20" t="s">
        <v>2672</v>
      </c>
      <c r="F1020" s="20" t="s">
        <v>3736</v>
      </c>
      <c r="G1020" s="20" t="s">
        <v>25</v>
      </c>
      <c r="H1020" s="20" t="s">
        <v>26</v>
      </c>
      <c r="I1020" s="21">
        <v>46258</v>
      </c>
      <c r="J1020" s="20" t="s">
        <v>36</v>
      </c>
      <c r="K1020" s="20" t="s">
        <v>28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  <c r="AA1020" s="17" t="e">
        <f>VLOOKUP(F1020,[2]Wait!$H$225:$I$260,2,0)</f>
        <v>#N/A</v>
      </c>
    </row>
    <row r="1021" spans="1:27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2673</v>
      </c>
      <c r="E1021" s="20" t="s">
        <v>2672</v>
      </c>
      <c r="F1021" s="20" t="s">
        <v>3736</v>
      </c>
      <c r="G1021" s="20" t="s">
        <v>25</v>
      </c>
      <c r="H1021" s="20" t="s">
        <v>26</v>
      </c>
      <c r="I1021" s="21">
        <v>46258</v>
      </c>
      <c r="J1021" s="20" t="s">
        <v>52</v>
      </c>
      <c r="K1021" s="20" t="s">
        <v>58</v>
      </c>
      <c r="L1021" s="20" t="s">
        <v>814</v>
      </c>
      <c r="M1021" s="20" t="s">
        <v>681</v>
      </c>
      <c r="N1021" s="22" t="s">
        <v>250</v>
      </c>
      <c r="O1021" s="20" t="s">
        <v>1044</v>
      </c>
      <c r="P1021" s="20" t="s">
        <v>148</v>
      </c>
      <c r="Q1021" s="20" t="s">
        <v>149</v>
      </c>
      <c r="R1021" s="20" t="s">
        <v>26</v>
      </c>
      <c r="S1021" s="20" t="s">
        <v>32</v>
      </c>
      <c r="T1021" s="20" t="s">
        <v>195</v>
      </c>
      <c r="U1021" s="20" t="s">
        <v>815</v>
      </c>
      <c r="V1021" s="21"/>
      <c r="W1021" s="21">
        <v>46258</v>
      </c>
      <c r="X1021" s="20" t="s">
        <v>34</v>
      </c>
      <c r="Y1021" s="21">
        <v>46274</v>
      </c>
      <c r="Z1021" s="20" t="s">
        <v>57</v>
      </c>
      <c r="AA1021" s="17" t="e">
        <f>VLOOKUP(F1021,[2]Wait!$H$225:$I$260,2,0)</f>
        <v>#N/A</v>
      </c>
    </row>
    <row r="1022" spans="1:27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2616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800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  <c r="AA1022" s="17" t="e">
        <f>VLOOKUP(F1022,[2]Wait!$H$225:$I$260,2,0)</f>
        <v>#N/A</v>
      </c>
    </row>
    <row r="1023" spans="1:27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2617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46271</v>
      </c>
      <c r="J1023" s="20" t="s">
        <v>36</v>
      </c>
      <c r="K1023" s="20" t="s">
        <v>28</v>
      </c>
      <c r="L1023" s="20" t="s">
        <v>802</v>
      </c>
      <c r="M1023" s="20" t="s">
        <v>681</v>
      </c>
      <c r="N1023" s="22" t="s">
        <v>250</v>
      </c>
      <c r="O1023" s="20" t="s">
        <v>1176</v>
      </c>
      <c r="P1023" s="20" t="s">
        <v>41</v>
      </c>
      <c r="Q1023" s="20" t="s">
        <v>42</v>
      </c>
      <c r="R1023" s="20" t="s">
        <v>61</v>
      </c>
      <c r="S1023" s="20" t="s">
        <v>32</v>
      </c>
      <c r="T1023" s="20" t="s">
        <v>204</v>
      </c>
      <c r="U1023" s="20" t="s">
        <v>801</v>
      </c>
      <c r="V1023" s="21"/>
      <c r="W1023" s="21">
        <v>46271</v>
      </c>
      <c r="X1023" s="20" t="s">
        <v>39</v>
      </c>
      <c r="Y1023" s="21">
        <v>46271</v>
      </c>
      <c r="Z1023" s="20" t="s">
        <v>39</v>
      </c>
      <c r="AA1023" s="17" t="e">
        <f>VLOOKUP(F1023,[2]Wait!$H$225:$I$260,2,0)</f>
        <v>#N/A</v>
      </c>
    </row>
    <row r="1024" spans="1:27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2675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46259</v>
      </c>
      <c r="J1024" s="20" t="s">
        <v>82</v>
      </c>
      <c r="K1024" s="20" t="s">
        <v>28</v>
      </c>
      <c r="L1024" s="20" t="s">
        <v>2676</v>
      </c>
      <c r="M1024" s="20" t="s">
        <v>681</v>
      </c>
      <c r="N1024" s="22" t="s">
        <v>250</v>
      </c>
      <c r="O1024" s="20" t="s">
        <v>946</v>
      </c>
      <c r="P1024" s="20" t="s">
        <v>41</v>
      </c>
      <c r="Q1024" s="20" t="s">
        <v>42</v>
      </c>
      <c r="R1024" s="20" t="s">
        <v>84</v>
      </c>
      <c r="S1024" s="20" t="s">
        <v>32</v>
      </c>
      <c r="T1024" s="20" t="s">
        <v>543</v>
      </c>
      <c r="U1024" s="20" t="s">
        <v>2677</v>
      </c>
      <c r="V1024" s="21"/>
      <c r="W1024" s="21">
        <v>46259</v>
      </c>
      <c r="X1024" s="20" t="s">
        <v>39</v>
      </c>
      <c r="Y1024" s="21">
        <v>46259</v>
      </c>
      <c r="Z1024" s="20" t="s">
        <v>39</v>
      </c>
      <c r="AA1024" s="17" t="e">
        <f>VLOOKUP(F1024,[2]Wait!$H$225:$I$260,2,0)</f>
        <v>#N/A</v>
      </c>
    </row>
    <row r="1025" spans="1:27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2678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822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  <c r="AA1025" s="17" t="e">
        <f>VLOOKUP(F1025,[2]Wait!$H$225:$I$260,2,0)</f>
        <v>#N/A</v>
      </c>
    </row>
    <row r="1026" spans="1:27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2679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46265</v>
      </c>
      <c r="J1026" s="20" t="s">
        <v>36</v>
      </c>
      <c r="K1026" s="20" t="s">
        <v>28</v>
      </c>
      <c r="L1026" s="20" t="s">
        <v>824</v>
      </c>
      <c r="M1026" s="20" t="s">
        <v>681</v>
      </c>
      <c r="N1026" s="22" t="s">
        <v>250</v>
      </c>
      <c r="O1026" s="20" t="s">
        <v>1070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691</v>
      </c>
      <c r="U1026" s="20" t="s">
        <v>823</v>
      </c>
      <c r="V1026" s="21"/>
      <c r="W1026" s="21">
        <v>46265</v>
      </c>
      <c r="X1026" s="20" t="s">
        <v>39</v>
      </c>
      <c r="Y1026" s="21">
        <v>46265</v>
      </c>
      <c r="Z1026" s="20" t="s">
        <v>39</v>
      </c>
      <c r="AA1026" s="17" t="e">
        <f>VLOOKUP(F1026,[2]Wait!$H$225:$I$260,2,0)</f>
        <v>#N/A</v>
      </c>
    </row>
    <row r="1027" spans="1:27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2680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2681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  <c r="AA1027" s="17" t="e">
        <f>VLOOKUP(F1027,[2]Wait!$H$225:$I$260,2,0)</f>
        <v>#N/A</v>
      </c>
    </row>
    <row r="1028" spans="1:27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2683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46269</v>
      </c>
      <c r="J1028" s="20" t="s">
        <v>36</v>
      </c>
      <c r="K1028" s="20" t="s">
        <v>28</v>
      </c>
      <c r="L1028" s="20" t="s">
        <v>2684</v>
      </c>
      <c r="M1028" s="20" t="s">
        <v>681</v>
      </c>
      <c r="N1028" s="22" t="s">
        <v>250</v>
      </c>
      <c r="O1028" s="20" t="s">
        <v>955</v>
      </c>
      <c r="P1028" s="20" t="s">
        <v>613</v>
      </c>
      <c r="Q1028" s="20" t="s">
        <v>614</v>
      </c>
      <c r="R1028" s="20" t="s">
        <v>72</v>
      </c>
      <c r="S1028" s="20" t="s">
        <v>32</v>
      </c>
      <c r="T1028" s="20" t="s">
        <v>55</v>
      </c>
      <c r="U1028" s="20" t="s">
        <v>2682</v>
      </c>
      <c r="V1028" s="21"/>
      <c r="W1028" s="21">
        <v>46269</v>
      </c>
      <c r="X1028" s="20" t="s">
        <v>39</v>
      </c>
      <c r="Y1028" s="21">
        <v>46269</v>
      </c>
      <c r="Z1028" s="20" t="s">
        <v>39</v>
      </c>
      <c r="AA1028" s="17" t="e">
        <f>VLOOKUP(F1028,[2]Wait!$H$225:$I$260,2,0)</f>
        <v>#N/A</v>
      </c>
    </row>
    <row r="1029" spans="1:27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2685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825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  <c r="AA1029" s="17" t="e">
        <f>VLOOKUP(F1029,[2]Wait!$H$225:$I$260,2,0)</f>
        <v>#N/A</v>
      </c>
    </row>
    <row r="1030" spans="1:27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2686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46265</v>
      </c>
      <c r="J1030" s="20" t="s">
        <v>36</v>
      </c>
      <c r="K1030" s="20" t="s">
        <v>28</v>
      </c>
      <c r="L1030" s="20" t="s">
        <v>827</v>
      </c>
      <c r="M1030" s="20" t="s">
        <v>681</v>
      </c>
      <c r="N1030" s="22" t="s">
        <v>250</v>
      </c>
      <c r="O1030" s="20" t="s">
        <v>1070</v>
      </c>
      <c r="P1030" s="20" t="s">
        <v>41</v>
      </c>
      <c r="Q1030" s="20" t="s">
        <v>42</v>
      </c>
      <c r="R1030" s="20" t="s">
        <v>72</v>
      </c>
      <c r="S1030" s="20" t="s">
        <v>32</v>
      </c>
      <c r="T1030" s="20" t="s">
        <v>691</v>
      </c>
      <c r="U1030" s="20" t="s">
        <v>826</v>
      </c>
      <c r="V1030" s="21"/>
      <c r="W1030" s="21">
        <v>46265</v>
      </c>
      <c r="X1030" s="20" t="s">
        <v>39</v>
      </c>
      <c r="Y1030" s="21">
        <v>46265</v>
      </c>
      <c r="Z1030" s="20" t="s">
        <v>39</v>
      </c>
      <c r="AA1030" s="17" t="e">
        <f>VLOOKUP(F1030,[2]Wait!$H$225:$I$260,2,0)</f>
        <v>#N/A</v>
      </c>
    </row>
    <row r="1031" spans="1:27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2687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46261</v>
      </c>
      <c r="J1031" s="20" t="s">
        <v>110</v>
      </c>
      <c r="K1031" s="20" t="s">
        <v>28</v>
      </c>
      <c r="L1031" s="20" t="s">
        <v>2688</v>
      </c>
      <c r="M1031" s="20" t="s">
        <v>681</v>
      </c>
      <c r="N1031" s="22" t="s">
        <v>250</v>
      </c>
      <c r="O1031" s="20" t="s">
        <v>939</v>
      </c>
      <c r="P1031" s="20" t="s">
        <v>30</v>
      </c>
      <c r="Q1031" s="20" t="s">
        <v>31</v>
      </c>
      <c r="R1031" s="20" t="s">
        <v>61</v>
      </c>
      <c r="S1031" s="20" t="s">
        <v>32</v>
      </c>
      <c r="T1031" s="20" t="s">
        <v>113</v>
      </c>
      <c r="U1031" s="20" t="s">
        <v>2620</v>
      </c>
      <c r="V1031" s="21"/>
      <c r="W1031" s="21">
        <v>46261</v>
      </c>
      <c r="X1031" s="20" t="s">
        <v>39</v>
      </c>
      <c r="Y1031" s="21">
        <v>46261</v>
      </c>
      <c r="Z1031" s="20" t="s">
        <v>39</v>
      </c>
      <c r="AA1031" s="17" t="e">
        <f>VLOOKUP(F1031,[2]Wait!$H$225:$I$260,2,0)</f>
        <v>#N/A</v>
      </c>
    </row>
    <row r="1032" spans="1:27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2689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830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  <c r="AA1032" s="17" t="e">
        <f>VLOOKUP(F1032,[2]Wait!$H$225:$I$260,2,0)</f>
        <v>#N/A</v>
      </c>
    </row>
    <row r="1033" spans="1:27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2690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46269</v>
      </c>
      <c r="J1033" s="20" t="s">
        <v>36</v>
      </c>
      <c r="K1033" s="20" t="s">
        <v>28</v>
      </c>
      <c r="L1033" s="20" t="s">
        <v>833</v>
      </c>
      <c r="M1033" s="20" t="s">
        <v>681</v>
      </c>
      <c r="N1033" s="22" t="s">
        <v>250</v>
      </c>
      <c r="O1033" s="20" t="s">
        <v>955</v>
      </c>
      <c r="P1033" s="20" t="s">
        <v>41</v>
      </c>
      <c r="Q1033" s="20" t="s">
        <v>42</v>
      </c>
      <c r="R1033" s="20" t="s">
        <v>61</v>
      </c>
      <c r="S1033" s="20" t="s">
        <v>32</v>
      </c>
      <c r="T1033" s="20" t="s">
        <v>831</v>
      </c>
      <c r="U1033" s="20" t="s">
        <v>832</v>
      </c>
      <c r="V1033" s="21"/>
      <c r="W1033" s="21">
        <v>46269</v>
      </c>
      <c r="X1033" s="20" t="s">
        <v>39</v>
      </c>
      <c r="Y1033" s="21">
        <v>46269</v>
      </c>
      <c r="Z1033" s="20" t="s">
        <v>39</v>
      </c>
      <c r="AA1033" s="17" t="e">
        <f>VLOOKUP(F1033,[2]Wait!$H$225:$I$260,2,0)</f>
        <v>#N/A</v>
      </c>
    </row>
    <row r="1034" spans="1:27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2694</v>
      </c>
      <c r="E1034" s="20" t="s">
        <v>26</v>
      </c>
      <c r="F1034" s="20" t="s">
        <v>3749</v>
      </c>
      <c r="G1034" s="20" t="s">
        <v>35</v>
      </c>
      <c r="H1034" s="20" t="s">
        <v>26</v>
      </c>
      <c r="I1034" s="21">
        <v>46254</v>
      </c>
      <c r="J1034" s="20" t="s">
        <v>110</v>
      </c>
      <c r="K1034" s="20" t="s">
        <v>28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  <c r="AA1034" s="17" t="e">
        <f>VLOOKUP(F1034,[2]Wait!$H$225:$I$260,2,0)</f>
        <v>#N/A</v>
      </c>
    </row>
    <row r="1035" spans="1:27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2695</v>
      </c>
      <c r="E1035" s="20" t="s">
        <v>26</v>
      </c>
      <c r="F1035" s="20" t="s">
        <v>3749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58</v>
      </c>
      <c r="L1035" s="20" t="s">
        <v>834</v>
      </c>
      <c r="M1035" s="20" t="s">
        <v>681</v>
      </c>
      <c r="N1035" s="22" t="s">
        <v>250</v>
      </c>
      <c r="O1035" s="20" t="s">
        <v>949</v>
      </c>
      <c r="P1035" s="20" t="s">
        <v>30</v>
      </c>
      <c r="Q1035" s="20" t="s">
        <v>31</v>
      </c>
      <c r="R1035" s="20" t="s">
        <v>77</v>
      </c>
      <c r="S1035" s="20" t="s">
        <v>32</v>
      </c>
      <c r="T1035" s="20" t="s">
        <v>136</v>
      </c>
      <c r="U1035" s="20" t="s">
        <v>835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  <c r="AA1035" s="17" t="e">
        <f>VLOOKUP(F1035,[2]Wait!$H$225:$I$260,2,0)</f>
        <v>#N/A</v>
      </c>
    </row>
    <row r="1036" spans="1:27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2699</v>
      </c>
      <c r="E1036" s="20" t="s">
        <v>26</v>
      </c>
      <c r="F1036" s="20" t="s">
        <v>3750</v>
      </c>
      <c r="G1036" s="20" t="s">
        <v>35</v>
      </c>
      <c r="H1036" s="20" t="s">
        <v>26</v>
      </c>
      <c r="I1036" s="21">
        <v>46258</v>
      </c>
      <c r="J1036" s="20" t="s">
        <v>36</v>
      </c>
      <c r="K1036" s="20" t="s">
        <v>28</v>
      </c>
      <c r="L1036" s="20" t="s">
        <v>841</v>
      </c>
      <c r="M1036" s="20" t="s">
        <v>681</v>
      </c>
      <c r="N1036" s="22" t="s">
        <v>250</v>
      </c>
      <c r="O1036" s="20" t="s">
        <v>991</v>
      </c>
      <c r="P1036" s="20" t="s">
        <v>26</v>
      </c>
      <c r="Q1036" s="20" t="s">
        <v>26</v>
      </c>
      <c r="R1036" s="20" t="s">
        <v>61</v>
      </c>
      <c r="S1036" s="20" t="s">
        <v>32</v>
      </c>
      <c r="T1036" s="20" t="s">
        <v>70</v>
      </c>
      <c r="U1036" s="20" t="s">
        <v>842</v>
      </c>
      <c r="V1036" s="21"/>
      <c r="W1036" s="21">
        <v>46258</v>
      </c>
      <c r="X1036" s="20" t="s">
        <v>39</v>
      </c>
      <c r="Y1036" s="21">
        <v>46258</v>
      </c>
      <c r="Z1036" s="20" t="s">
        <v>39</v>
      </c>
      <c r="AA1036" s="17" t="e">
        <f>VLOOKUP(F1036,[2]Wait!$H$225:$I$260,2,0)</f>
        <v>#N/A</v>
      </c>
    </row>
    <row r="1037" spans="1:27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2700</v>
      </c>
      <c r="E1037" s="20" t="s">
        <v>26</v>
      </c>
      <c r="F1037" s="20" t="s">
        <v>3751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843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118</v>
      </c>
      <c r="S1037" s="20" t="s">
        <v>32</v>
      </c>
      <c r="T1037" s="20" t="s">
        <v>70</v>
      </c>
      <c r="U1037" s="20" t="s">
        <v>844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  <c r="AA1037" s="17" t="e">
        <f>VLOOKUP(F1037,[2]Wait!$H$225:$I$260,2,0)</f>
        <v>#N/A</v>
      </c>
    </row>
    <row r="1038" spans="1:27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2701</v>
      </c>
      <c r="E1038" s="20" t="s">
        <v>26</v>
      </c>
      <c r="F1038" s="20" t="s">
        <v>3752</v>
      </c>
      <c r="G1038" s="20" t="s">
        <v>35</v>
      </c>
      <c r="H1038" s="20" t="s">
        <v>26</v>
      </c>
      <c r="I1038" s="21">
        <v>46254</v>
      </c>
      <c r="J1038" s="20" t="s">
        <v>36</v>
      </c>
      <c r="K1038" s="20" t="s">
        <v>28</v>
      </c>
      <c r="L1038" s="20" t="s">
        <v>845</v>
      </c>
      <c r="M1038" s="20" t="s">
        <v>681</v>
      </c>
      <c r="N1038" s="22" t="s">
        <v>250</v>
      </c>
      <c r="O1038" s="20" t="s">
        <v>1013</v>
      </c>
      <c r="P1038" s="20" t="s">
        <v>41</v>
      </c>
      <c r="Q1038" s="20" t="s">
        <v>42</v>
      </c>
      <c r="R1038" s="20" t="s">
        <v>43</v>
      </c>
      <c r="S1038" s="20" t="s">
        <v>32</v>
      </c>
      <c r="T1038" s="20" t="s">
        <v>204</v>
      </c>
      <c r="U1038" s="20" t="s">
        <v>846</v>
      </c>
      <c r="V1038" s="21"/>
      <c r="W1038" s="21">
        <v>46254</v>
      </c>
      <c r="X1038" s="20" t="s">
        <v>34</v>
      </c>
      <c r="Y1038" s="21">
        <v>46254</v>
      </c>
      <c r="Z1038" s="20" t="s">
        <v>57</v>
      </c>
      <c r="AA1038" s="17" t="e">
        <f>VLOOKUP(F1038,[2]Wait!$H$225:$I$260,2,0)</f>
        <v>#N/A</v>
      </c>
    </row>
    <row r="1039" spans="1:27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2702</v>
      </c>
      <c r="E1039" s="20" t="s">
        <v>26</v>
      </c>
      <c r="F1039" s="20" t="s">
        <v>3752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58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  <c r="AA1039" s="17" t="e">
        <f>VLOOKUP(F1039,[2]Wait!$H$225:$I$260,2,0)</f>
        <v>#N/A</v>
      </c>
    </row>
    <row r="1040" spans="1:27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2703</v>
      </c>
      <c r="E1040" s="20" t="s">
        <v>26</v>
      </c>
      <c r="F1040" s="20" t="s">
        <v>3753</v>
      </c>
      <c r="G1040" s="20" t="s">
        <v>35</v>
      </c>
      <c r="H1040" s="20" t="s">
        <v>26</v>
      </c>
      <c r="I1040" s="21">
        <v>46269</v>
      </c>
      <c r="J1040" s="20" t="s">
        <v>52</v>
      </c>
      <c r="K1040" s="20" t="s">
        <v>28</v>
      </c>
      <c r="L1040" s="20" t="s">
        <v>847</v>
      </c>
      <c r="M1040" s="20" t="s">
        <v>681</v>
      </c>
      <c r="N1040" s="22" t="s">
        <v>250</v>
      </c>
      <c r="O1040" s="20" t="s">
        <v>955</v>
      </c>
      <c r="P1040" s="20" t="s">
        <v>30</v>
      </c>
      <c r="Q1040" s="20" t="s">
        <v>31</v>
      </c>
      <c r="R1040" s="20" t="s">
        <v>95</v>
      </c>
      <c r="S1040" s="20" t="s">
        <v>32</v>
      </c>
      <c r="T1040" s="20" t="s">
        <v>55</v>
      </c>
      <c r="U1040" s="20" t="s">
        <v>463</v>
      </c>
      <c r="V1040" s="21"/>
      <c r="W1040" s="21">
        <v>46269</v>
      </c>
      <c r="X1040" s="20" t="s">
        <v>39</v>
      </c>
      <c r="Y1040" s="21">
        <v>46269</v>
      </c>
      <c r="Z1040" s="20" t="s">
        <v>39</v>
      </c>
      <c r="AA1040" s="17" t="e">
        <f>VLOOKUP(F1040,[2]Wait!$H$225:$I$260,2,0)</f>
        <v>#N/A</v>
      </c>
    </row>
    <row r="1041" spans="1:27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2704</v>
      </c>
      <c r="E1041" s="20" t="s">
        <v>26</v>
      </c>
      <c r="F1041" s="20" t="s">
        <v>3754</v>
      </c>
      <c r="G1041" s="20" t="s">
        <v>35</v>
      </c>
      <c r="H1041" s="20" t="s">
        <v>26</v>
      </c>
      <c r="I1041" s="21">
        <v>46267</v>
      </c>
      <c r="J1041" s="20" t="s">
        <v>36</v>
      </c>
      <c r="K1041" s="20" t="s">
        <v>28</v>
      </c>
      <c r="L1041" s="20" t="s">
        <v>848</v>
      </c>
      <c r="M1041" s="20" t="s">
        <v>681</v>
      </c>
      <c r="N1041" s="22" t="s">
        <v>250</v>
      </c>
      <c r="O1041" s="20" t="s">
        <v>961</v>
      </c>
      <c r="P1041" s="20" t="s">
        <v>26</v>
      </c>
      <c r="Q1041" s="20" t="s">
        <v>26</v>
      </c>
      <c r="R1041" s="20" t="s">
        <v>135</v>
      </c>
      <c r="S1041" s="20" t="s">
        <v>32</v>
      </c>
      <c r="T1041" s="20" t="s">
        <v>71</v>
      </c>
      <c r="U1041" s="20" t="s">
        <v>465</v>
      </c>
      <c r="V1041" s="21"/>
      <c r="W1041" s="21">
        <v>46267</v>
      </c>
      <c r="X1041" s="20" t="s">
        <v>39</v>
      </c>
      <c r="Y1041" s="21">
        <v>46267</v>
      </c>
      <c r="Z1041" s="20" t="s">
        <v>39</v>
      </c>
      <c r="AA1041" s="17" t="e">
        <f>VLOOKUP(F1041,[2]Wait!$H$225:$I$260,2,0)</f>
        <v>#N/A</v>
      </c>
    </row>
    <row r="1042" spans="1:27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2710</v>
      </c>
      <c r="E1042" s="20" t="s">
        <v>26</v>
      </c>
      <c r="F1042" s="20" t="s">
        <v>3755</v>
      </c>
      <c r="G1042" s="20" t="s">
        <v>35</v>
      </c>
      <c r="H1042" s="20" t="s">
        <v>26</v>
      </c>
      <c r="I1042" s="21">
        <v>46269</v>
      </c>
      <c r="J1042" s="20" t="s">
        <v>82</v>
      </c>
      <c r="K1042" s="20" t="s">
        <v>28</v>
      </c>
      <c r="L1042" s="20" t="s">
        <v>851</v>
      </c>
      <c r="M1042" s="20" t="s">
        <v>681</v>
      </c>
      <c r="N1042" s="22" t="s">
        <v>250</v>
      </c>
      <c r="O1042" s="20" t="s">
        <v>955</v>
      </c>
      <c r="P1042" s="20" t="s">
        <v>148</v>
      </c>
      <c r="Q1042" s="20" t="s">
        <v>149</v>
      </c>
      <c r="R1042" s="20" t="s">
        <v>150</v>
      </c>
      <c r="S1042" s="20" t="s">
        <v>32</v>
      </c>
      <c r="T1042" s="20" t="s">
        <v>71</v>
      </c>
      <c r="U1042" s="20" t="s">
        <v>151</v>
      </c>
      <c r="V1042" s="21"/>
      <c r="W1042" s="21">
        <v>46269</v>
      </c>
      <c r="X1042" s="20" t="s">
        <v>39</v>
      </c>
      <c r="Y1042" s="21">
        <v>46269</v>
      </c>
      <c r="Z1042" s="20" t="s">
        <v>39</v>
      </c>
      <c r="AA1042" s="17" t="e">
        <f>VLOOKUP(F1042,[2]Wait!$H$225:$I$260,2,0)</f>
        <v>#N/A</v>
      </c>
    </row>
    <row r="1043" spans="1:27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2711</v>
      </c>
      <c r="E1043" s="20" t="s">
        <v>26</v>
      </c>
      <c r="F1043" s="20" t="s">
        <v>3756</v>
      </c>
      <c r="G1043" s="20" t="s">
        <v>35</v>
      </c>
      <c r="H1043" s="20" t="s">
        <v>26</v>
      </c>
      <c r="I1043" s="21">
        <v>46265</v>
      </c>
      <c r="J1043" s="20" t="s">
        <v>47</v>
      </c>
      <c r="K1043" s="20" t="s">
        <v>28</v>
      </c>
      <c r="L1043" s="20" t="s">
        <v>852</v>
      </c>
      <c r="M1043" s="20" t="s">
        <v>681</v>
      </c>
      <c r="N1043" s="22" t="s">
        <v>250</v>
      </c>
      <c r="O1043" s="20" t="s">
        <v>1070</v>
      </c>
      <c r="P1043" s="20" t="s">
        <v>41</v>
      </c>
      <c r="Q1043" s="20" t="s">
        <v>42</v>
      </c>
      <c r="R1043" s="20" t="s">
        <v>2712</v>
      </c>
      <c r="S1043" s="20" t="s">
        <v>32</v>
      </c>
      <c r="T1043" s="20" t="s">
        <v>204</v>
      </c>
      <c r="U1043" s="20" t="s">
        <v>853</v>
      </c>
      <c r="V1043" s="21"/>
      <c r="W1043" s="21">
        <v>46265</v>
      </c>
      <c r="X1043" s="20" t="s">
        <v>39</v>
      </c>
      <c r="Y1043" s="21">
        <v>46265</v>
      </c>
      <c r="Z1043" s="20" t="s">
        <v>39</v>
      </c>
      <c r="AA1043" s="17" t="e">
        <f>VLOOKUP(F1043,[2]Wait!$H$225:$I$260,2,0)</f>
        <v>#N/A</v>
      </c>
    </row>
    <row r="1044" spans="1:27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2713</v>
      </c>
      <c r="E1044" s="20" t="s">
        <v>26</v>
      </c>
      <c r="F1044" s="20" t="s">
        <v>3757</v>
      </c>
      <c r="G1044" s="20" t="s">
        <v>35</v>
      </c>
      <c r="H1044" s="20" t="s">
        <v>26</v>
      </c>
      <c r="I1044" s="21">
        <v>46269</v>
      </c>
      <c r="J1044" s="20" t="s">
        <v>52</v>
      </c>
      <c r="K1044" s="20" t="s">
        <v>28</v>
      </c>
      <c r="L1044" s="20" t="s">
        <v>2714</v>
      </c>
      <c r="M1044" s="20" t="s">
        <v>681</v>
      </c>
      <c r="N1044" s="22" t="s">
        <v>250</v>
      </c>
      <c r="O1044" s="20" t="s">
        <v>955</v>
      </c>
      <c r="P1044" s="20" t="s">
        <v>30</v>
      </c>
      <c r="Q1044" s="20" t="s">
        <v>31</v>
      </c>
      <c r="R1044" s="20" t="s">
        <v>95</v>
      </c>
      <c r="S1044" s="20" t="s">
        <v>32</v>
      </c>
      <c r="T1044" s="20" t="s">
        <v>55</v>
      </c>
      <c r="U1044" s="20" t="s">
        <v>2715</v>
      </c>
      <c r="V1044" s="21"/>
      <c r="W1044" s="21">
        <v>46269</v>
      </c>
      <c r="X1044" s="20" t="s">
        <v>39</v>
      </c>
      <c r="Y1044" s="21">
        <v>46269</v>
      </c>
      <c r="Z1044" s="20" t="s">
        <v>39</v>
      </c>
      <c r="AA1044" s="17" t="e">
        <f>VLOOKUP(F1044,[2]Wait!$H$225:$I$260,2,0)</f>
        <v>#N/A</v>
      </c>
    </row>
    <row r="1045" spans="1:27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2716</v>
      </c>
      <c r="E1045" s="20" t="s">
        <v>26</v>
      </c>
      <c r="F1045" s="20" t="s">
        <v>3758</v>
      </c>
      <c r="G1045" s="20" t="s">
        <v>35</v>
      </c>
      <c r="H1045" s="20" t="s">
        <v>26</v>
      </c>
      <c r="I1045" s="21">
        <v>46265</v>
      </c>
      <c r="J1045" s="20" t="s">
        <v>36</v>
      </c>
      <c r="K1045" s="20" t="s">
        <v>28</v>
      </c>
      <c r="L1045" s="20" t="s">
        <v>854</v>
      </c>
      <c r="M1045" s="20" t="s">
        <v>681</v>
      </c>
      <c r="N1045" s="22" t="s">
        <v>250</v>
      </c>
      <c r="O1045" s="20" t="s">
        <v>1070</v>
      </c>
      <c r="P1045" s="20" t="s">
        <v>41</v>
      </c>
      <c r="Q1045" s="20" t="s">
        <v>42</v>
      </c>
      <c r="R1045" s="20" t="s">
        <v>77</v>
      </c>
      <c r="S1045" s="20" t="s">
        <v>32</v>
      </c>
      <c r="T1045" s="20" t="s">
        <v>691</v>
      </c>
      <c r="U1045" s="20" t="s">
        <v>855</v>
      </c>
      <c r="V1045" s="21"/>
      <c r="W1045" s="21">
        <v>46265</v>
      </c>
      <c r="X1045" s="20" t="s">
        <v>39</v>
      </c>
      <c r="Y1045" s="21">
        <v>46265</v>
      </c>
      <c r="Z1045" s="20" t="s">
        <v>39</v>
      </c>
      <c r="AA1045" s="17" t="e">
        <f>VLOOKUP(F1045,[2]Wait!$H$225:$I$260,2,0)</f>
        <v>#N/A</v>
      </c>
    </row>
    <row r="1046" spans="1:27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2717</v>
      </c>
      <c r="E1046" s="20" t="s">
        <v>26</v>
      </c>
      <c r="F1046" s="20" t="s">
        <v>3759</v>
      </c>
      <c r="G1046" s="20" t="s">
        <v>35</v>
      </c>
      <c r="H1046" s="20" t="s">
        <v>26</v>
      </c>
      <c r="I1046" s="21">
        <v>46261</v>
      </c>
      <c r="J1046" s="20" t="s">
        <v>63</v>
      </c>
      <c r="K1046" s="20" t="s">
        <v>28</v>
      </c>
      <c r="L1046" s="20" t="s">
        <v>2718</v>
      </c>
      <c r="M1046" s="20" t="s">
        <v>681</v>
      </c>
      <c r="N1046" s="22" t="s">
        <v>250</v>
      </c>
      <c r="O1046" s="20" t="s">
        <v>939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78</v>
      </c>
      <c r="U1046" s="20" t="s">
        <v>2719</v>
      </c>
      <c r="V1046" s="21"/>
      <c r="W1046" s="21">
        <v>46261</v>
      </c>
      <c r="X1046" s="20" t="s">
        <v>39</v>
      </c>
      <c r="Y1046" s="21">
        <v>46261</v>
      </c>
      <c r="Z1046" s="20" t="s">
        <v>39</v>
      </c>
      <c r="AA1046" s="17" t="e">
        <f>VLOOKUP(F1046,[2]Wait!$H$225:$I$260,2,0)</f>
        <v>#N/A</v>
      </c>
    </row>
    <row r="1047" spans="1:27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2720</v>
      </c>
      <c r="E1047" s="20" t="s">
        <v>26</v>
      </c>
      <c r="F1047" s="20" t="s">
        <v>3760</v>
      </c>
      <c r="G1047" s="20" t="s">
        <v>35</v>
      </c>
      <c r="H1047" s="20" t="s">
        <v>93</v>
      </c>
      <c r="I1047" s="21">
        <v>46261</v>
      </c>
      <c r="J1047" s="20" t="s">
        <v>36</v>
      </c>
      <c r="K1047" s="20" t="s">
        <v>28</v>
      </c>
      <c r="L1047" s="20" t="s">
        <v>2721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204</v>
      </c>
      <c r="U1047" s="20" t="s">
        <v>2722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  <c r="AA1047" s="17" t="e">
        <f>VLOOKUP(F1047,[2]Wait!$H$225:$I$260,2,0)</f>
        <v>#N/A</v>
      </c>
    </row>
    <row r="1048" spans="1:27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2723</v>
      </c>
      <c r="E1048" s="20" t="s">
        <v>26</v>
      </c>
      <c r="F1048" s="20" t="s">
        <v>3761</v>
      </c>
      <c r="G1048" s="20" t="s">
        <v>35</v>
      </c>
      <c r="H1048" s="20" t="s">
        <v>26</v>
      </c>
      <c r="I1048" s="21">
        <v>46267</v>
      </c>
      <c r="J1048" s="20" t="s">
        <v>36</v>
      </c>
      <c r="K1048" s="20" t="s">
        <v>28</v>
      </c>
      <c r="L1048" s="20" t="s">
        <v>858</v>
      </c>
      <c r="M1048" s="20" t="s">
        <v>681</v>
      </c>
      <c r="N1048" s="22" t="s">
        <v>250</v>
      </c>
      <c r="O1048" s="20" t="s">
        <v>961</v>
      </c>
      <c r="P1048" s="20" t="s">
        <v>30</v>
      </c>
      <c r="Q1048" s="20" t="s">
        <v>31</v>
      </c>
      <c r="R1048" s="20" t="s">
        <v>61</v>
      </c>
      <c r="S1048" s="20" t="s">
        <v>32</v>
      </c>
      <c r="T1048" s="20" t="s">
        <v>204</v>
      </c>
      <c r="U1048" s="20" t="s">
        <v>859</v>
      </c>
      <c r="V1048" s="21"/>
      <c r="W1048" s="21">
        <v>46267</v>
      </c>
      <c r="X1048" s="20" t="s">
        <v>39</v>
      </c>
      <c r="Y1048" s="21">
        <v>46267</v>
      </c>
      <c r="Z1048" s="20" t="s">
        <v>39</v>
      </c>
      <c r="AA1048" s="17" t="e">
        <f>VLOOKUP(F1048,[2]Wait!$H$225:$I$260,2,0)</f>
        <v>#N/A</v>
      </c>
    </row>
    <row r="1049" spans="1:27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2724</v>
      </c>
      <c r="E1049" s="20" t="s">
        <v>26</v>
      </c>
      <c r="F1049" s="20" t="s">
        <v>3762</v>
      </c>
      <c r="G1049" s="20" t="s">
        <v>35</v>
      </c>
      <c r="H1049" s="20" t="s">
        <v>26</v>
      </c>
      <c r="I1049" s="21">
        <v>46270</v>
      </c>
      <c r="J1049" s="20" t="s">
        <v>36</v>
      </c>
      <c r="K1049" s="20" t="s">
        <v>28</v>
      </c>
      <c r="L1049" s="20" t="s">
        <v>861</v>
      </c>
      <c r="M1049" s="20" t="s">
        <v>681</v>
      </c>
      <c r="N1049" s="22" t="s">
        <v>250</v>
      </c>
      <c r="O1049" s="20" t="s">
        <v>1013</v>
      </c>
      <c r="P1049" s="20" t="s">
        <v>30</v>
      </c>
      <c r="Q1049" s="20" t="s">
        <v>31</v>
      </c>
      <c r="R1049" s="20" t="s">
        <v>379</v>
      </c>
      <c r="S1049" s="20" t="s">
        <v>32</v>
      </c>
      <c r="T1049" s="20" t="s">
        <v>204</v>
      </c>
      <c r="U1049" s="20" t="s">
        <v>862</v>
      </c>
      <c r="V1049" s="21"/>
      <c r="W1049" s="21">
        <v>46270</v>
      </c>
      <c r="X1049" s="20" t="s">
        <v>39</v>
      </c>
      <c r="Y1049" s="21">
        <v>46270</v>
      </c>
      <c r="Z1049" s="20" t="s">
        <v>39</v>
      </c>
      <c r="AA1049" s="17" t="e">
        <f>VLOOKUP(F1049,[2]Wait!$H$225:$I$260,2,0)</f>
        <v>#N/A</v>
      </c>
    </row>
    <row r="1050" spans="1:27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2725</v>
      </c>
      <c r="E1050" s="20" t="s">
        <v>26</v>
      </c>
      <c r="F1050" s="20" t="s">
        <v>3763</v>
      </c>
      <c r="G1050" s="20" t="s">
        <v>35</v>
      </c>
      <c r="H1050" s="20" t="s">
        <v>26</v>
      </c>
      <c r="I1050" s="21">
        <v>46270</v>
      </c>
      <c r="J1050" s="20" t="s">
        <v>36</v>
      </c>
      <c r="K1050" s="20" t="s">
        <v>28</v>
      </c>
      <c r="L1050" s="20" t="s">
        <v>863</v>
      </c>
      <c r="M1050" s="20" t="s">
        <v>681</v>
      </c>
      <c r="N1050" s="22" t="s">
        <v>250</v>
      </c>
      <c r="O1050" s="20" t="s">
        <v>1013</v>
      </c>
      <c r="P1050" s="20" t="s">
        <v>30</v>
      </c>
      <c r="Q1050" s="20" t="s">
        <v>31</v>
      </c>
      <c r="R1050" s="20" t="s">
        <v>379</v>
      </c>
      <c r="S1050" s="20" t="s">
        <v>32</v>
      </c>
      <c r="T1050" s="20" t="s">
        <v>55</v>
      </c>
      <c r="U1050" s="20" t="s">
        <v>864</v>
      </c>
      <c r="V1050" s="21"/>
      <c r="W1050" s="21">
        <v>46270</v>
      </c>
      <c r="X1050" s="20" t="s">
        <v>39</v>
      </c>
      <c r="Y1050" s="21">
        <v>46270</v>
      </c>
      <c r="Z1050" s="20" t="s">
        <v>39</v>
      </c>
      <c r="AA1050" s="17" t="e">
        <f>VLOOKUP(F1050,[2]Wait!$H$225:$I$260,2,0)</f>
        <v>#N/A</v>
      </c>
    </row>
    <row r="1051" spans="1:27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2726</v>
      </c>
      <c r="E1051" s="20" t="s">
        <v>26</v>
      </c>
      <c r="F1051" s="20" t="s">
        <v>3764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865</v>
      </c>
      <c r="M1051" s="20" t="s">
        <v>681</v>
      </c>
      <c r="N1051" s="22" t="s">
        <v>250</v>
      </c>
      <c r="O1051" s="20" t="s">
        <v>1013</v>
      </c>
      <c r="P1051" s="20" t="s">
        <v>41</v>
      </c>
      <c r="Q1051" s="20" t="s">
        <v>42</v>
      </c>
      <c r="R1051" s="20" t="s">
        <v>379</v>
      </c>
      <c r="S1051" s="20" t="s">
        <v>32</v>
      </c>
      <c r="T1051" s="20" t="s">
        <v>55</v>
      </c>
      <c r="U1051" s="20" t="s">
        <v>866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  <c r="AA1051" s="17" t="e">
        <f>VLOOKUP(F1051,[2]Wait!$H$225:$I$260,2,0)</f>
        <v>#N/A</v>
      </c>
    </row>
    <row r="1052" spans="1:27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2727</v>
      </c>
      <c r="E1052" s="20" t="s">
        <v>26</v>
      </c>
      <c r="F1052" s="20" t="s">
        <v>3765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867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204</v>
      </c>
      <c r="U1052" s="20" t="s">
        <v>868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  <c r="AA1052" s="17" t="e">
        <f>VLOOKUP(F1052,[2]Wait!$H$225:$I$260,2,0)</f>
        <v>#N/A</v>
      </c>
    </row>
    <row r="1053" spans="1:27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2728</v>
      </c>
      <c r="E1053" s="20" t="s">
        <v>26</v>
      </c>
      <c r="F1053" s="20" t="s">
        <v>3766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869</v>
      </c>
      <c r="M1053" s="20" t="s">
        <v>681</v>
      </c>
      <c r="N1053" s="22" t="s">
        <v>250</v>
      </c>
      <c r="O1053" s="20" t="s">
        <v>1013</v>
      </c>
      <c r="P1053" s="20" t="s">
        <v>30</v>
      </c>
      <c r="Q1053" s="20" t="s">
        <v>31</v>
      </c>
      <c r="R1053" s="20" t="s">
        <v>379</v>
      </c>
      <c r="S1053" s="20" t="s">
        <v>32</v>
      </c>
      <c r="T1053" s="20" t="s">
        <v>55</v>
      </c>
      <c r="U1053" s="20" t="s">
        <v>870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  <c r="AA1053" s="17" t="e">
        <f>VLOOKUP(F1053,[2]Wait!$H$225:$I$260,2,0)</f>
        <v>#N/A</v>
      </c>
    </row>
    <row r="1054" spans="1:27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2729</v>
      </c>
      <c r="E1054" s="20" t="s">
        <v>26</v>
      </c>
      <c r="F1054" s="20" t="s">
        <v>3767</v>
      </c>
      <c r="G1054" s="20" t="s">
        <v>35</v>
      </c>
      <c r="H1054" s="20" t="s">
        <v>26</v>
      </c>
      <c r="I1054" s="21">
        <v>46267</v>
      </c>
      <c r="J1054" s="20" t="s">
        <v>36</v>
      </c>
      <c r="K1054" s="20" t="s">
        <v>28</v>
      </c>
      <c r="L1054" s="20" t="s">
        <v>2730</v>
      </c>
      <c r="M1054" s="20" t="s">
        <v>681</v>
      </c>
      <c r="N1054" s="22" t="s">
        <v>250</v>
      </c>
      <c r="O1054" s="20" t="s">
        <v>961</v>
      </c>
      <c r="P1054" s="20" t="s">
        <v>41</v>
      </c>
      <c r="Q1054" s="20" t="s">
        <v>42</v>
      </c>
      <c r="R1054" s="20" t="s">
        <v>69</v>
      </c>
      <c r="S1054" s="20" t="s">
        <v>32</v>
      </c>
      <c r="T1054" s="20" t="s">
        <v>55</v>
      </c>
      <c r="U1054" s="20" t="s">
        <v>2731</v>
      </c>
      <c r="V1054" s="21"/>
      <c r="W1054" s="21">
        <v>46267</v>
      </c>
      <c r="X1054" s="20" t="s">
        <v>39</v>
      </c>
      <c r="Y1054" s="21">
        <v>46267</v>
      </c>
      <c r="Z1054" s="20" t="s">
        <v>39</v>
      </c>
      <c r="AA1054" s="17" t="e">
        <f>VLOOKUP(F1054,[2]Wait!$H$225:$I$260,2,0)</f>
        <v>#N/A</v>
      </c>
    </row>
    <row r="1055" spans="1:27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2732</v>
      </c>
      <c r="E1055" s="20" t="s">
        <v>26</v>
      </c>
      <c r="F1055" s="20" t="s">
        <v>3768</v>
      </c>
      <c r="G1055" s="20" t="s">
        <v>35</v>
      </c>
      <c r="H1055" s="20" t="s">
        <v>26</v>
      </c>
      <c r="I1055" s="21">
        <v>46259</v>
      </c>
      <c r="J1055" s="20" t="s">
        <v>36</v>
      </c>
      <c r="K1055" s="20" t="s">
        <v>28</v>
      </c>
      <c r="L1055" s="20" t="s">
        <v>2733</v>
      </c>
      <c r="M1055" s="20" t="s">
        <v>681</v>
      </c>
      <c r="N1055" s="22" t="s">
        <v>250</v>
      </c>
      <c r="O1055" s="20" t="s">
        <v>946</v>
      </c>
      <c r="P1055" s="20" t="s">
        <v>26</v>
      </c>
      <c r="Q1055" s="20" t="s">
        <v>26</v>
      </c>
      <c r="R1055" s="20" t="s">
        <v>603</v>
      </c>
      <c r="S1055" s="20" t="s">
        <v>32</v>
      </c>
      <c r="T1055" s="20" t="s">
        <v>38</v>
      </c>
      <c r="U1055" s="20" t="s">
        <v>2149</v>
      </c>
      <c r="V1055" s="21"/>
      <c r="W1055" s="21">
        <v>46259</v>
      </c>
      <c r="X1055" s="20" t="s">
        <v>39</v>
      </c>
      <c r="Y1055" s="21">
        <v>46259</v>
      </c>
      <c r="Z1055" s="20" t="s">
        <v>39</v>
      </c>
      <c r="AA1055" s="17" t="e">
        <f>VLOOKUP(F1055,[2]Wait!$H$225:$I$260,2,0)</f>
        <v>#N/A</v>
      </c>
    </row>
    <row r="1056" spans="1:27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2737</v>
      </c>
      <c r="E1056" s="20" t="s">
        <v>26</v>
      </c>
      <c r="F1056" s="20" t="s">
        <v>3769</v>
      </c>
      <c r="G1056" s="20" t="s">
        <v>35</v>
      </c>
      <c r="H1056" s="20" t="s">
        <v>26</v>
      </c>
      <c r="I1056" s="21">
        <v>46263</v>
      </c>
      <c r="J1056" s="20" t="s">
        <v>36</v>
      </c>
      <c r="K1056" s="20" t="s">
        <v>28</v>
      </c>
      <c r="L1056" s="20" t="s">
        <v>2738</v>
      </c>
      <c r="M1056" s="20" t="s">
        <v>681</v>
      </c>
      <c r="N1056" s="22" t="s">
        <v>250</v>
      </c>
      <c r="O1056" s="20" t="s">
        <v>949</v>
      </c>
      <c r="P1056" s="20" t="s">
        <v>41</v>
      </c>
      <c r="Q1056" s="20" t="s">
        <v>42</v>
      </c>
      <c r="R1056" s="20" t="s">
        <v>72</v>
      </c>
      <c r="S1056" s="20" t="s">
        <v>32</v>
      </c>
      <c r="T1056" s="20" t="s">
        <v>33</v>
      </c>
      <c r="U1056" s="20" t="s">
        <v>1536</v>
      </c>
      <c r="V1056" s="21"/>
      <c r="W1056" s="21">
        <v>46263</v>
      </c>
      <c r="X1056" s="20" t="s">
        <v>39</v>
      </c>
      <c r="Y1056" s="21">
        <v>46263</v>
      </c>
      <c r="Z1056" s="20" t="s">
        <v>39</v>
      </c>
      <c r="AA1056" s="17" t="e">
        <f>VLOOKUP(F1056,[2]Wait!$H$225:$I$260,2,0)</f>
        <v>#N/A</v>
      </c>
    </row>
    <row r="1057" spans="1:27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2739</v>
      </c>
      <c r="E1057" s="20" t="s">
        <v>26</v>
      </c>
      <c r="F1057" s="20" t="s">
        <v>3770</v>
      </c>
      <c r="G1057" s="20" t="s">
        <v>35</v>
      </c>
      <c r="H1057" s="20" t="s">
        <v>26</v>
      </c>
      <c r="I1057" s="21">
        <v>46263</v>
      </c>
      <c r="J1057" s="20" t="s">
        <v>36</v>
      </c>
      <c r="K1057" s="20" t="s">
        <v>28</v>
      </c>
      <c r="L1057" s="20" t="s">
        <v>2740</v>
      </c>
      <c r="M1057" s="20" t="s">
        <v>681</v>
      </c>
      <c r="N1057" s="22" t="s">
        <v>250</v>
      </c>
      <c r="O1057" s="20" t="s">
        <v>949</v>
      </c>
      <c r="P1057" s="20" t="s">
        <v>41</v>
      </c>
      <c r="Q1057" s="20" t="s">
        <v>42</v>
      </c>
      <c r="R1057" s="20" t="s">
        <v>72</v>
      </c>
      <c r="S1057" s="20" t="s">
        <v>32</v>
      </c>
      <c r="T1057" s="20" t="s">
        <v>33</v>
      </c>
      <c r="U1057" s="20" t="s">
        <v>1536</v>
      </c>
      <c r="V1057" s="21"/>
      <c r="W1057" s="21">
        <v>46263</v>
      </c>
      <c r="X1057" s="20" t="s">
        <v>39</v>
      </c>
      <c r="Y1057" s="21">
        <v>46263</v>
      </c>
      <c r="Z1057" s="20" t="s">
        <v>39</v>
      </c>
      <c r="AA1057" s="17" t="e">
        <f>VLOOKUP(F1057,[2]Wait!$H$225:$I$260,2,0)</f>
        <v>#N/A</v>
      </c>
    </row>
    <row r="1058" spans="1:27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2743</v>
      </c>
      <c r="E1058" s="20" t="s">
        <v>26</v>
      </c>
      <c r="F1058" s="20" t="s">
        <v>3771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2744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2435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  <c r="AA1058" s="17" t="e">
        <f>VLOOKUP(F1058,[2]Wait!$H$225:$I$260,2,0)</f>
        <v>#N/A</v>
      </c>
    </row>
    <row r="1059" spans="1:27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2747</v>
      </c>
      <c r="E1059" s="20" t="s">
        <v>26</v>
      </c>
      <c r="F1059" s="20" t="s">
        <v>3772</v>
      </c>
      <c r="G1059" s="20" t="s">
        <v>35</v>
      </c>
      <c r="H1059" s="20" t="s">
        <v>26</v>
      </c>
      <c r="I1059" s="21">
        <v>46270</v>
      </c>
      <c r="J1059" s="20" t="s">
        <v>36</v>
      </c>
      <c r="K1059" s="20" t="s">
        <v>28</v>
      </c>
      <c r="L1059" s="20" t="s">
        <v>874</v>
      </c>
      <c r="M1059" s="20" t="s">
        <v>681</v>
      </c>
      <c r="N1059" s="22" t="s">
        <v>250</v>
      </c>
      <c r="O1059" s="20" t="s">
        <v>1013</v>
      </c>
      <c r="P1059" s="20" t="s">
        <v>30</v>
      </c>
      <c r="Q1059" s="20" t="s">
        <v>31</v>
      </c>
      <c r="R1059" s="20" t="s">
        <v>379</v>
      </c>
      <c r="S1059" s="20" t="s">
        <v>32</v>
      </c>
      <c r="T1059" s="20" t="s">
        <v>55</v>
      </c>
      <c r="U1059" s="20" t="s">
        <v>875</v>
      </c>
      <c r="V1059" s="21"/>
      <c r="W1059" s="21">
        <v>46270</v>
      </c>
      <c r="X1059" s="20" t="s">
        <v>39</v>
      </c>
      <c r="Y1059" s="21">
        <v>46270</v>
      </c>
      <c r="Z1059" s="20" t="s">
        <v>39</v>
      </c>
      <c r="AA1059" s="17" t="e">
        <f>VLOOKUP(F1059,[2]Wait!$H$225:$I$260,2,0)</f>
        <v>#N/A</v>
      </c>
    </row>
    <row r="1060" spans="1:27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2748</v>
      </c>
      <c r="E1060" s="20" t="s">
        <v>26</v>
      </c>
      <c r="F1060" s="20" t="s">
        <v>3773</v>
      </c>
      <c r="G1060" s="20" t="s">
        <v>35</v>
      </c>
      <c r="H1060" s="20" t="s">
        <v>26</v>
      </c>
      <c r="I1060" s="21">
        <v>46265</v>
      </c>
      <c r="J1060" s="20" t="s">
        <v>36</v>
      </c>
      <c r="K1060" s="20" t="s">
        <v>28</v>
      </c>
      <c r="L1060" s="20" t="s">
        <v>2749</v>
      </c>
      <c r="M1060" s="20" t="s">
        <v>681</v>
      </c>
      <c r="N1060" s="22" t="s">
        <v>250</v>
      </c>
      <c r="O1060" s="20" t="s">
        <v>1070</v>
      </c>
      <c r="P1060" s="20" t="s">
        <v>26</v>
      </c>
      <c r="Q1060" s="20" t="s">
        <v>26</v>
      </c>
      <c r="R1060" s="20" t="s">
        <v>72</v>
      </c>
      <c r="S1060" s="20" t="s">
        <v>32</v>
      </c>
      <c r="T1060" s="20" t="s">
        <v>70</v>
      </c>
      <c r="U1060" s="20" t="s">
        <v>2435</v>
      </c>
      <c r="V1060" s="21"/>
      <c r="W1060" s="21">
        <v>46265</v>
      </c>
      <c r="X1060" s="20" t="s">
        <v>39</v>
      </c>
      <c r="Y1060" s="21">
        <v>46265</v>
      </c>
      <c r="Z1060" s="20" t="s">
        <v>39</v>
      </c>
      <c r="AA1060" s="17" t="e">
        <f>VLOOKUP(F1060,[2]Wait!$H$225:$I$260,2,0)</f>
        <v>#N/A</v>
      </c>
    </row>
    <row r="1061" spans="1:27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2750</v>
      </c>
      <c r="E1061" s="20" t="s">
        <v>26</v>
      </c>
      <c r="F1061" s="20" t="s">
        <v>3774</v>
      </c>
      <c r="G1061" s="20" t="s">
        <v>35</v>
      </c>
      <c r="H1061" s="20" t="s">
        <v>26</v>
      </c>
      <c r="I1061" s="21">
        <v>46269</v>
      </c>
      <c r="J1061" s="20" t="s">
        <v>36</v>
      </c>
      <c r="K1061" s="20" t="s">
        <v>28</v>
      </c>
      <c r="L1061" s="20" t="s">
        <v>876</v>
      </c>
      <c r="M1061" s="20" t="s">
        <v>681</v>
      </c>
      <c r="N1061" s="22" t="s">
        <v>250</v>
      </c>
      <c r="O1061" s="20" t="s">
        <v>955</v>
      </c>
      <c r="P1061" s="20" t="s">
        <v>41</v>
      </c>
      <c r="Q1061" s="20" t="s">
        <v>42</v>
      </c>
      <c r="R1061" s="20" t="s">
        <v>65</v>
      </c>
      <c r="S1061" s="20" t="s">
        <v>32</v>
      </c>
      <c r="T1061" s="20" t="s">
        <v>107</v>
      </c>
      <c r="U1061" s="20" t="s">
        <v>877</v>
      </c>
      <c r="V1061" s="21"/>
      <c r="W1061" s="21">
        <v>46269</v>
      </c>
      <c r="X1061" s="20" t="s">
        <v>39</v>
      </c>
      <c r="Y1061" s="21">
        <v>46269</v>
      </c>
      <c r="Z1061" s="20" t="s">
        <v>39</v>
      </c>
      <c r="AA1061" s="17" t="e">
        <f>VLOOKUP(F1061,[2]Wait!$H$225:$I$260,2,0)</f>
        <v>#N/A</v>
      </c>
    </row>
    <row r="1062" spans="1:27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2751</v>
      </c>
      <c r="E1062" s="20" t="s">
        <v>26</v>
      </c>
      <c r="F1062" s="20" t="s">
        <v>3775</v>
      </c>
      <c r="G1062" s="20" t="s">
        <v>35</v>
      </c>
      <c r="H1062" s="20" t="s">
        <v>26</v>
      </c>
      <c r="I1062" s="21">
        <v>46270</v>
      </c>
      <c r="J1062" s="20" t="s">
        <v>36</v>
      </c>
      <c r="K1062" s="20" t="s">
        <v>28</v>
      </c>
      <c r="L1062" s="20" t="s">
        <v>2752</v>
      </c>
      <c r="M1062" s="20" t="s">
        <v>681</v>
      </c>
      <c r="N1062" s="22" t="s">
        <v>250</v>
      </c>
      <c r="O1062" s="20" t="s">
        <v>1013</v>
      </c>
      <c r="P1062" s="20" t="s">
        <v>41</v>
      </c>
      <c r="Q1062" s="20" t="s">
        <v>42</v>
      </c>
      <c r="R1062" s="20" t="s">
        <v>65</v>
      </c>
      <c r="S1062" s="20" t="s">
        <v>32</v>
      </c>
      <c r="T1062" s="20" t="s">
        <v>204</v>
      </c>
      <c r="U1062" s="20" t="s">
        <v>2753</v>
      </c>
      <c r="V1062" s="21"/>
      <c r="W1062" s="21">
        <v>46270</v>
      </c>
      <c r="X1062" s="20" t="s">
        <v>39</v>
      </c>
      <c r="Y1062" s="21">
        <v>46270</v>
      </c>
      <c r="Z1062" s="20" t="s">
        <v>39</v>
      </c>
      <c r="AA1062" s="17" t="e">
        <f>VLOOKUP(F1062,[2]Wait!$H$225:$I$260,2,0)</f>
        <v>#N/A</v>
      </c>
    </row>
    <row r="1063" spans="1:27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2754</v>
      </c>
      <c r="E1063" s="20" t="s">
        <v>26</v>
      </c>
      <c r="F1063" s="20" t="s">
        <v>3776</v>
      </c>
      <c r="G1063" s="20" t="s">
        <v>35</v>
      </c>
      <c r="H1063" s="20" t="s">
        <v>26</v>
      </c>
      <c r="I1063" s="21">
        <v>46267</v>
      </c>
      <c r="J1063" s="20" t="s">
        <v>36</v>
      </c>
      <c r="K1063" s="20" t="s">
        <v>28</v>
      </c>
      <c r="L1063" s="20" t="s">
        <v>880</v>
      </c>
      <c r="M1063" s="20" t="s">
        <v>681</v>
      </c>
      <c r="N1063" s="22" t="s">
        <v>250</v>
      </c>
      <c r="O1063" s="20" t="s">
        <v>961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204</v>
      </c>
      <c r="U1063" s="20" t="s">
        <v>881</v>
      </c>
      <c r="V1063" s="21"/>
      <c r="W1063" s="21">
        <v>46267</v>
      </c>
      <c r="X1063" s="20" t="s">
        <v>39</v>
      </c>
      <c r="Y1063" s="21">
        <v>46267</v>
      </c>
      <c r="Z1063" s="20" t="s">
        <v>39</v>
      </c>
      <c r="AA1063" s="17" t="e">
        <f>VLOOKUP(F1063,[2]Wait!$H$225:$I$260,2,0)</f>
        <v>#N/A</v>
      </c>
    </row>
    <row r="1064" spans="1:27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2755</v>
      </c>
      <c r="E1064" s="20" t="s">
        <v>26</v>
      </c>
      <c r="F1064" s="20" t="s">
        <v>3777</v>
      </c>
      <c r="G1064" s="20" t="s">
        <v>35</v>
      </c>
      <c r="H1064" s="20" t="s">
        <v>26</v>
      </c>
      <c r="I1064" s="21">
        <v>46258</v>
      </c>
      <c r="J1064" s="20" t="s">
        <v>36</v>
      </c>
      <c r="K1064" s="20" t="s">
        <v>28</v>
      </c>
      <c r="L1064" s="20" t="s">
        <v>882</v>
      </c>
      <c r="M1064" s="20" t="s">
        <v>681</v>
      </c>
      <c r="N1064" s="22" t="s">
        <v>250</v>
      </c>
      <c r="O1064" s="20" t="s">
        <v>991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107</v>
      </c>
      <c r="U1064" s="20" t="s">
        <v>883</v>
      </c>
      <c r="V1064" s="21"/>
      <c r="W1064" s="21">
        <v>46258</v>
      </c>
      <c r="X1064" s="20" t="s">
        <v>39</v>
      </c>
      <c r="Y1064" s="21">
        <v>46258</v>
      </c>
      <c r="Z1064" s="20" t="s">
        <v>39</v>
      </c>
      <c r="AA1064" s="17" t="e">
        <f>VLOOKUP(F1064,[2]Wait!$H$225:$I$260,2,0)</f>
        <v>#N/A</v>
      </c>
    </row>
    <row r="1065" spans="1:27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2756</v>
      </c>
      <c r="E1065" s="20" t="s">
        <v>26</v>
      </c>
      <c r="F1065" s="20" t="s">
        <v>3778</v>
      </c>
      <c r="G1065" s="20" t="s">
        <v>35</v>
      </c>
      <c r="H1065" s="20" t="s">
        <v>26</v>
      </c>
      <c r="I1065" s="21">
        <v>46258</v>
      </c>
      <c r="J1065" s="20" t="s">
        <v>36</v>
      </c>
      <c r="K1065" s="20" t="s">
        <v>28</v>
      </c>
      <c r="L1065" s="20" t="s">
        <v>884</v>
      </c>
      <c r="M1065" s="20" t="s">
        <v>681</v>
      </c>
      <c r="N1065" s="22" t="s">
        <v>250</v>
      </c>
      <c r="O1065" s="20" t="s">
        <v>991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107</v>
      </c>
      <c r="U1065" s="20" t="s">
        <v>883</v>
      </c>
      <c r="V1065" s="21"/>
      <c r="W1065" s="21">
        <v>46258</v>
      </c>
      <c r="X1065" s="20" t="s">
        <v>39</v>
      </c>
      <c r="Y1065" s="21">
        <v>46258</v>
      </c>
      <c r="Z1065" s="20" t="s">
        <v>39</v>
      </c>
      <c r="AA1065" s="17" t="e">
        <f>VLOOKUP(F1065,[2]Wait!$H$225:$I$260,2,0)</f>
        <v>#N/A</v>
      </c>
    </row>
    <row r="1066" spans="1:27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2757</v>
      </c>
      <c r="E1066" s="20" t="s">
        <v>26</v>
      </c>
      <c r="F1066" s="20" t="s">
        <v>3779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885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  <c r="AA1066" s="17" t="e">
        <f>VLOOKUP(F1066,[2]Wait!$H$225:$I$260,2,0)</f>
        <v>#N/A</v>
      </c>
    </row>
    <row r="1067" spans="1:27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2758</v>
      </c>
      <c r="E1067" s="20" t="s">
        <v>26</v>
      </c>
      <c r="F1067" s="20" t="s">
        <v>3780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886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  <c r="AA1067" s="17" t="e">
        <f>VLOOKUP(F1067,[2]Wait!$H$225:$I$260,2,0)</f>
        <v>#N/A</v>
      </c>
    </row>
    <row r="1068" spans="1:27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2759</v>
      </c>
      <c r="E1068" s="20" t="s">
        <v>26</v>
      </c>
      <c r="F1068" s="20" t="s">
        <v>3781</v>
      </c>
      <c r="G1068" s="20" t="s">
        <v>35</v>
      </c>
      <c r="H1068" s="20" t="s">
        <v>26</v>
      </c>
      <c r="I1068" s="21">
        <v>46269</v>
      </c>
      <c r="J1068" s="20" t="s">
        <v>36</v>
      </c>
      <c r="K1068" s="20" t="s">
        <v>28</v>
      </c>
      <c r="L1068" s="20" t="s">
        <v>2760</v>
      </c>
      <c r="M1068" s="20" t="s">
        <v>681</v>
      </c>
      <c r="N1068" s="22" t="s">
        <v>250</v>
      </c>
      <c r="O1068" s="20" t="s">
        <v>955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204</v>
      </c>
      <c r="U1068" s="20" t="s">
        <v>2761</v>
      </c>
      <c r="V1068" s="21"/>
      <c r="W1068" s="21">
        <v>46269</v>
      </c>
      <c r="X1068" s="20" t="s">
        <v>39</v>
      </c>
      <c r="Y1068" s="21">
        <v>46269</v>
      </c>
      <c r="Z1068" s="20" t="s">
        <v>39</v>
      </c>
      <c r="AA1068" s="17" t="e">
        <f>VLOOKUP(F1068,[2]Wait!$H$225:$I$260,2,0)</f>
        <v>#N/A</v>
      </c>
    </row>
    <row r="1069" spans="1:27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2762</v>
      </c>
      <c r="E1069" s="20" t="s">
        <v>26</v>
      </c>
      <c r="F1069" s="20" t="s">
        <v>3782</v>
      </c>
      <c r="G1069" s="20" t="s">
        <v>35</v>
      </c>
      <c r="H1069" s="20" t="s">
        <v>26</v>
      </c>
      <c r="I1069" s="21">
        <v>46269</v>
      </c>
      <c r="J1069" s="20" t="s">
        <v>36</v>
      </c>
      <c r="K1069" s="20" t="s">
        <v>28</v>
      </c>
      <c r="L1069" s="20" t="s">
        <v>2763</v>
      </c>
      <c r="M1069" s="20" t="s">
        <v>681</v>
      </c>
      <c r="N1069" s="22" t="s">
        <v>250</v>
      </c>
      <c r="O1069" s="20" t="s">
        <v>955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204</v>
      </c>
      <c r="U1069" s="20" t="s">
        <v>2761</v>
      </c>
      <c r="V1069" s="21"/>
      <c r="W1069" s="21">
        <v>46269</v>
      </c>
      <c r="X1069" s="20" t="s">
        <v>39</v>
      </c>
      <c r="Y1069" s="21">
        <v>46269</v>
      </c>
      <c r="Z1069" s="20" t="s">
        <v>39</v>
      </c>
      <c r="AA1069" s="17" t="e">
        <f>VLOOKUP(F1069,[2]Wait!$H$225:$I$260,2,0)</f>
        <v>#N/A</v>
      </c>
    </row>
    <row r="1070" spans="1:27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2764</v>
      </c>
      <c r="E1070" s="20" t="s">
        <v>2765</v>
      </c>
      <c r="F1070" s="20" t="s">
        <v>3783</v>
      </c>
      <c r="G1070" s="20" t="s">
        <v>25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888</v>
      </c>
      <c r="M1070" s="20" t="s">
        <v>681</v>
      </c>
      <c r="N1070" s="22" t="s">
        <v>250</v>
      </c>
      <c r="O1070" s="20" t="s">
        <v>1044</v>
      </c>
      <c r="P1070" s="20" t="s">
        <v>41</v>
      </c>
      <c r="Q1070" s="20" t="s">
        <v>42</v>
      </c>
      <c r="R1070" s="20" t="s">
        <v>889</v>
      </c>
      <c r="S1070" s="20" t="s">
        <v>32</v>
      </c>
      <c r="T1070" s="20" t="s">
        <v>195</v>
      </c>
      <c r="U1070" s="20" t="s">
        <v>890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  <c r="AA1070" s="17" t="e">
        <f>VLOOKUP(F1070,[2]Wait!$H$225:$I$260,2,0)</f>
        <v>#N/A</v>
      </c>
    </row>
    <row r="1071" spans="1:27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2768</v>
      </c>
      <c r="E1071" s="20" t="s">
        <v>2769</v>
      </c>
      <c r="F1071" s="20" t="s">
        <v>3784</v>
      </c>
      <c r="G1071" s="20" t="s">
        <v>25</v>
      </c>
      <c r="H1071" s="20" t="s">
        <v>26</v>
      </c>
      <c r="I1071" s="21">
        <v>46258</v>
      </c>
      <c r="J1071" s="20" t="s">
        <v>36</v>
      </c>
      <c r="K1071" s="20" t="s">
        <v>28</v>
      </c>
      <c r="L1071" s="20" t="s">
        <v>893</v>
      </c>
      <c r="M1071" s="20" t="s">
        <v>681</v>
      </c>
      <c r="N1071" s="22" t="s">
        <v>250</v>
      </c>
      <c r="O1071" s="20" t="s">
        <v>1044</v>
      </c>
      <c r="P1071" s="20" t="s">
        <v>41</v>
      </c>
      <c r="Q1071" s="20" t="s">
        <v>42</v>
      </c>
      <c r="R1071" s="20" t="s">
        <v>894</v>
      </c>
      <c r="S1071" s="20" t="s">
        <v>32</v>
      </c>
      <c r="T1071" s="20" t="s">
        <v>195</v>
      </c>
      <c r="U1071" s="20" t="s">
        <v>895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  <c r="AA1071" s="17" t="e">
        <f>VLOOKUP(F1071,[2]Wait!$H$225:$I$260,2,0)</f>
        <v>#N/A</v>
      </c>
    </row>
    <row r="1072" spans="1:27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2642</v>
      </c>
      <c r="E1072" s="20" t="s">
        <v>2643</v>
      </c>
      <c r="F1072" s="20" t="s">
        <v>2643</v>
      </c>
      <c r="G1072" s="20" t="s">
        <v>194</v>
      </c>
      <c r="H1072" s="20" t="s">
        <v>26</v>
      </c>
      <c r="I1072" s="21">
        <v>46274</v>
      </c>
      <c r="J1072" s="20" t="s">
        <v>32</v>
      </c>
      <c r="K1072" s="20" t="s">
        <v>28</v>
      </c>
      <c r="L1072" s="20" t="s">
        <v>2644</v>
      </c>
      <c r="M1072" s="20" t="s">
        <v>681</v>
      </c>
      <c r="N1072" s="22" t="s">
        <v>250</v>
      </c>
      <c r="O1072" s="20" t="s">
        <v>1044</v>
      </c>
      <c r="P1072" s="20" t="s">
        <v>26</v>
      </c>
      <c r="Q1072" s="20" t="s">
        <v>26</v>
      </c>
      <c r="R1072" s="20" t="s">
        <v>26</v>
      </c>
      <c r="S1072" s="20" t="s">
        <v>32</v>
      </c>
      <c r="T1072" s="20" t="s">
        <v>195</v>
      </c>
      <c r="U1072" s="20" t="s">
        <v>26</v>
      </c>
      <c r="V1072" s="21"/>
      <c r="W1072" s="21">
        <v>46274</v>
      </c>
      <c r="X1072" s="20" t="s">
        <v>34</v>
      </c>
      <c r="Y1072" s="21">
        <v>46274</v>
      </c>
      <c r="Z1072" s="20" t="s">
        <v>34</v>
      </c>
      <c r="AA1072" s="17" t="e">
        <f>VLOOKUP(F1072,[2]Wait!$H$225:$I$260,2,0)</f>
        <v>#N/A</v>
      </c>
    </row>
    <row r="1073" spans="1:27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3785</v>
      </c>
      <c r="E1073" s="20" t="s">
        <v>3786</v>
      </c>
      <c r="F1073" s="20" t="s">
        <v>3786</v>
      </c>
      <c r="G1073" s="20" t="s">
        <v>194</v>
      </c>
      <c r="H1073" s="20" t="s">
        <v>26</v>
      </c>
      <c r="I1073" s="21">
        <v>46287</v>
      </c>
      <c r="J1073" s="20" t="s">
        <v>32</v>
      </c>
      <c r="K1073" s="20" t="s">
        <v>28</v>
      </c>
      <c r="L1073" s="20" t="s">
        <v>3787</v>
      </c>
      <c r="M1073" s="20" t="s">
        <v>681</v>
      </c>
      <c r="N1073" s="22" t="s">
        <v>250</v>
      </c>
      <c r="O1073" s="20" t="s">
        <v>1044</v>
      </c>
      <c r="P1073" s="20" t="s">
        <v>26</v>
      </c>
      <c r="Q1073" s="20" t="s">
        <v>26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46287</v>
      </c>
      <c r="X1073" s="20" t="s">
        <v>34</v>
      </c>
      <c r="Y1073" s="21">
        <v>46287</v>
      </c>
      <c r="Z1073" s="20" t="s">
        <v>34</v>
      </c>
      <c r="AA1073" s="17" t="e">
        <f>VLOOKUP(F1073,[2]Wait!$H$225:$I$260,2,0)</f>
        <v>#N/A</v>
      </c>
    </row>
    <row r="1074" spans="1:27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2772</v>
      </c>
      <c r="E1074" s="20" t="s">
        <v>2773</v>
      </c>
      <c r="F1074" s="20" t="s">
        <v>2773</v>
      </c>
      <c r="G1074" s="20" t="s">
        <v>194</v>
      </c>
      <c r="H1074" s="20" t="s">
        <v>26</v>
      </c>
      <c r="I1074" s="21">
        <v>46258</v>
      </c>
      <c r="J1074" s="20" t="s">
        <v>36</v>
      </c>
      <c r="K1074" s="20" t="s">
        <v>28</v>
      </c>
      <c r="L1074" s="20" t="s">
        <v>2774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36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  <c r="AA1074" s="17" t="e">
        <f>VLOOKUP(F1074,[2]Wait!$H$225:$I$260,2,0)</f>
        <v>#N/A</v>
      </c>
    </row>
    <row r="1075" spans="1:27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2775</v>
      </c>
      <c r="E1075" s="20" t="s">
        <v>2773</v>
      </c>
      <c r="F1075" s="20" t="s">
        <v>2773</v>
      </c>
      <c r="G1075" s="20" t="s">
        <v>194</v>
      </c>
      <c r="H1075" s="20" t="s">
        <v>26</v>
      </c>
      <c r="I1075" s="21">
        <v>46258</v>
      </c>
      <c r="J1075" s="20" t="s">
        <v>36</v>
      </c>
      <c r="K1075" s="20" t="s">
        <v>58</v>
      </c>
      <c r="L1075" s="20" t="s">
        <v>2774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36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  <c r="AA1075" s="17" t="e">
        <f>VLOOKUP(F1075,[2]Wait!$H$225:$I$260,2,0)</f>
        <v>#N/A</v>
      </c>
    </row>
    <row r="1076" spans="1:27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2776</v>
      </c>
      <c r="E1076" s="20" t="s">
        <v>2777</v>
      </c>
      <c r="F1076" s="20" t="s">
        <v>2777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209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  <c r="AA1076" s="17" t="e">
        <f>VLOOKUP(F1076,[2]Wait!$H$225:$I$260,2,0)</f>
        <v>#N/A</v>
      </c>
    </row>
    <row r="1077" spans="1:27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2954</v>
      </c>
      <c r="E1077" s="20" t="s">
        <v>2955</v>
      </c>
      <c r="F1077" s="20" t="s">
        <v>2955</v>
      </c>
      <c r="G1077" s="20" t="s">
        <v>194</v>
      </c>
      <c r="H1077" s="20" t="s">
        <v>26</v>
      </c>
      <c r="I1077" s="21">
        <v>46285</v>
      </c>
      <c r="J1077" s="20" t="s">
        <v>32</v>
      </c>
      <c r="K1077" s="20" t="s">
        <v>28</v>
      </c>
      <c r="L1077" s="20" t="s">
        <v>2956</v>
      </c>
      <c r="M1077" s="20" t="s">
        <v>2957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32</v>
      </c>
      <c r="T1077" s="20" t="s">
        <v>195</v>
      </c>
      <c r="U1077" s="20" t="s">
        <v>26</v>
      </c>
      <c r="V1077" s="21"/>
      <c r="W1077" s="21">
        <v>46285</v>
      </c>
      <c r="X1077" s="20" t="s">
        <v>34</v>
      </c>
      <c r="Y1077" s="21">
        <v>46285</v>
      </c>
      <c r="Z1077" s="20" t="s">
        <v>34</v>
      </c>
      <c r="AA1077" s="17" t="e">
        <f>VLOOKUP(F1077,[2]Wait!$H$225:$I$260,2,0)</f>
        <v>#N/A</v>
      </c>
    </row>
    <row r="1078" spans="1:27" x14ac:dyDescent="0.25">
      <c r="A1078" s="9">
        <f t="shared" si="16"/>
        <v>1071</v>
      </c>
      <c r="B1078" s="19" t="s">
        <v>926</v>
      </c>
      <c r="C1078" s="20" t="s">
        <v>2601</v>
      </c>
      <c r="D1078" s="20" t="s">
        <v>2602</v>
      </c>
      <c r="E1078" s="20" t="s">
        <v>2603</v>
      </c>
      <c r="F1078" s="20" t="s">
        <v>3788</v>
      </c>
      <c r="G1078" s="20" t="s">
        <v>273</v>
      </c>
      <c r="H1078" s="20" t="s">
        <v>26</v>
      </c>
      <c r="I1078" s="21">
        <v>46256</v>
      </c>
      <c r="J1078" s="20" t="s">
        <v>36</v>
      </c>
      <c r="K1078" s="20" t="s">
        <v>28</v>
      </c>
      <c r="L1078" s="20" t="s">
        <v>2604</v>
      </c>
      <c r="M1078" s="20" t="s">
        <v>270</v>
      </c>
      <c r="N1078" s="22" t="s">
        <v>250</v>
      </c>
      <c r="O1078" s="20" t="s">
        <v>1193</v>
      </c>
      <c r="P1078" s="20" t="s">
        <v>214</v>
      </c>
      <c r="Q1078" s="20" t="s">
        <v>215</v>
      </c>
      <c r="R1078" s="20" t="s">
        <v>335</v>
      </c>
      <c r="S1078" s="20" t="s">
        <v>32</v>
      </c>
      <c r="T1078" s="20" t="s">
        <v>685</v>
      </c>
      <c r="U1078" s="20" t="s">
        <v>2605</v>
      </c>
      <c r="V1078" s="21"/>
      <c r="W1078" s="21">
        <v>46256</v>
      </c>
      <c r="X1078" s="20" t="s">
        <v>34</v>
      </c>
      <c r="Y1078" s="21">
        <v>46267</v>
      </c>
      <c r="Z1078" s="20" t="s">
        <v>34</v>
      </c>
      <c r="AA1078" s="17" t="e">
        <f>VLOOKUP(F1078,[2]Wait!$H$225:$I$260,2,0)</f>
        <v>#N/A</v>
      </c>
    </row>
    <row r="1079" spans="1:27" x14ac:dyDescent="0.25">
      <c r="A1079" s="9">
        <f t="shared" si="16"/>
        <v>1072</v>
      </c>
      <c r="B1079" s="19" t="s">
        <v>926</v>
      </c>
      <c r="C1079" s="20" t="s">
        <v>2601</v>
      </c>
      <c r="D1079" s="20" t="s">
        <v>2606</v>
      </c>
      <c r="E1079" s="20" t="s">
        <v>2603</v>
      </c>
      <c r="F1079" s="20" t="s">
        <v>3788</v>
      </c>
      <c r="G1079" s="20" t="s">
        <v>273</v>
      </c>
      <c r="H1079" s="20" t="s">
        <v>26</v>
      </c>
      <c r="I1079" s="21">
        <v>46256</v>
      </c>
      <c r="J1079" s="20" t="s">
        <v>36</v>
      </c>
      <c r="K1079" s="20" t="s">
        <v>58</v>
      </c>
      <c r="L1079" s="20" t="s">
        <v>2604</v>
      </c>
      <c r="M1079" s="20" t="s">
        <v>270</v>
      </c>
      <c r="N1079" s="22" t="s">
        <v>250</v>
      </c>
      <c r="O1079" s="20" t="s">
        <v>1193</v>
      </c>
      <c r="P1079" s="20" t="s">
        <v>214</v>
      </c>
      <c r="Q1079" s="20" t="s">
        <v>215</v>
      </c>
      <c r="R1079" s="20" t="s">
        <v>335</v>
      </c>
      <c r="S1079" s="20" t="s">
        <v>32</v>
      </c>
      <c r="T1079" s="20" t="s">
        <v>685</v>
      </c>
      <c r="U1079" s="20" t="s">
        <v>2605</v>
      </c>
      <c r="V1079" s="21"/>
      <c r="W1079" s="21">
        <v>46256</v>
      </c>
      <c r="X1079" s="20" t="s">
        <v>34</v>
      </c>
      <c r="Y1079" s="21">
        <v>46267</v>
      </c>
      <c r="Z1079" s="20" t="s">
        <v>34</v>
      </c>
      <c r="AA1079" s="17" t="e">
        <f>VLOOKUP(F1079,[2]Wait!$H$225:$I$260,2,0)</f>
        <v>#N/A</v>
      </c>
    </row>
    <row r="1080" spans="1:27" x14ac:dyDescent="0.25">
      <c r="A1080" s="9">
        <f t="shared" si="16"/>
        <v>1073</v>
      </c>
      <c r="B1080" s="19" t="s">
        <v>926</v>
      </c>
      <c r="C1080" s="20" t="s">
        <v>927</v>
      </c>
      <c r="D1080" s="20" t="s">
        <v>2624</v>
      </c>
      <c r="E1080" s="20" t="s">
        <v>26</v>
      </c>
      <c r="F1080" s="20" t="s">
        <v>3789</v>
      </c>
      <c r="G1080" s="20" t="s">
        <v>35</v>
      </c>
      <c r="H1080" s="20" t="s">
        <v>26</v>
      </c>
      <c r="I1080" s="21">
        <v>46265</v>
      </c>
      <c r="J1080" s="20" t="s">
        <v>36</v>
      </c>
      <c r="K1080" s="20" t="s">
        <v>28</v>
      </c>
      <c r="L1080" s="20" t="s">
        <v>806</v>
      </c>
      <c r="M1080" s="20" t="s">
        <v>270</v>
      </c>
      <c r="N1080" s="22" t="s">
        <v>250</v>
      </c>
      <c r="O1080" s="20" t="s">
        <v>1070</v>
      </c>
      <c r="P1080" s="20" t="s">
        <v>41</v>
      </c>
      <c r="Q1080" s="20" t="s">
        <v>42</v>
      </c>
      <c r="R1080" s="20" t="s">
        <v>43</v>
      </c>
      <c r="S1080" s="20" t="s">
        <v>32</v>
      </c>
      <c r="T1080" s="20" t="s">
        <v>71</v>
      </c>
      <c r="U1080" s="20" t="s">
        <v>807</v>
      </c>
      <c r="V1080" s="21"/>
      <c r="W1080" s="21">
        <v>46265</v>
      </c>
      <c r="X1080" s="20" t="s">
        <v>39</v>
      </c>
      <c r="Y1080" s="21">
        <v>46265</v>
      </c>
      <c r="Z1080" s="20" t="s">
        <v>39</v>
      </c>
      <c r="AA1080" s="17" t="e">
        <f>VLOOKUP(F1080,[2]Wait!$H$225:$I$260,2,0)</f>
        <v>#N/A</v>
      </c>
    </row>
    <row r="1081" spans="1:27" x14ac:dyDescent="0.25">
      <c r="A1081" s="9">
        <f t="shared" si="16"/>
        <v>1074</v>
      </c>
      <c r="B1081" s="19" t="s">
        <v>926</v>
      </c>
      <c r="C1081" s="20" t="s">
        <v>927</v>
      </c>
      <c r="D1081" s="20" t="s">
        <v>2633</v>
      </c>
      <c r="E1081" s="20" t="s">
        <v>2634</v>
      </c>
      <c r="F1081" s="20" t="s">
        <v>2634</v>
      </c>
      <c r="G1081" s="20" t="s">
        <v>194</v>
      </c>
      <c r="H1081" s="20" t="s">
        <v>26</v>
      </c>
      <c r="I1081" s="21">
        <v>46262</v>
      </c>
      <c r="J1081" s="20" t="s">
        <v>255</v>
      </c>
      <c r="K1081" s="20" t="s">
        <v>28</v>
      </c>
      <c r="L1081" s="20" t="s">
        <v>2635</v>
      </c>
      <c r="M1081" s="20" t="s">
        <v>270</v>
      </c>
      <c r="N1081" s="22" t="s">
        <v>250</v>
      </c>
      <c r="O1081" s="20" t="s">
        <v>1044</v>
      </c>
      <c r="P1081" s="20" t="s">
        <v>26</v>
      </c>
      <c r="Q1081" s="20" t="s">
        <v>26</v>
      </c>
      <c r="R1081" s="20" t="s">
        <v>26</v>
      </c>
      <c r="S1081" s="20" t="s">
        <v>255</v>
      </c>
      <c r="T1081" s="20" t="s">
        <v>195</v>
      </c>
      <c r="U1081" s="20" t="s">
        <v>26</v>
      </c>
      <c r="V1081" s="21"/>
      <c r="W1081" s="21">
        <v>46262</v>
      </c>
      <c r="X1081" s="20" t="s">
        <v>34</v>
      </c>
      <c r="Y1081" s="21">
        <v>46262</v>
      </c>
      <c r="Z1081" s="20" t="s">
        <v>34</v>
      </c>
      <c r="AA1081" s="17" t="e">
        <f>VLOOKUP(F1081,[2]Wait!$H$225:$I$260,2,0)</f>
        <v>#N/A</v>
      </c>
    </row>
    <row r="1082" spans="1:27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2793</v>
      </c>
      <c r="E1082" s="20" t="s">
        <v>2794</v>
      </c>
      <c r="F1082" s="20" t="s">
        <v>2794</v>
      </c>
      <c r="G1082" s="20" t="s">
        <v>194</v>
      </c>
      <c r="H1082" s="20" t="s">
        <v>26</v>
      </c>
      <c r="I1082" s="21">
        <v>46277</v>
      </c>
      <c r="J1082" s="20" t="s">
        <v>255</v>
      </c>
      <c r="K1082" s="20" t="s">
        <v>28</v>
      </c>
      <c r="L1082" s="20" t="s">
        <v>2795</v>
      </c>
      <c r="M1082" s="20" t="s">
        <v>270</v>
      </c>
      <c r="N1082" s="22" t="s">
        <v>250</v>
      </c>
      <c r="O1082" s="20" t="s">
        <v>1044</v>
      </c>
      <c r="P1082" s="20" t="s">
        <v>26</v>
      </c>
      <c r="Q1082" s="20" t="s">
        <v>26</v>
      </c>
      <c r="R1082" s="20" t="s">
        <v>26</v>
      </c>
      <c r="S1082" s="20" t="s">
        <v>255</v>
      </c>
      <c r="T1082" s="20" t="s">
        <v>195</v>
      </c>
      <c r="U1082" s="20" t="s">
        <v>26</v>
      </c>
      <c r="V1082" s="21"/>
      <c r="W1082" s="21">
        <v>46277</v>
      </c>
      <c r="X1082" s="20" t="s">
        <v>34</v>
      </c>
      <c r="Y1082" s="21">
        <v>46277</v>
      </c>
      <c r="Z1082" s="20" t="s">
        <v>34</v>
      </c>
      <c r="AA1082" s="17" t="e">
        <f>VLOOKUP(F1082,[2]Wait!$H$225:$I$260,2,0)</f>
        <v>#N/A</v>
      </c>
    </row>
    <row r="1083" spans="1:27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2796</v>
      </c>
      <c r="E1083" s="20" t="s">
        <v>2797</v>
      </c>
      <c r="F1083" s="20" t="s">
        <v>2797</v>
      </c>
      <c r="G1083" s="20" t="s">
        <v>194</v>
      </c>
      <c r="H1083" s="20" t="s">
        <v>26</v>
      </c>
      <c r="I1083" s="21">
        <v>46258</v>
      </c>
      <c r="J1083" s="20" t="s">
        <v>2798</v>
      </c>
      <c r="K1083" s="20" t="s">
        <v>28</v>
      </c>
      <c r="L1083" s="20" t="s">
        <v>2799</v>
      </c>
      <c r="M1083" s="20" t="s">
        <v>270</v>
      </c>
      <c r="N1083" s="22" t="s">
        <v>250</v>
      </c>
      <c r="O1083" s="20" t="s">
        <v>1044</v>
      </c>
      <c r="P1083" s="20" t="s">
        <v>257</v>
      </c>
      <c r="Q1083" s="20" t="s">
        <v>258</v>
      </c>
      <c r="R1083" s="20" t="s">
        <v>26</v>
      </c>
      <c r="S1083" s="20" t="s">
        <v>32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  <c r="AA1083" s="17" t="e">
        <f>VLOOKUP(F1083,[2]Wait!$H$225:$I$260,2,0)</f>
        <v>#N/A</v>
      </c>
    </row>
    <row r="1084" spans="1:27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2800</v>
      </c>
      <c r="E1084" s="20" t="s">
        <v>2797</v>
      </c>
      <c r="F1084" s="20" t="s">
        <v>2797</v>
      </c>
      <c r="G1084" s="20" t="s">
        <v>194</v>
      </c>
      <c r="H1084" s="20" t="s">
        <v>26</v>
      </c>
      <c r="I1084" s="21">
        <v>46258</v>
      </c>
      <c r="J1084" s="20" t="s">
        <v>255</v>
      </c>
      <c r="K1084" s="20" t="s">
        <v>58</v>
      </c>
      <c r="L1084" s="20" t="s">
        <v>2799</v>
      </c>
      <c r="M1084" s="20" t="s">
        <v>270</v>
      </c>
      <c r="N1084" s="22" t="s">
        <v>250</v>
      </c>
      <c r="O1084" s="20" t="s">
        <v>1044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  <c r="AA1084" s="17" t="e">
        <f>VLOOKUP(F1084,[2]Wait!$H$225:$I$260,2,0)</f>
        <v>#N/A</v>
      </c>
    </row>
    <row r="1085" spans="1:27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2830</v>
      </c>
      <c r="E1085" s="20" t="s">
        <v>2831</v>
      </c>
      <c r="F1085" s="20" t="s">
        <v>2831</v>
      </c>
      <c r="G1085" s="20" t="s">
        <v>194</v>
      </c>
      <c r="H1085" s="20" t="s">
        <v>26</v>
      </c>
      <c r="I1085" s="21">
        <v>46258</v>
      </c>
      <c r="J1085" s="20" t="s">
        <v>36</v>
      </c>
      <c r="K1085" s="20" t="s">
        <v>28</v>
      </c>
      <c r="L1085" s="20" t="s">
        <v>2832</v>
      </c>
      <c r="M1085" s="20" t="s">
        <v>270</v>
      </c>
      <c r="N1085" s="22" t="s">
        <v>250</v>
      </c>
      <c r="O1085" s="20" t="s">
        <v>1044</v>
      </c>
      <c r="P1085" s="20" t="s">
        <v>26</v>
      </c>
      <c r="Q1085" s="20" t="s">
        <v>26</v>
      </c>
      <c r="R1085" s="20" t="s">
        <v>26</v>
      </c>
      <c r="S1085" s="20" t="s">
        <v>36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  <c r="AA1085" s="17" t="e">
        <f>VLOOKUP(F1085,[2]Wait!$H$225:$I$260,2,0)</f>
        <v>#N/A</v>
      </c>
    </row>
    <row r="1086" spans="1:27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2833</v>
      </c>
      <c r="E1086" s="20" t="s">
        <v>2831</v>
      </c>
      <c r="F1086" s="20" t="s">
        <v>2831</v>
      </c>
      <c r="G1086" s="20" t="s">
        <v>194</v>
      </c>
      <c r="H1086" s="20" t="s">
        <v>26</v>
      </c>
      <c r="I1086" s="21">
        <v>46258</v>
      </c>
      <c r="J1086" s="20" t="s">
        <v>36</v>
      </c>
      <c r="K1086" s="20" t="s">
        <v>58</v>
      </c>
      <c r="L1086" s="20" t="s">
        <v>2832</v>
      </c>
      <c r="M1086" s="20" t="s">
        <v>270</v>
      </c>
      <c r="N1086" s="22" t="s">
        <v>250</v>
      </c>
      <c r="O1086" s="20" t="s">
        <v>1044</v>
      </c>
      <c r="P1086" s="20" t="s">
        <v>26</v>
      </c>
      <c r="Q1086" s="20" t="s">
        <v>26</v>
      </c>
      <c r="R1086" s="20" t="s">
        <v>26</v>
      </c>
      <c r="S1086" s="20" t="s">
        <v>36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  <c r="AA1086" s="17" t="e">
        <f>VLOOKUP(F1086,[2]Wait!$H$225:$I$260,2,0)</f>
        <v>#N/A</v>
      </c>
    </row>
    <row r="1087" spans="1:27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2834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59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  <c r="AA1087" s="17" t="e">
        <f>VLOOKUP(F1087,[2]Wait!$H$225:$I$260,2,0)</f>
        <v>#N/A</v>
      </c>
    </row>
    <row r="1088" spans="1:27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2835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684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  <c r="AA1088" s="17" t="e">
        <f>VLOOKUP(F1088,[2]Wait!$H$225:$I$260,2,0)</f>
        <v>#N/A</v>
      </c>
    </row>
    <row r="1089" spans="1:27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2801</v>
      </c>
      <c r="E1089" s="20" t="s">
        <v>2802</v>
      </c>
      <c r="F1089" s="20" t="s">
        <v>2802</v>
      </c>
      <c r="G1089" s="20" t="s">
        <v>194</v>
      </c>
      <c r="H1089" s="20" t="s">
        <v>26</v>
      </c>
      <c r="I1089" s="21">
        <v>46258</v>
      </c>
      <c r="J1089" s="20" t="s">
        <v>255</v>
      </c>
      <c r="K1089" s="20" t="s">
        <v>28</v>
      </c>
      <c r="L1089" s="20" t="s">
        <v>2803</v>
      </c>
      <c r="M1089" s="20" t="s">
        <v>270</v>
      </c>
      <c r="N1089" s="22" t="s">
        <v>250</v>
      </c>
      <c r="O1089" s="20" t="s">
        <v>1044</v>
      </c>
      <c r="P1089" s="20" t="s">
        <v>257</v>
      </c>
      <c r="Q1089" s="20" t="s">
        <v>258</v>
      </c>
      <c r="R1089" s="20" t="s">
        <v>26</v>
      </c>
      <c r="S1089" s="20" t="s">
        <v>32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  <c r="AA1089" s="17" t="e">
        <f>VLOOKUP(F1089,[2]Wait!$H$225:$I$260,2,0)</f>
        <v>#N/A</v>
      </c>
    </row>
    <row r="1090" spans="1:27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2804</v>
      </c>
      <c r="E1090" s="20" t="s">
        <v>2802</v>
      </c>
      <c r="F1090" s="20" t="s">
        <v>2802</v>
      </c>
      <c r="G1090" s="20" t="s">
        <v>194</v>
      </c>
      <c r="H1090" s="20" t="s">
        <v>26</v>
      </c>
      <c r="I1090" s="21">
        <v>46258</v>
      </c>
      <c r="J1090" s="20" t="s">
        <v>260</v>
      </c>
      <c r="K1090" s="20" t="s">
        <v>58</v>
      </c>
      <c r="L1090" s="20" t="s">
        <v>2803</v>
      </c>
      <c r="M1090" s="20" t="s">
        <v>270</v>
      </c>
      <c r="N1090" s="22" t="s">
        <v>250</v>
      </c>
      <c r="O1090" s="20" t="s">
        <v>1044</v>
      </c>
      <c r="P1090" s="20" t="s">
        <v>257</v>
      </c>
      <c r="Q1090" s="20" t="s">
        <v>258</v>
      </c>
      <c r="R1090" s="20" t="s">
        <v>26</v>
      </c>
      <c r="S1090" s="20" t="s">
        <v>32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  <c r="AA1090" s="17" t="e">
        <f>VLOOKUP(F1090,[2]Wait!$H$225:$I$260,2,0)</f>
        <v>#N/A</v>
      </c>
    </row>
    <row r="1091" spans="1:27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2805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58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  <c r="AA1091" s="17" t="e">
        <f>VLOOKUP(F1091,[2]Wait!$H$225:$I$260,2,0)</f>
        <v>#N/A</v>
      </c>
    </row>
    <row r="1092" spans="1:27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2806</v>
      </c>
      <c r="E1092" s="20" t="s">
        <v>2807</v>
      </c>
      <c r="F1092" s="20" t="s">
        <v>2807</v>
      </c>
      <c r="G1092" s="20" t="s">
        <v>194</v>
      </c>
      <c r="H1092" s="20" t="s">
        <v>26</v>
      </c>
      <c r="I1092" s="21">
        <v>46258</v>
      </c>
      <c r="J1092" s="20" t="s">
        <v>27</v>
      </c>
      <c r="K1092" s="20" t="s">
        <v>28</v>
      </c>
      <c r="L1092" s="20" t="s">
        <v>2808</v>
      </c>
      <c r="M1092" s="20" t="s">
        <v>270</v>
      </c>
      <c r="N1092" s="22" t="s">
        <v>250</v>
      </c>
      <c r="O1092" s="20" t="s">
        <v>1044</v>
      </c>
      <c r="P1092" s="20" t="s">
        <v>26</v>
      </c>
      <c r="Q1092" s="20" t="s">
        <v>26</v>
      </c>
      <c r="R1092" s="20" t="s">
        <v>26</v>
      </c>
      <c r="S1092" s="20" t="s">
        <v>683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  <c r="AA1092" s="17" t="e">
        <f>VLOOKUP(F1092,[2]Wait!$H$225:$I$260,2,0)</f>
        <v>#N/A</v>
      </c>
    </row>
    <row r="1093" spans="1:27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2809</v>
      </c>
      <c r="E1093" s="20" t="s">
        <v>2807</v>
      </c>
      <c r="F1093" s="20" t="s">
        <v>2807</v>
      </c>
      <c r="G1093" s="20" t="s">
        <v>194</v>
      </c>
      <c r="H1093" s="20" t="s">
        <v>26</v>
      </c>
      <c r="I1093" s="21">
        <v>46258</v>
      </c>
      <c r="J1093" s="20" t="s">
        <v>683</v>
      </c>
      <c r="K1093" s="20" t="s">
        <v>58</v>
      </c>
      <c r="L1093" s="20" t="s">
        <v>2808</v>
      </c>
      <c r="M1093" s="20" t="s">
        <v>270</v>
      </c>
      <c r="N1093" s="22" t="s">
        <v>250</v>
      </c>
      <c r="O1093" s="20" t="s">
        <v>1044</v>
      </c>
      <c r="P1093" s="20" t="s">
        <v>26</v>
      </c>
      <c r="Q1093" s="20" t="s">
        <v>26</v>
      </c>
      <c r="R1093" s="20" t="s">
        <v>26</v>
      </c>
      <c r="S1093" s="20" t="s">
        <v>683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  <c r="AA1093" s="17" t="e">
        <f>VLOOKUP(F1093,[2]Wait!$H$225:$I$260,2,0)</f>
        <v>#N/A</v>
      </c>
    </row>
    <row r="1094" spans="1:27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3790</v>
      </c>
      <c r="E1094" s="20" t="s">
        <v>3791</v>
      </c>
      <c r="F1094" s="20" t="s">
        <v>3791</v>
      </c>
      <c r="G1094" s="20" t="s">
        <v>194</v>
      </c>
      <c r="H1094" s="20" t="s">
        <v>26</v>
      </c>
      <c r="I1094" s="21">
        <v>46296</v>
      </c>
      <c r="J1094" s="20" t="s">
        <v>36</v>
      </c>
      <c r="K1094" s="20" t="s">
        <v>28</v>
      </c>
      <c r="L1094" s="20" t="s">
        <v>3792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63</v>
      </c>
      <c r="T1094" s="20" t="s">
        <v>195</v>
      </c>
      <c r="U1094" s="20" t="s">
        <v>26</v>
      </c>
      <c r="V1094" s="21"/>
      <c r="W1094" s="21">
        <v>46296</v>
      </c>
      <c r="X1094" s="20" t="s">
        <v>922</v>
      </c>
      <c r="Y1094" s="21">
        <v>46297</v>
      </c>
      <c r="Z1094" s="20" t="s">
        <v>226</v>
      </c>
      <c r="AA1094" s="17" t="e">
        <f>VLOOKUP(F1094,[2]Wait!$H$225:$I$260,2,0)</f>
        <v>#N/A</v>
      </c>
    </row>
    <row r="1095" spans="1:27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2810</v>
      </c>
      <c r="E1095" s="20" t="s">
        <v>2811</v>
      </c>
      <c r="F1095" s="20" t="s">
        <v>3793</v>
      </c>
      <c r="G1095" s="20" t="s">
        <v>25</v>
      </c>
      <c r="H1095" s="20" t="s">
        <v>26</v>
      </c>
      <c r="I1095" s="21">
        <v>46258</v>
      </c>
      <c r="J1095" s="20" t="s">
        <v>82</v>
      </c>
      <c r="K1095" s="20" t="s">
        <v>28</v>
      </c>
      <c r="L1095" s="20" t="s">
        <v>2812</v>
      </c>
      <c r="M1095" s="20" t="s">
        <v>266</v>
      </c>
      <c r="N1095" s="22" t="s">
        <v>250</v>
      </c>
      <c r="O1095" s="20" t="s">
        <v>1044</v>
      </c>
      <c r="P1095" s="20" t="s">
        <v>41</v>
      </c>
      <c r="Q1095" s="20" t="s">
        <v>42</v>
      </c>
      <c r="R1095" s="20" t="s">
        <v>26</v>
      </c>
      <c r="S1095" s="20" t="s">
        <v>32</v>
      </c>
      <c r="T1095" s="20" t="s">
        <v>195</v>
      </c>
      <c r="U1095" s="20" t="s">
        <v>2813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  <c r="AA1095" s="17" t="e">
        <f>VLOOKUP(F1095,[2]Wait!$H$225:$I$260,2,0)</f>
        <v>#N/A</v>
      </c>
    </row>
    <row r="1096" spans="1:27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2814</v>
      </c>
      <c r="E1096" s="20" t="s">
        <v>2811</v>
      </c>
      <c r="F1096" s="20" t="s">
        <v>3793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58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  <c r="AA1096" s="17" t="e">
        <f>VLOOKUP(F1096,[2]Wait!$H$225:$I$260,2,0)</f>
        <v>#N/A</v>
      </c>
    </row>
    <row r="1097" spans="1:27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2674</v>
      </c>
      <c r="E1097" s="20" t="s">
        <v>26</v>
      </c>
      <c r="F1097" s="20" t="s">
        <v>3794</v>
      </c>
      <c r="G1097" s="20" t="s">
        <v>35</v>
      </c>
      <c r="H1097" s="20" t="s">
        <v>26</v>
      </c>
      <c r="I1097" s="21">
        <v>46265</v>
      </c>
      <c r="J1097" s="20" t="s">
        <v>82</v>
      </c>
      <c r="K1097" s="20" t="s">
        <v>28</v>
      </c>
      <c r="L1097" s="20" t="s">
        <v>818</v>
      </c>
      <c r="M1097" s="20" t="s">
        <v>266</v>
      </c>
      <c r="N1097" s="22" t="s">
        <v>250</v>
      </c>
      <c r="O1097" s="20" t="s">
        <v>1070</v>
      </c>
      <c r="P1097" s="20" t="s">
        <v>26</v>
      </c>
      <c r="Q1097" s="20" t="s">
        <v>26</v>
      </c>
      <c r="R1097" s="20" t="s">
        <v>84</v>
      </c>
      <c r="S1097" s="20" t="s">
        <v>32</v>
      </c>
      <c r="T1097" s="20" t="s">
        <v>55</v>
      </c>
      <c r="U1097" s="20" t="s">
        <v>690</v>
      </c>
      <c r="V1097" s="21"/>
      <c r="W1097" s="21">
        <v>46265</v>
      </c>
      <c r="X1097" s="20" t="s">
        <v>39</v>
      </c>
      <c r="Y1097" s="21">
        <v>46265</v>
      </c>
      <c r="Z1097" s="20" t="s">
        <v>39</v>
      </c>
      <c r="AA1097" s="17" t="e">
        <f>VLOOKUP(F1097,[2]Wait!$H$225:$I$260,2,0)</f>
        <v>#N/A</v>
      </c>
    </row>
    <row r="1098" spans="1:27" x14ac:dyDescent="0.25">
      <c r="A1098" s="9">
        <f t="shared" ref="A1098:A1147" si="17">A1097+1</f>
        <v>1091</v>
      </c>
      <c r="B1098" s="19" t="s">
        <v>926</v>
      </c>
      <c r="C1098" s="20" t="s">
        <v>927</v>
      </c>
      <c r="D1098" s="20" t="s">
        <v>2815</v>
      </c>
      <c r="E1098" s="20" t="s">
        <v>26</v>
      </c>
      <c r="F1098" s="20" t="s">
        <v>3795</v>
      </c>
      <c r="G1098" s="20" t="s">
        <v>35</v>
      </c>
      <c r="H1098" s="20" t="s">
        <v>26</v>
      </c>
      <c r="I1098" s="21">
        <v>46269</v>
      </c>
      <c r="J1098" s="20" t="s">
        <v>52</v>
      </c>
      <c r="K1098" s="20" t="s">
        <v>28</v>
      </c>
      <c r="L1098" s="20" t="s">
        <v>898</v>
      </c>
      <c r="M1098" s="20" t="s">
        <v>266</v>
      </c>
      <c r="N1098" s="22" t="s">
        <v>250</v>
      </c>
      <c r="O1098" s="20" t="s">
        <v>955</v>
      </c>
      <c r="P1098" s="20" t="s">
        <v>26</v>
      </c>
      <c r="Q1098" s="20" t="s">
        <v>26</v>
      </c>
      <c r="R1098" s="20" t="s">
        <v>95</v>
      </c>
      <c r="S1098" s="20" t="s">
        <v>32</v>
      </c>
      <c r="T1098" s="20" t="s">
        <v>100</v>
      </c>
      <c r="U1098" s="20" t="s">
        <v>899</v>
      </c>
      <c r="V1098" s="21"/>
      <c r="W1098" s="21">
        <v>46269</v>
      </c>
      <c r="X1098" s="20" t="s">
        <v>39</v>
      </c>
      <c r="Y1098" s="21">
        <v>46269</v>
      </c>
      <c r="Z1098" s="20" t="s">
        <v>39</v>
      </c>
      <c r="AA1098" s="17" t="e">
        <f>VLOOKUP(F1098,[2]Wait!$H$225:$I$260,2,0)</f>
        <v>#N/A</v>
      </c>
    </row>
    <row r="1099" spans="1:27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2816</v>
      </c>
      <c r="E1099" s="20" t="s">
        <v>26</v>
      </c>
      <c r="F1099" s="20" t="s">
        <v>3796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2817</v>
      </c>
      <c r="M1099" s="20" t="s">
        <v>266</v>
      </c>
      <c r="N1099" s="22" t="s">
        <v>250</v>
      </c>
      <c r="O1099" s="20" t="s">
        <v>955</v>
      </c>
      <c r="P1099" s="20" t="s">
        <v>30</v>
      </c>
      <c r="Q1099" s="20" t="s">
        <v>31</v>
      </c>
      <c r="R1099" s="20" t="s">
        <v>88</v>
      </c>
      <c r="S1099" s="20" t="s">
        <v>32</v>
      </c>
      <c r="T1099" s="20" t="s">
        <v>204</v>
      </c>
      <c r="U1099" s="20" t="s">
        <v>2818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  <c r="AA1099" s="17" t="e">
        <f>VLOOKUP(F1099,[2]Wait!$H$225:$I$260,2,0)</f>
        <v>#N/A</v>
      </c>
    </row>
    <row r="1100" spans="1:27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2705</v>
      </c>
      <c r="E1100" s="20" t="s">
        <v>26</v>
      </c>
      <c r="F1100" s="20" t="s">
        <v>3797</v>
      </c>
      <c r="G1100" s="20" t="s">
        <v>35</v>
      </c>
      <c r="H1100" s="20" t="s">
        <v>26</v>
      </c>
      <c r="I1100" s="21">
        <v>46254</v>
      </c>
      <c r="J1100" s="20" t="s">
        <v>52</v>
      </c>
      <c r="K1100" s="20" t="s">
        <v>28</v>
      </c>
      <c r="L1100" s="20" t="s">
        <v>849</v>
      </c>
      <c r="M1100" s="20" t="s">
        <v>266</v>
      </c>
      <c r="N1100" s="22" t="s">
        <v>250</v>
      </c>
      <c r="O1100" s="20" t="s">
        <v>1013</v>
      </c>
      <c r="P1100" s="20" t="s">
        <v>30</v>
      </c>
      <c r="Q1100" s="20" t="s">
        <v>31</v>
      </c>
      <c r="R1100" s="20" t="s">
        <v>135</v>
      </c>
      <c r="S1100" s="20" t="s">
        <v>32</v>
      </c>
      <c r="T1100" s="20" t="s">
        <v>33</v>
      </c>
      <c r="U1100" s="20" t="s">
        <v>3798</v>
      </c>
      <c r="V1100" s="21"/>
      <c r="W1100" s="21">
        <v>46254</v>
      </c>
      <c r="X1100" s="20" t="s">
        <v>34</v>
      </c>
      <c r="Y1100" s="21">
        <v>46254</v>
      </c>
      <c r="Z1100" s="20" t="s">
        <v>57</v>
      </c>
      <c r="AA1100" s="17" t="e">
        <f>VLOOKUP(F1100,[2]Wait!$H$225:$I$260,2,0)</f>
        <v>#N/A</v>
      </c>
    </row>
    <row r="1101" spans="1:27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2706</v>
      </c>
      <c r="E1101" s="20" t="s">
        <v>26</v>
      </c>
      <c r="F1101" s="20" t="s">
        <v>3797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58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3798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  <c r="AA1101" s="17" t="e">
        <f>VLOOKUP(F1101,[2]Wait!$H$225:$I$260,2,0)</f>
        <v>#N/A</v>
      </c>
    </row>
    <row r="1102" spans="1:27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2819</v>
      </c>
      <c r="E1102" s="20" t="s">
        <v>26</v>
      </c>
      <c r="F1102" s="20" t="s">
        <v>3799</v>
      </c>
      <c r="G1102" s="20" t="s">
        <v>35</v>
      </c>
      <c r="H1102" s="20" t="s">
        <v>26</v>
      </c>
      <c r="I1102" s="21">
        <v>46267</v>
      </c>
      <c r="J1102" s="20" t="s">
        <v>36</v>
      </c>
      <c r="K1102" s="20" t="s">
        <v>28</v>
      </c>
      <c r="L1102" s="20" t="s">
        <v>860</v>
      </c>
      <c r="M1102" s="20" t="s">
        <v>266</v>
      </c>
      <c r="N1102" s="22" t="s">
        <v>250</v>
      </c>
      <c r="O1102" s="20" t="s">
        <v>961</v>
      </c>
      <c r="P1102" s="20" t="s">
        <v>30</v>
      </c>
      <c r="Q1102" s="20" t="s">
        <v>31</v>
      </c>
      <c r="R1102" s="20" t="s">
        <v>61</v>
      </c>
      <c r="S1102" s="20" t="s">
        <v>32</v>
      </c>
      <c r="T1102" s="20" t="s">
        <v>204</v>
      </c>
      <c r="U1102" s="20" t="s">
        <v>859</v>
      </c>
      <c r="V1102" s="21"/>
      <c r="W1102" s="21">
        <v>46267</v>
      </c>
      <c r="X1102" s="20" t="s">
        <v>39</v>
      </c>
      <c r="Y1102" s="21">
        <v>46267</v>
      </c>
      <c r="Z1102" s="20" t="s">
        <v>39</v>
      </c>
      <c r="AA1102" s="17" t="e">
        <f>VLOOKUP(F1102,[2]Wait!$H$225:$I$260,2,0)</f>
        <v>#N/A</v>
      </c>
    </row>
    <row r="1103" spans="1:27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2734</v>
      </c>
      <c r="E1103" s="20" t="s">
        <v>26</v>
      </c>
      <c r="F1103" s="20" t="s">
        <v>3800</v>
      </c>
      <c r="G1103" s="20" t="s">
        <v>35</v>
      </c>
      <c r="H1103" s="20" t="s">
        <v>26</v>
      </c>
      <c r="I1103" s="21">
        <v>46259</v>
      </c>
      <c r="J1103" s="20" t="s">
        <v>36</v>
      </c>
      <c r="K1103" s="20" t="s">
        <v>28</v>
      </c>
      <c r="L1103" s="20" t="s">
        <v>2735</v>
      </c>
      <c r="M1103" s="20" t="s">
        <v>266</v>
      </c>
      <c r="N1103" s="22" t="s">
        <v>250</v>
      </c>
      <c r="O1103" s="20" t="s">
        <v>946</v>
      </c>
      <c r="P1103" s="20" t="s">
        <v>26</v>
      </c>
      <c r="Q1103" s="20" t="s">
        <v>26</v>
      </c>
      <c r="R1103" s="20" t="s">
        <v>603</v>
      </c>
      <c r="S1103" s="20" t="s">
        <v>32</v>
      </c>
      <c r="T1103" s="20" t="s">
        <v>38</v>
      </c>
      <c r="U1103" s="20" t="s">
        <v>925</v>
      </c>
      <c r="V1103" s="21"/>
      <c r="W1103" s="21">
        <v>46259</v>
      </c>
      <c r="X1103" s="20" t="s">
        <v>39</v>
      </c>
      <c r="Y1103" s="21">
        <v>46259</v>
      </c>
      <c r="Z1103" s="20" t="s">
        <v>39</v>
      </c>
      <c r="AA1103" s="17" t="e">
        <f>VLOOKUP(F1103,[2]Wait!$H$225:$I$260,2,0)</f>
        <v>#N/A</v>
      </c>
    </row>
    <row r="1104" spans="1:27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2741</v>
      </c>
      <c r="E1104" s="20" t="s">
        <v>26</v>
      </c>
      <c r="F1104" s="20" t="s">
        <v>3801</v>
      </c>
      <c r="G1104" s="20" t="s">
        <v>35</v>
      </c>
      <c r="H1104" s="20" t="s">
        <v>26</v>
      </c>
      <c r="I1104" s="21">
        <v>46265</v>
      </c>
      <c r="J1104" s="20" t="s">
        <v>36</v>
      </c>
      <c r="K1104" s="20" t="s">
        <v>28</v>
      </c>
      <c r="L1104" s="20" t="s">
        <v>2742</v>
      </c>
      <c r="M1104" s="20" t="s">
        <v>266</v>
      </c>
      <c r="N1104" s="22" t="s">
        <v>250</v>
      </c>
      <c r="O1104" s="20" t="s">
        <v>1070</v>
      </c>
      <c r="P1104" s="20" t="s">
        <v>26</v>
      </c>
      <c r="Q1104" s="20" t="s">
        <v>26</v>
      </c>
      <c r="R1104" s="20" t="s">
        <v>72</v>
      </c>
      <c r="S1104" s="20" t="s">
        <v>32</v>
      </c>
      <c r="T1104" s="20" t="s">
        <v>70</v>
      </c>
      <c r="U1104" s="20" t="s">
        <v>2435</v>
      </c>
      <c r="V1104" s="21"/>
      <c r="W1104" s="21">
        <v>46265</v>
      </c>
      <c r="X1104" s="20" t="s">
        <v>39</v>
      </c>
      <c r="Y1104" s="21">
        <v>46265</v>
      </c>
      <c r="Z1104" s="20" t="s">
        <v>39</v>
      </c>
      <c r="AA1104" s="17" t="e">
        <f>VLOOKUP(F1104,[2]Wait!$H$225:$I$260,2,0)</f>
        <v>#N/A</v>
      </c>
    </row>
    <row r="1105" spans="1:27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2766</v>
      </c>
      <c r="E1105" s="20" t="s">
        <v>26</v>
      </c>
      <c r="F1105" s="20" t="s">
        <v>3802</v>
      </c>
      <c r="G1105" s="20" t="s">
        <v>35</v>
      </c>
      <c r="H1105" s="20" t="s">
        <v>26</v>
      </c>
      <c r="I1105" s="21">
        <v>46254</v>
      </c>
      <c r="J1105" s="20" t="s">
        <v>36</v>
      </c>
      <c r="K1105" s="20" t="s">
        <v>28</v>
      </c>
      <c r="L1105" s="20" t="s">
        <v>891</v>
      </c>
      <c r="M1105" s="20" t="s">
        <v>266</v>
      </c>
      <c r="N1105" s="22" t="s">
        <v>250</v>
      </c>
      <c r="O1105" s="20" t="s">
        <v>949</v>
      </c>
      <c r="P1105" s="20" t="s">
        <v>41</v>
      </c>
      <c r="Q1105" s="20" t="s">
        <v>42</v>
      </c>
      <c r="R1105" s="20" t="s">
        <v>37</v>
      </c>
      <c r="S1105" s="20" t="s">
        <v>32</v>
      </c>
      <c r="T1105" s="20" t="s">
        <v>78</v>
      </c>
      <c r="U1105" s="20" t="s">
        <v>892</v>
      </c>
      <c r="V1105" s="21"/>
      <c r="W1105" s="21">
        <v>46254</v>
      </c>
      <c r="X1105" s="20" t="s">
        <v>34</v>
      </c>
      <c r="Y1105" s="21">
        <v>46254</v>
      </c>
      <c r="Z1105" s="20" t="s">
        <v>57</v>
      </c>
      <c r="AA1105" s="17" t="e">
        <f>VLOOKUP(F1105,[2]Wait!$H$225:$I$260,2,0)</f>
        <v>#N/A</v>
      </c>
    </row>
    <row r="1106" spans="1:27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2767</v>
      </c>
      <c r="E1106" s="20" t="s">
        <v>26</v>
      </c>
      <c r="F1106" s="20" t="s">
        <v>3802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58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  <c r="AA1106" s="17" t="e">
        <f>VLOOKUP(F1106,[2]Wait!$H$225:$I$260,2,0)</f>
        <v>#N/A</v>
      </c>
    </row>
    <row r="1107" spans="1:27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2822</v>
      </c>
      <c r="E1107" s="20" t="s">
        <v>2823</v>
      </c>
      <c r="F1107" s="20" t="s">
        <v>3803</v>
      </c>
      <c r="G1107" s="20" t="s">
        <v>273</v>
      </c>
      <c r="H1107" s="20" t="s">
        <v>26</v>
      </c>
      <c r="I1107" s="21">
        <v>46258</v>
      </c>
      <c r="J1107" s="20" t="s">
        <v>52</v>
      </c>
      <c r="K1107" s="20" t="s">
        <v>28</v>
      </c>
      <c r="L1107" s="20" t="s">
        <v>923</v>
      </c>
      <c r="M1107" s="20" t="s">
        <v>266</v>
      </c>
      <c r="N1107" s="22" t="s">
        <v>250</v>
      </c>
      <c r="O1107" s="20" t="s">
        <v>1727</v>
      </c>
      <c r="P1107" s="20" t="s">
        <v>613</v>
      </c>
      <c r="Q1107" s="20" t="s">
        <v>614</v>
      </c>
      <c r="R1107" s="20" t="s">
        <v>54</v>
      </c>
      <c r="S1107" s="20" t="s">
        <v>32</v>
      </c>
      <c r="T1107" s="20" t="s">
        <v>685</v>
      </c>
      <c r="U1107" s="20" t="s">
        <v>924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  <c r="AA1107" s="17" t="e">
        <f>VLOOKUP(F1107,[2]Wait!$H$225:$I$260,2,0)</f>
        <v>#N/A</v>
      </c>
    </row>
    <row r="1108" spans="1:27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2824</v>
      </c>
      <c r="E1108" s="20" t="s">
        <v>2825</v>
      </c>
      <c r="F1108" s="20" t="s">
        <v>2825</v>
      </c>
      <c r="G1108" s="20" t="s">
        <v>194</v>
      </c>
      <c r="H1108" s="20" t="s">
        <v>26</v>
      </c>
      <c r="I1108" s="21">
        <v>46262</v>
      </c>
      <c r="J1108" s="20" t="s">
        <v>255</v>
      </c>
      <c r="K1108" s="20" t="s">
        <v>28</v>
      </c>
      <c r="L1108" s="20" t="s">
        <v>2826</v>
      </c>
      <c r="M1108" s="20" t="s">
        <v>266</v>
      </c>
      <c r="N1108" s="22" t="s">
        <v>250</v>
      </c>
      <c r="O1108" s="20" t="s">
        <v>1044</v>
      </c>
      <c r="P1108" s="20" t="s">
        <v>26</v>
      </c>
      <c r="Q1108" s="20" t="s">
        <v>26</v>
      </c>
      <c r="R1108" s="20" t="s">
        <v>26</v>
      </c>
      <c r="S1108" s="20" t="s">
        <v>255</v>
      </c>
      <c r="T1108" s="20" t="s">
        <v>195</v>
      </c>
      <c r="U1108" s="20" t="s">
        <v>26</v>
      </c>
      <c r="V1108" s="21"/>
      <c r="W1108" s="21">
        <v>46262</v>
      </c>
      <c r="X1108" s="20" t="s">
        <v>34</v>
      </c>
      <c r="Y1108" s="21">
        <v>46262</v>
      </c>
      <c r="Z1108" s="20" t="s">
        <v>34</v>
      </c>
      <c r="AA1108" s="17" t="e">
        <f>VLOOKUP(F1108,[2]Wait!$H$225:$I$260,2,0)</f>
        <v>#N/A</v>
      </c>
    </row>
    <row r="1109" spans="1:27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2827</v>
      </c>
      <c r="E1109" s="20" t="s">
        <v>2828</v>
      </c>
      <c r="F1109" s="20" t="s">
        <v>2828</v>
      </c>
      <c r="G1109" s="20" t="s">
        <v>194</v>
      </c>
      <c r="H1109" s="20" t="s">
        <v>26</v>
      </c>
      <c r="I1109" s="21">
        <v>46273</v>
      </c>
      <c r="J1109" s="20" t="s">
        <v>32</v>
      </c>
      <c r="K1109" s="20" t="s">
        <v>28</v>
      </c>
      <c r="L1109" s="20" t="s">
        <v>2829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46273</v>
      </c>
      <c r="X1109" s="20" t="s">
        <v>34</v>
      </c>
      <c r="Y1109" s="21">
        <v>46273</v>
      </c>
      <c r="Z1109" s="20" t="s">
        <v>34</v>
      </c>
      <c r="AA1109" s="17" t="e">
        <f>VLOOKUP(F1109,[2]Wait!$H$225:$I$260,2,0)</f>
        <v>#N/A</v>
      </c>
    </row>
    <row r="1110" spans="1:27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2836</v>
      </c>
      <c r="E1110" s="20" t="s">
        <v>2837</v>
      </c>
      <c r="F1110" s="20" t="s">
        <v>2837</v>
      </c>
      <c r="G1110" s="20" t="s">
        <v>194</v>
      </c>
      <c r="H1110" s="20" t="s">
        <v>26</v>
      </c>
      <c r="I1110" s="21">
        <v>46258</v>
      </c>
      <c r="J1110" s="20" t="s">
        <v>255</v>
      </c>
      <c r="K1110" s="20" t="s">
        <v>28</v>
      </c>
      <c r="L1110" s="20" t="s">
        <v>2838</v>
      </c>
      <c r="M1110" s="20" t="s">
        <v>266</v>
      </c>
      <c r="N1110" s="22" t="s">
        <v>250</v>
      </c>
      <c r="O1110" s="20" t="s">
        <v>1044</v>
      </c>
      <c r="P1110" s="20" t="s">
        <v>257</v>
      </c>
      <c r="Q1110" s="20" t="s">
        <v>258</v>
      </c>
      <c r="R1110" s="20" t="s">
        <v>26</v>
      </c>
      <c r="S1110" s="20" t="s">
        <v>32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  <c r="AA1110" s="17" t="e">
        <f>VLOOKUP(F1110,[2]Wait!$H$225:$I$260,2,0)</f>
        <v>#N/A</v>
      </c>
    </row>
    <row r="1111" spans="1:27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2839</v>
      </c>
      <c r="E1111" s="20" t="s">
        <v>2837</v>
      </c>
      <c r="F1111" s="20" t="s">
        <v>2837</v>
      </c>
      <c r="G1111" s="20" t="s">
        <v>194</v>
      </c>
      <c r="H1111" s="20" t="s">
        <v>26</v>
      </c>
      <c r="I1111" s="21">
        <v>46258</v>
      </c>
      <c r="J1111" s="20" t="s">
        <v>255</v>
      </c>
      <c r="K1111" s="20" t="s">
        <v>58</v>
      </c>
      <c r="L1111" s="20" t="s">
        <v>2838</v>
      </c>
      <c r="M1111" s="20" t="s">
        <v>266</v>
      </c>
      <c r="N1111" s="22" t="s">
        <v>250</v>
      </c>
      <c r="O1111" s="20" t="s">
        <v>1044</v>
      </c>
      <c r="P1111" s="20" t="s">
        <v>257</v>
      </c>
      <c r="Q1111" s="20" t="s">
        <v>258</v>
      </c>
      <c r="R1111" s="20" t="s">
        <v>26</v>
      </c>
      <c r="S1111" s="20" t="s">
        <v>32</v>
      </c>
      <c r="T1111" s="20" t="s">
        <v>195</v>
      </c>
      <c r="U1111" s="20" t="s">
        <v>26</v>
      </c>
      <c r="V1111" s="21"/>
      <c r="W1111" s="21">
        <v>46258</v>
      </c>
      <c r="X1111" s="20" t="s">
        <v>34</v>
      </c>
      <c r="Y1111" s="21">
        <v>46274</v>
      </c>
      <c r="Z1111" s="20" t="s">
        <v>57</v>
      </c>
      <c r="AA1111" s="17" t="e">
        <f>VLOOKUP(F1111,[2]Wait!$H$225:$I$260,2,0)</f>
        <v>#N/A</v>
      </c>
    </row>
    <row r="1112" spans="1:27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2999</v>
      </c>
      <c r="E1112" s="20" t="s">
        <v>3000</v>
      </c>
      <c r="F1112" s="20" t="s">
        <v>3000</v>
      </c>
      <c r="G1112" s="20" t="s">
        <v>194</v>
      </c>
      <c r="H1112" s="20" t="s">
        <v>26</v>
      </c>
      <c r="I1112" s="21">
        <v>46258</v>
      </c>
      <c r="J1112" s="20" t="s">
        <v>36</v>
      </c>
      <c r="K1112" s="20" t="s">
        <v>28</v>
      </c>
      <c r="L1112" s="20" t="s">
        <v>3001</v>
      </c>
      <c r="M1112" s="20" t="s">
        <v>266</v>
      </c>
      <c r="N1112" s="22" t="s">
        <v>250</v>
      </c>
      <c r="O1112" s="20" t="s">
        <v>1044</v>
      </c>
      <c r="P1112" s="20" t="s">
        <v>26</v>
      </c>
      <c r="Q1112" s="20" t="s">
        <v>26</v>
      </c>
      <c r="R1112" s="20" t="s">
        <v>26</v>
      </c>
      <c r="S1112" s="20" t="s">
        <v>63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  <c r="AA1112" s="17" t="e">
        <f>VLOOKUP(F1112,[2]Wait!$H$225:$I$260,2,0)</f>
        <v>#N/A</v>
      </c>
    </row>
    <row r="1113" spans="1:27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2008</v>
      </c>
      <c r="E1113" s="20" t="s">
        <v>26</v>
      </c>
      <c r="F1113" s="20" t="s">
        <v>3804</v>
      </c>
      <c r="G1113" s="20" t="s">
        <v>35</v>
      </c>
      <c r="H1113" s="20" t="s">
        <v>26</v>
      </c>
      <c r="I1113" s="21">
        <v>46270</v>
      </c>
      <c r="J1113" s="20" t="s">
        <v>36</v>
      </c>
      <c r="K1113" s="20" t="s">
        <v>28</v>
      </c>
      <c r="L1113" s="20" t="s">
        <v>2009</v>
      </c>
      <c r="M1113" s="20" t="s">
        <v>2841</v>
      </c>
      <c r="N1113" s="22" t="s">
        <v>250</v>
      </c>
      <c r="O1113" s="20" t="s">
        <v>1013</v>
      </c>
      <c r="P1113" s="20" t="s">
        <v>30</v>
      </c>
      <c r="Q1113" s="20" t="s">
        <v>31</v>
      </c>
      <c r="R1113" s="20" t="s">
        <v>43</v>
      </c>
      <c r="S1113" s="20" t="s">
        <v>32</v>
      </c>
      <c r="T1113" s="20" t="s">
        <v>55</v>
      </c>
      <c r="U1113" s="20" t="s">
        <v>2010</v>
      </c>
      <c r="V1113" s="21">
        <v>46277</v>
      </c>
      <c r="W1113" s="21">
        <v>46270</v>
      </c>
      <c r="X1113" s="20" t="s">
        <v>39</v>
      </c>
      <c r="Y1113" s="21">
        <v>46270</v>
      </c>
      <c r="Z1113" s="20" t="s">
        <v>39</v>
      </c>
      <c r="AA1113" s="17" t="e">
        <f>VLOOKUP(F1113,[2]Wait!$H$225:$I$260,2,0)</f>
        <v>#N/A</v>
      </c>
    </row>
    <row r="1114" spans="1:27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2842</v>
      </c>
      <c r="E1114" s="20" t="s">
        <v>26</v>
      </c>
      <c r="F1114" s="20" t="s">
        <v>3805</v>
      </c>
      <c r="G1114" s="20" t="s">
        <v>35</v>
      </c>
      <c r="H1114" s="20" t="s">
        <v>26</v>
      </c>
      <c r="I1114" s="21">
        <v>46270</v>
      </c>
      <c r="J1114" s="20" t="s">
        <v>36</v>
      </c>
      <c r="K1114" s="20" t="s">
        <v>28</v>
      </c>
      <c r="L1114" s="20" t="s">
        <v>460</v>
      </c>
      <c r="M1114" s="20" t="s">
        <v>2841</v>
      </c>
      <c r="N1114" s="22" t="s">
        <v>250</v>
      </c>
      <c r="O1114" s="20" t="s">
        <v>1013</v>
      </c>
      <c r="P1114" s="20" t="s">
        <v>26</v>
      </c>
      <c r="Q1114" s="20" t="s">
        <v>26</v>
      </c>
      <c r="R1114" s="20" t="s">
        <v>135</v>
      </c>
      <c r="S1114" s="20" t="s">
        <v>32</v>
      </c>
      <c r="T1114" s="20" t="s">
        <v>78</v>
      </c>
      <c r="U1114" s="20" t="s">
        <v>461</v>
      </c>
      <c r="V1114" s="21">
        <v>46277</v>
      </c>
      <c r="W1114" s="21">
        <v>46270</v>
      </c>
      <c r="X1114" s="20" t="s">
        <v>39</v>
      </c>
      <c r="Y1114" s="21">
        <v>46270</v>
      </c>
      <c r="Z1114" s="20" t="s">
        <v>39</v>
      </c>
      <c r="AA1114" s="17" t="e">
        <f>VLOOKUP(F1114,[2]Wait!$H$225:$I$260,2,0)</f>
        <v>#N/A</v>
      </c>
    </row>
    <row r="1115" spans="1:27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2015</v>
      </c>
      <c r="E1115" s="20" t="s">
        <v>26</v>
      </c>
      <c r="F1115" s="20" t="s">
        <v>3806</v>
      </c>
      <c r="G1115" s="20" t="s">
        <v>35</v>
      </c>
      <c r="H1115" s="20" t="s">
        <v>26</v>
      </c>
      <c r="I1115" s="21">
        <v>46261</v>
      </c>
      <c r="J1115" s="20" t="s">
        <v>36</v>
      </c>
      <c r="K1115" s="20" t="s">
        <v>28</v>
      </c>
      <c r="L1115" s="20" t="s">
        <v>2016</v>
      </c>
      <c r="M1115" s="20" t="s">
        <v>2841</v>
      </c>
      <c r="N1115" s="22" t="s">
        <v>250</v>
      </c>
      <c r="O1115" s="20" t="s">
        <v>939</v>
      </c>
      <c r="P1115" s="20" t="s">
        <v>26</v>
      </c>
      <c r="Q1115" s="20" t="s">
        <v>26</v>
      </c>
      <c r="R1115" s="20" t="s">
        <v>135</v>
      </c>
      <c r="S1115" s="20" t="s">
        <v>32</v>
      </c>
      <c r="T1115" s="20" t="s">
        <v>136</v>
      </c>
      <c r="U1115" s="20" t="s">
        <v>2017</v>
      </c>
      <c r="V1115" s="21">
        <v>46273</v>
      </c>
      <c r="W1115" s="21">
        <v>46261</v>
      </c>
      <c r="X1115" s="20" t="s">
        <v>39</v>
      </c>
      <c r="Y1115" s="21">
        <v>46261</v>
      </c>
      <c r="Z1115" s="20" t="s">
        <v>39</v>
      </c>
      <c r="AA1115" s="17" t="e">
        <f>VLOOKUP(F1115,[2]Wait!$H$225:$I$260,2,0)</f>
        <v>#N/A</v>
      </c>
    </row>
    <row r="1116" spans="1:27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2847</v>
      </c>
      <c r="E1116" s="20" t="s">
        <v>26</v>
      </c>
      <c r="F1116" s="20" t="s">
        <v>3807</v>
      </c>
      <c r="G1116" s="20" t="s">
        <v>35</v>
      </c>
      <c r="H1116" s="20" t="s">
        <v>26</v>
      </c>
      <c r="I1116" s="21">
        <v>46269</v>
      </c>
      <c r="J1116" s="20" t="s">
        <v>36</v>
      </c>
      <c r="K1116" s="20" t="s">
        <v>28</v>
      </c>
      <c r="L1116" s="20" t="s">
        <v>489</v>
      </c>
      <c r="M1116" s="20" t="s">
        <v>2841</v>
      </c>
      <c r="N1116" s="22" t="s">
        <v>250</v>
      </c>
      <c r="O1116" s="20" t="s">
        <v>955</v>
      </c>
      <c r="P1116" s="20" t="s">
        <v>26</v>
      </c>
      <c r="Q1116" s="20" t="s">
        <v>26</v>
      </c>
      <c r="R1116" s="20" t="s">
        <v>253</v>
      </c>
      <c r="S1116" s="20" t="s">
        <v>32</v>
      </c>
      <c r="T1116" s="20" t="s">
        <v>71</v>
      </c>
      <c r="U1116" s="20" t="s">
        <v>254</v>
      </c>
      <c r="V1116" s="21">
        <v>46277</v>
      </c>
      <c r="W1116" s="21">
        <v>46269</v>
      </c>
      <c r="X1116" s="20" t="s">
        <v>39</v>
      </c>
      <c r="Y1116" s="21">
        <v>46269</v>
      </c>
      <c r="Z1116" s="20" t="s">
        <v>39</v>
      </c>
      <c r="AA1116" s="17" t="e">
        <f>VLOOKUP(F1116,[2]Wait!$H$225:$I$260,2,0)</f>
        <v>#N/A</v>
      </c>
    </row>
    <row r="1117" spans="1:27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2142</v>
      </c>
      <c r="E1117" s="20" t="s">
        <v>26</v>
      </c>
      <c r="F1117" s="20" t="s">
        <v>3808</v>
      </c>
      <c r="G1117" s="20" t="s">
        <v>35</v>
      </c>
      <c r="H1117" s="20" t="s">
        <v>74</v>
      </c>
      <c r="I1117" s="21">
        <v>46261</v>
      </c>
      <c r="J1117" s="20" t="s">
        <v>63</v>
      </c>
      <c r="K1117" s="20" t="s">
        <v>28</v>
      </c>
      <c r="L1117" s="20" t="s">
        <v>602</v>
      </c>
      <c r="M1117" s="20" t="s">
        <v>2841</v>
      </c>
      <c r="N1117" s="22" t="s">
        <v>250</v>
      </c>
      <c r="O1117" s="20" t="s">
        <v>939</v>
      </c>
      <c r="P1117" s="20" t="s">
        <v>41</v>
      </c>
      <c r="Q1117" s="20" t="s">
        <v>42</v>
      </c>
      <c r="R1117" s="20" t="s">
        <v>603</v>
      </c>
      <c r="S1117" s="20" t="s">
        <v>32</v>
      </c>
      <c r="T1117" s="20" t="s">
        <v>78</v>
      </c>
      <c r="U1117" s="20" t="s">
        <v>606</v>
      </c>
      <c r="V1117" s="21">
        <v>46289</v>
      </c>
      <c r="W1117" s="21">
        <v>46261</v>
      </c>
      <c r="X1117" s="20" t="s">
        <v>39</v>
      </c>
      <c r="Y1117" s="21">
        <v>46261</v>
      </c>
      <c r="Z1117" s="20" t="s">
        <v>39</v>
      </c>
      <c r="AA1117" s="17" t="e">
        <f>VLOOKUP(F1117,[2]Wait!$H$225:$I$260,2,0)</f>
        <v>#N/A</v>
      </c>
    </row>
    <row r="1118" spans="1:27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2144</v>
      </c>
      <c r="E1118" s="20" t="s">
        <v>26</v>
      </c>
      <c r="F1118" s="20" t="s">
        <v>3809</v>
      </c>
      <c r="G1118" s="20" t="s">
        <v>35</v>
      </c>
      <c r="H1118" s="20" t="s">
        <v>74</v>
      </c>
      <c r="I1118" s="21">
        <v>46261</v>
      </c>
      <c r="J1118" s="20" t="s">
        <v>63</v>
      </c>
      <c r="K1118" s="20" t="s">
        <v>28</v>
      </c>
      <c r="L1118" s="20" t="s">
        <v>602</v>
      </c>
      <c r="M1118" s="20" t="s">
        <v>2841</v>
      </c>
      <c r="N1118" s="22" t="s">
        <v>250</v>
      </c>
      <c r="O1118" s="20" t="s">
        <v>939</v>
      </c>
      <c r="P1118" s="20" t="s">
        <v>41</v>
      </c>
      <c r="Q1118" s="20" t="s">
        <v>42</v>
      </c>
      <c r="R1118" s="20" t="s">
        <v>603</v>
      </c>
      <c r="S1118" s="20" t="s">
        <v>32</v>
      </c>
      <c r="T1118" s="20" t="s">
        <v>78</v>
      </c>
      <c r="U1118" s="20" t="s">
        <v>608</v>
      </c>
      <c r="V1118" s="21">
        <v>46289</v>
      </c>
      <c r="W1118" s="21">
        <v>46261</v>
      </c>
      <c r="X1118" s="20" t="s">
        <v>39</v>
      </c>
      <c r="Y1118" s="21">
        <v>46261</v>
      </c>
      <c r="Z1118" s="20" t="s">
        <v>39</v>
      </c>
      <c r="AA1118" s="17" t="e">
        <f>VLOOKUP(F1118,[2]Wait!$H$225:$I$260,2,0)</f>
        <v>#N/A</v>
      </c>
    </row>
    <row r="1119" spans="1:27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2147</v>
      </c>
      <c r="E1119" s="20" t="s">
        <v>26</v>
      </c>
      <c r="F1119" s="20" t="s">
        <v>3810</v>
      </c>
      <c r="G1119" s="20" t="s">
        <v>35</v>
      </c>
      <c r="H1119" s="20" t="s">
        <v>26</v>
      </c>
      <c r="I1119" s="21">
        <v>46263</v>
      </c>
      <c r="J1119" s="20" t="s">
        <v>63</v>
      </c>
      <c r="K1119" s="20" t="s">
        <v>28</v>
      </c>
      <c r="L1119" s="20" t="s">
        <v>2148</v>
      </c>
      <c r="M1119" s="20" t="s">
        <v>2841</v>
      </c>
      <c r="N1119" s="22" t="s">
        <v>250</v>
      </c>
      <c r="O1119" s="20" t="s">
        <v>949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66</v>
      </c>
      <c r="U1119" s="20" t="s">
        <v>2149</v>
      </c>
      <c r="V1119" s="21">
        <v>46289</v>
      </c>
      <c r="W1119" s="21">
        <v>46263</v>
      </c>
      <c r="X1119" s="20" t="s">
        <v>39</v>
      </c>
      <c r="Y1119" s="21">
        <v>46263</v>
      </c>
      <c r="Z1119" s="20" t="s">
        <v>39</v>
      </c>
      <c r="AA1119" s="17" t="e">
        <f>VLOOKUP(F1119,[2]Wait!$H$225:$I$260,2,0)</f>
        <v>#N/A</v>
      </c>
    </row>
    <row r="1120" spans="1:27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2848</v>
      </c>
      <c r="E1120" s="20" t="s">
        <v>26</v>
      </c>
      <c r="F1120" s="20" t="s">
        <v>3811</v>
      </c>
      <c r="G1120" s="20" t="s">
        <v>35</v>
      </c>
      <c r="H1120" s="20" t="s">
        <v>26</v>
      </c>
      <c r="I1120" s="21">
        <v>46269</v>
      </c>
      <c r="J1120" s="20" t="s">
        <v>52</v>
      </c>
      <c r="K1120" s="20" t="s">
        <v>28</v>
      </c>
      <c r="L1120" s="20" t="s">
        <v>903</v>
      </c>
      <c r="M1120" s="20" t="s">
        <v>2841</v>
      </c>
      <c r="N1120" s="22" t="s">
        <v>250</v>
      </c>
      <c r="O1120" s="20" t="s">
        <v>955</v>
      </c>
      <c r="P1120" s="20" t="s">
        <v>26</v>
      </c>
      <c r="Q1120" s="20" t="s">
        <v>26</v>
      </c>
      <c r="R1120" s="20" t="s">
        <v>54</v>
      </c>
      <c r="S1120" s="20" t="s">
        <v>32</v>
      </c>
      <c r="T1120" s="20" t="s">
        <v>70</v>
      </c>
      <c r="U1120" s="20" t="s">
        <v>904</v>
      </c>
      <c r="V1120" s="21">
        <v>46260</v>
      </c>
      <c r="W1120" s="21">
        <v>46269</v>
      </c>
      <c r="X1120" s="20" t="s">
        <v>39</v>
      </c>
      <c r="Y1120" s="21">
        <v>46269</v>
      </c>
      <c r="Z1120" s="20" t="s">
        <v>39</v>
      </c>
      <c r="AA1120" s="17" t="e">
        <f>VLOOKUP(F1120,[2]Wait!$H$225:$I$260,2,0)</f>
        <v>#N/A</v>
      </c>
    </row>
    <row r="1121" spans="1:27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2850</v>
      </c>
      <c r="E1121" s="20" t="s">
        <v>2851</v>
      </c>
      <c r="F1121" s="20" t="s">
        <v>2851</v>
      </c>
      <c r="G1121" s="20" t="s">
        <v>194</v>
      </c>
      <c r="H1121" s="20" t="s">
        <v>26</v>
      </c>
      <c r="I1121" s="21">
        <v>46258</v>
      </c>
      <c r="J1121" s="20" t="s">
        <v>82</v>
      </c>
      <c r="K1121" s="20" t="s">
        <v>28</v>
      </c>
      <c r="L1121" s="20" t="s">
        <v>2852</v>
      </c>
      <c r="M1121" s="20" t="s">
        <v>2841</v>
      </c>
      <c r="N1121" s="22" t="s">
        <v>250</v>
      </c>
      <c r="O1121" s="20" t="s">
        <v>1044</v>
      </c>
      <c r="P1121" s="20" t="s">
        <v>257</v>
      </c>
      <c r="Q1121" s="20" t="s">
        <v>258</v>
      </c>
      <c r="R1121" s="20" t="s">
        <v>26</v>
      </c>
      <c r="S1121" s="20" t="s">
        <v>32</v>
      </c>
      <c r="T1121" s="20" t="s">
        <v>195</v>
      </c>
      <c r="U1121" s="20" t="s">
        <v>26</v>
      </c>
      <c r="V1121" s="21">
        <v>45823</v>
      </c>
      <c r="W1121" s="21">
        <v>46258</v>
      </c>
      <c r="X1121" s="20" t="s">
        <v>34</v>
      </c>
      <c r="Y1121" s="21">
        <v>46274</v>
      </c>
      <c r="Z1121" s="20" t="s">
        <v>57</v>
      </c>
      <c r="AA1121" s="17" t="e">
        <f>VLOOKUP(F1121,[2]Wait!$H$225:$I$260,2,0)</f>
        <v>#N/A</v>
      </c>
    </row>
    <row r="1122" spans="1:27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2853</v>
      </c>
      <c r="E1122" s="20" t="s">
        <v>2851</v>
      </c>
      <c r="F1122" s="20" t="s">
        <v>2851</v>
      </c>
      <c r="G1122" s="20" t="s">
        <v>194</v>
      </c>
      <c r="H1122" s="20" t="s">
        <v>26</v>
      </c>
      <c r="I1122" s="21">
        <v>46258</v>
      </c>
      <c r="J1122" s="20" t="s">
        <v>82</v>
      </c>
      <c r="K1122" s="20" t="s">
        <v>58</v>
      </c>
      <c r="L1122" s="20" t="s">
        <v>2852</v>
      </c>
      <c r="M1122" s="20" t="s">
        <v>2841</v>
      </c>
      <c r="N1122" s="22" t="s">
        <v>250</v>
      </c>
      <c r="O1122" s="20" t="s">
        <v>1044</v>
      </c>
      <c r="P1122" s="20" t="s">
        <v>257</v>
      </c>
      <c r="Q1122" s="20" t="s">
        <v>258</v>
      </c>
      <c r="R1122" s="20" t="s">
        <v>26</v>
      </c>
      <c r="S1122" s="20" t="s">
        <v>32</v>
      </c>
      <c r="T1122" s="20" t="s">
        <v>195</v>
      </c>
      <c r="U1122" s="20" t="s">
        <v>26</v>
      </c>
      <c r="V1122" s="21"/>
      <c r="W1122" s="21">
        <v>46258</v>
      </c>
      <c r="X1122" s="20" t="s">
        <v>34</v>
      </c>
      <c r="Y1122" s="21">
        <v>46274</v>
      </c>
      <c r="Z1122" s="20" t="s">
        <v>57</v>
      </c>
      <c r="AA1122" s="17" t="e">
        <f>VLOOKUP(F1122,[2]Wait!$H$225:$I$260,2,0)</f>
        <v>#N/A</v>
      </c>
    </row>
    <row r="1123" spans="1:27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2854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255</v>
      </c>
      <c r="K1123" s="20" t="s">
        <v>58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46238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7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1611</v>
      </c>
      <c r="E1124" s="20" t="s">
        <v>1612</v>
      </c>
      <c r="F1124" s="20" t="s">
        <v>1612</v>
      </c>
      <c r="G1124" s="20" t="s">
        <v>194</v>
      </c>
      <c r="H1124" s="20" t="s">
        <v>26</v>
      </c>
      <c r="I1124" s="21">
        <v>46258</v>
      </c>
      <c r="J1124" s="20" t="s">
        <v>683</v>
      </c>
      <c r="K1124" s="20" t="s">
        <v>28</v>
      </c>
      <c r="L1124" s="20" t="s">
        <v>1613</v>
      </c>
      <c r="M1124" s="20" t="s">
        <v>2841</v>
      </c>
      <c r="N1124" s="22" t="s">
        <v>250</v>
      </c>
      <c r="O1124" s="20" t="s">
        <v>1044</v>
      </c>
      <c r="P1124" s="20" t="s">
        <v>26</v>
      </c>
      <c r="Q1124" s="20" t="s">
        <v>26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>
        <v>46272</v>
      </c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7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2944</v>
      </c>
      <c r="E1125" s="20" t="s">
        <v>2945</v>
      </c>
      <c r="F1125" s="20" t="s">
        <v>2945</v>
      </c>
      <c r="G1125" s="20" t="s">
        <v>194</v>
      </c>
      <c r="H1125" s="20" t="s">
        <v>26</v>
      </c>
      <c r="I1125" s="21">
        <v>46258</v>
      </c>
      <c r="J1125" s="20" t="s">
        <v>683</v>
      </c>
      <c r="K1125" s="20" t="s">
        <v>28</v>
      </c>
      <c r="L1125" s="20" t="s">
        <v>2946</v>
      </c>
      <c r="M1125" s="20" t="s">
        <v>2841</v>
      </c>
      <c r="N1125" s="22" t="s">
        <v>250</v>
      </c>
      <c r="O1125" s="20" t="s">
        <v>1044</v>
      </c>
      <c r="P1125" s="20" t="s">
        <v>26</v>
      </c>
      <c r="Q1125" s="20" t="s">
        <v>26</v>
      </c>
      <c r="R1125" s="20" t="s">
        <v>26</v>
      </c>
      <c r="S1125" s="20" t="s">
        <v>63</v>
      </c>
      <c r="T1125" s="20" t="s">
        <v>195</v>
      </c>
      <c r="U1125" s="20" t="s">
        <v>26</v>
      </c>
      <c r="V1125" s="21">
        <v>46289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7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2358</v>
      </c>
      <c r="E1126" s="20" t="s">
        <v>26</v>
      </c>
      <c r="F1126" s="20" t="s">
        <v>3812</v>
      </c>
      <c r="G1126" s="20" t="s">
        <v>35</v>
      </c>
      <c r="H1126" s="20" t="s">
        <v>26</v>
      </c>
      <c r="I1126" s="21">
        <v>46265</v>
      </c>
      <c r="J1126" s="20" t="s">
        <v>36</v>
      </c>
      <c r="K1126" s="20" t="s">
        <v>28</v>
      </c>
      <c r="L1126" s="20" t="s">
        <v>686</v>
      </c>
      <c r="M1126" s="20" t="s">
        <v>3813</v>
      </c>
      <c r="N1126" s="22" t="s">
        <v>250</v>
      </c>
      <c r="O1126" s="20" t="s">
        <v>1070</v>
      </c>
      <c r="P1126" s="20" t="s">
        <v>41</v>
      </c>
      <c r="Q1126" s="20" t="s">
        <v>42</v>
      </c>
      <c r="R1126" s="20" t="s">
        <v>43</v>
      </c>
      <c r="S1126" s="20" t="s">
        <v>32</v>
      </c>
      <c r="T1126" s="20" t="s">
        <v>70</v>
      </c>
      <c r="U1126" s="20" t="s">
        <v>139</v>
      </c>
      <c r="V1126" s="21">
        <v>46288</v>
      </c>
      <c r="W1126" s="21">
        <v>46265</v>
      </c>
      <c r="X1126" s="20" t="s">
        <v>39</v>
      </c>
      <c r="Y1126" s="21">
        <v>46265</v>
      </c>
      <c r="Z1126" s="20" t="s">
        <v>39</v>
      </c>
    </row>
    <row r="1127" spans="1:27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2412</v>
      </c>
      <c r="E1127" s="20" t="s">
        <v>26</v>
      </c>
      <c r="F1127" s="20" t="s">
        <v>3814</v>
      </c>
      <c r="G1127" s="20" t="s">
        <v>35</v>
      </c>
      <c r="H1127" s="20" t="s">
        <v>26</v>
      </c>
      <c r="I1127" s="21">
        <v>46265</v>
      </c>
      <c r="J1127" s="20" t="s">
        <v>36</v>
      </c>
      <c r="K1127" s="20" t="s">
        <v>28</v>
      </c>
      <c r="L1127" s="20" t="s">
        <v>742</v>
      </c>
      <c r="M1127" s="20" t="s">
        <v>3815</v>
      </c>
      <c r="N1127" s="22" t="s">
        <v>250</v>
      </c>
      <c r="O1127" s="20" t="s">
        <v>1070</v>
      </c>
      <c r="P1127" s="20" t="s">
        <v>41</v>
      </c>
      <c r="Q1127" s="20" t="s">
        <v>42</v>
      </c>
      <c r="R1127" s="20" t="s">
        <v>43</v>
      </c>
      <c r="S1127" s="20" t="s">
        <v>32</v>
      </c>
      <c r="T1127" s="20" t="s">
        <v>71</v>
      </c>
      <c r="U1127" s="20" t="s">
        <v>144</v>
      </c>
      <c r="V1127" s="21">
        <v>46288</v>
      </c>
      <c r="W1127" s="21">
        <v>46265</v>
      </c>
      <c r="X1127" s="20" t="s">
        <v>39</v>
      </c>
      <c r="Y1127" s="21">
        <v>46265</v>
      </c>
      <c r="Z1127" s="20" t="s">
        <v>39</v>
      </c>
    </row>
    <row r="1128" spans="1:27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1959</v>
      </c>
      <c r="E1128" s="20" t="s">
        <v>26</v>
      </c>
      <c r="F1128" s="20" t="s">
        <v>3816</v>
      </c>
      <c r="G1128" s="20" t="s">
        <v>35</v>
      </c>
      <c r="H1128" s="20" t="s">
        <v>26</v>
      </c>
      <c r="I1128" s="21">
        <v>46263</v>
      </c>
      <c r="J1128" s="20" t="s">
        <v>110</v>
      </c>
      <c r="K1128" s="20" t="s">
        <v>28</v>
      </c>
      <c r="L1128" s="20" t="s">
        <v>401</v>
      </c>
      <c r="M1128" s="20" t="s">
        <v>2860</v>
      </c>
      <c r="N1128" s="22" t="s">
        <v>250</v>
      </c>
      <c r="O1128" s="20" t="s">
        <v>949</v>
      </c>
      <c r="P1128" s="20" t="s">
        <v>30</v>
      </c>
      <c r="Q1128" s="20" t="s">
        <v>31</v>
      </c>
      <c r="R1128" s="20" t="s">
        <v>77</v>
      </c>
      <c r="S1128" s="20" t="s">
        <v>32</v>
      </c>
      <c r="T1128" s="20" t="s">
        <v>136</v>
      </c>
      <c r="U1128" s="20" t="s">
        <v>402</v>
      </c>
      <c r="V1128" s="21">
        <v>46287</v>
      </c>
      <c r="W1128" s="21">
        <v>46263</v>
      </c>
      <c r="X1128" s="20" t="s">
        <v>39</v>
      </c>
      <c r="Y1128" s="21">
        <v>46263</v>
      </c>
      <c r="Z1128" s="20" t="s">
        <v>39</v>
      </c>
    </row>
    <row r="1129" spans="1:27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2849</v>
      </c>
      <c r="E1129" s="20" t="s">
        <v>26</v>
      </c>
      <c r="F1129" s="20" t="s">
        <v>3817</v>
      </c>
      <c r="G1129" s="20" t="s">
        <v>35</v>
      </c>
      <c r="H1129" s="20" t="s">
        <v>26</v>
      </c>
      <c r="I1129" s="21">
        <v>46263</v>
      </c>
      <c r="J1129" s="20" t="s">
        <v>63</v>
      </c>
      <c r="K1129" s="20" t="s">
        <v>28</v>
      </c>
      <c r="L1129" s="20" t="s">
        <v>905</v>
      </c>
      <c r="M1129" s="20" t="s">
        <v>2860</v>
      </c>
      <c r="N1129" s="22" t="s">
        <v>250</v>
      </c>
      <c r="O1129" s="20" t="s">
        <v>949</v>
      </c>
      <c r="P1129" s="20" t="s">
        <v>41</v>
      </c>
      <c r="Q1129" s="20" t="s">
        <v>42</v>
      </c>
      <c r="R1129" s="20" t="s">
        <v>135</v>
      </c>
      <c r="S1129" s="20" t="s">
        <v>32</v>
      </c>
      <c r="T1129" s="20" t="s">
        <v>70</v>
      </c>
      <c r="U1129" s="20" t="s">
        <v>906</v>
      </c>
      <c r="V1129" s="21">
        <v>46258</v>
      </c>
      <c r="W1129" s="21">
        <v>46263</v>
      </c>
      <c r="X1129" s="20" t="s">
        <v>39</v>
      </c>
      <c r="Y1129" s="21">
        <v>46263</v>
      </c>
      <c r="Z1129" s="20" t="s">
        <v>39</v>
      </c>
    </row>
    <row r="1130" spans="1:27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1622</v>
      </c>
      <c r="E1130" s="20" t="s">
        <v>1623</v>
      </c>
      <c r="F1130" s="20" t="s">
        <v>1623</v>
      </c>
      <c r="G1130" s="20" t="s">
        <v>194</v>
      </c>
      <c r="H1130" s="20" t="s">
        <v>26</v>
      </c>
      <c r="I1130" s="21">
        <v>46273</v>
      </c>
      <c r="J1130" s="20" t="s">
        <v>225</v>
      </c>
      <c r="K1130" s="20" t="s">
        <v>28</v>
      </c>
      <c r="L1130" s="20" t="s">
        <v>1624</v>
      </c>
      <c r="M1130" s="20" t="s">
        <v>3818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46277</v>
      </c>
      <c r="W1130" s="21">
        <v>46273</v>
      </c>
      <c r="X1130" s="20" t="s">
        <v>1625</v>
      </c>
      <c r="Y1130" s="21">
        <v>46273</v>
      </c>
      <c r="Z1130" s="20" t="s">
        <v>226</v>
      </c>
    </row>
    <row r="1131" spans="1:27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1626</v>
      </c>
      <c r="E1131" s="20" t="s">
        <v>1623</v>
      </c>
      <c r="F1131" s="20" t="s">
        <v>1623</v>
      </c>
      <c r="G1131" s="20" t="s">
        <v>194</v>
      </c>
      <c r="H1131" s="20" t="s">
        <v>26</v>
      </c>
      <c r="I1131" s="21">
        <v>46273</v>
      </c>
      <c r="J1131" s="20" t="s">
        <v>683</v>
      </c>
      <c r="K1131" s="20" t="s">
        <v>58</v>
      </c>
      <c r="L1131" s="20" t="s">
        <v>1624</v>
      </c>
      <c r="M1131" s="20" t="s">
        <v>3818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46276</v>
      </c>
      <c r="W1131" s="21">
        <v>46273</v>
      </c>
      <c r="X1131" s="20" t="s">
        <v>1625</v>
      </c>
      <c r="Y1131" s="21">
        <v>46273</v>
      </c>
      <c r="Z1131" s="20" t="s">
        <v>226</v>
      </c>
    </row>
    <row r="1132" spans="1:27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2862</v>
      </c>
      <c r="E1132" s="20" t="s">
        <v>2863</v>
      </c>
      <c r="F1132" s="20" t="s">
        <v>3819</v>
      </c>
      <c r="G1132" s="20" t="s">
        <v>25</v>
      </c>
      <c r="H1132" s="20" t="s">
        <v>26</v>
      </c>
      <c r="I1132" s="21">
        <v>46256</v>
      </c>
      <c r="J1132" s="20" t="s">
        <v>52</v>
      </c>
      <c r="K1132" s="20" t="s">
        <v>28</v>
      </c>
      <c r="L1132" s="20" t="s">
        <v>2864</v>
      </c>
      <c r="M1132" s="20" t="s">
        <v>2865</v>
      </c>
      <c r="N1132" s="22" t="s">
        <v>250</v>
      </c>
      <c r="O1132" s="20" t="s">
        <v>1727</v>
      </c>
      <c r="P1132" s="20" t="s">
        <v>148</v>
      </c>
      <c r="Q1132" s="20" t="s">
        <v>149</v>
      </c>
      <c r="R1132" s="20" t="s">
        <v>26</v>
      </c>
      <c r="S1132" s="20" t="s">
        <v>32</v>
      </c>
      <c r="T1132" s="20" t="s">
        <v>195</v>
      </c>
      <c r="U1132" s="20" t="s">
        <v>2866</v>
      </c>
      <c r="V1132" s="21">
        <v>45946</v>
      </c>
      <c r="W1132" s="21">
        <v>46256</v>
      </c>
      <c r="X1132" s="20" t="s">
        <v>34</v>
      </c>
      <c r="Y1132" s="21">
        <v>46267</v>
      </c>
      <c r="Z1132" s="20" t="s">
        <v>34</v>
      </c>
    </row>
    <row r="1133" spans="1:27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2530</v>
      </c>
      <c r="E1133" s="20" t="s">
        <v>26</v>
      </c>
      <c r="F1133" s="20" t="s">
        <v>3820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741</v>
      </c>
      <c r="M1133" s="20" t="s">
        <v>2865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141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7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2433</v>
      </c>
      <c r="E1134" s="20" t="s">
        <v>26</v>
      </c>
      <c r="F1134" s="20" t="s">
        <v>3821</v>
      </c>
      <c r="G1134" s="20" t="s">
        <v>35</v>
      </c>
      <c r="H1134" s="20" t="s">
        <v>26</v>
      </c>
      <c r="I1134" s="21">
        <v>46259</v>
      </c>
      <c r="J1134" s="20" t="s">
        <v>196</v>
      </c>
      <c r="K1134" s="20" t="s">
        <v>28</v>
      </c>
      <c r="L1134" s="20" t="s">
        <v>2434</v>
      </c>
      <c r="M1134" s="20" t="s">
        <v>2865</v>
      </c>
      <c r="N1134" s="22" t="s">
        <v>250</v>
      </c>
      <c r="O1134" s="20" t="s">
        <v>946</v>
      </c>
      <c r="P1134" s="20" t="s">
        <v>26</v>
      </c>
      <c r="Q1134" s="20" t="s">
        <v>26</v>
      </c>
      <c r="R1134" s="20" t="s">
        <v>72</v>
      </c>
      <c r="S1134" s="20" t="s">
        <v>32</v>
      </c>
      <c r="T1134" s="20" t="s">
        <v>70</v>
      </c>
      <c r="U1134" s="20" t="s">
        <v>2435</v>
      </c>
      <c r="V1134" s="21">
        <v>46289</v>
      </c>
      <c r="W1134" s="21">
        <v>46259</v>
      </c>
      <c r="X1134" s="20" t="s">
        <v>39</v>
      </c>
      <c r="Y1134" s="21">
        <v>46259</v>
      </c>
      <c r="Z1134" s="20" t="s">
        <v>39</v>
      </c>
    </row>
    <row r="1135" spans="1:27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2542</v>
      </c>
      <c r="E1135" s="20" t="s">
        <v>2543</v>
      </c>
      <c r="F1135" s="20" t="s">
        <v>2543</v>
      </c>
      <c r="G1135" s="20" t="s">
        <v>194</v>
      </c>
      <c r="H1135" s="20" t="s">
        <v>26</v>
      </c>
      <c r="I1135" s="21">
        <v>46264</v>
      </c>
      <c r="J1135" s="20" t="s">
        <v>32</v>
      </c>
      <c r="K1135" s="20" t="s">
        <v>28</v>
      </c>
      <c r="L1135" s="20" t="s">
        <v>2544</v>
      </c>
      <c r="M1135" s="20" t="s">
        <v>2865</v>
      </c>
      <c r="N1135" s="22" t="s">
        <v>250</v>
      </c>
      <c r="O1135" s="20" t="s">
        <v>1044</v>
      </c>
      <c r="P1135" s="20" t="s">
        <v>26</v>
      </c>
      <c r="Q1135" s="20" t="s">
        <v>26</v>
      </c>
      <c r="R1135" s="20" t="s">
        <v>26</v>
      </c>
      <c r="S1135" s="20" t="s">
        <v>32</v>
      </c>
      <c r="T1135" s="20" t="s">
        <v>195</v>
      </c>
      <c r="U1135" s="20" t="s">
        <v>26</v>
      </c>
      <c r="V1135" s="21">
        <v>46266</v>
      </c>
      <c r="W1135" s="21">
        <v>46264</v>
      </c>
      <c r="X1135" s="20" t="s">
        <v>34</v>
      </c>
      <c r="Y1135" s="21">
        <v>46264</v>
      </c>
      <c r="Z1135" s="20" t="s">
        <v>34</v>
      </c>
    </row>
    <row r="1136" spans="1:27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2867</v>
      </c>
      <c r="E1136" s="20" t="s">
        <v>2868</v>
      </c>
      <c r="F1136" s="20" t="s">
        <v>2868</v>
      </c>
      <c r="G1136" s="20" t="s">
        <v>194</v>
      </c>
      <c r="H1136" s="20" t="s">
        <v>26</v>
      </c>
      <c r="I1136" s="21">
        <v>46258</v>
      </c>
      <c r="J1136" s="20" t="s">
        <v>255</v>
      </c>
      <c r="K1136" s="20" t="s">
        <v>28</v>
      </c>
      <c r="L1136" s="20" t="s">
        <v>2869</v>
      </c>
      <c r="M1136" s="20" t="s">
        <v>2865</v>
      </c>
      <c r="N1136" s="22" t="s">
        <v>250</v>
      </c>
      <c r="O1136" s="20" t="s">
        <v>1044</v>
      </c>
      <c r="P1136" s="20" t="s">
        <v>257</v>
      </c>
      <c r="Q1136" s="20" t="s">
        <v>258</v>
      </c>
      <c r="R1136" s="20" t="s">
        <v>26</v>
      </c>
      <c r="S1136" s="20" t="s">
        <v>32</v>
      </c>
      <c r="T1136" s="20" t="s">
        <v>195</v>
      </c>
      <c r="U1136" s="20" t="s">
        <v>26</v>
      </c>
      <c r="V1136" s="21">
        <v>46090</v>
      </c>
      <c r="W1136" s="21">
        <v>46258</v>
      </c>
      <c r="X1136" s="20" t="s">
        <v>34</v>
      </c>
      <c r="Y1136" s="21">
        <v>46274</v>
      </c>
      <c r="Z1136" s="20" t="s">
        <v>57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2870</v>
      </c>
      <c r="E1137" s="20" t="s">
        <v>2868</v>
      </c>
      <c r="F1137" s="20" t="s">
        <v>2868</v>
      </c>
      <c r="G1137" s="20" t="s">
        <v>194</v>
      </c>
      <c r="H1137" s="20" t="s">
        <v>26</v>
      </c>
      <c r="I1137" s="21">
        <v>46258</v>
      </c>
      <c r="J1137" s="20" t="s">
        <v>260</v>
      </c>
      <c r="K1137" s="20" t="s">
        <v>58</v>
      </c>
      <c r="L1137" s="20" t="s">
        <v>2869</v>
      </c>
      <c r="M1137" s="20" t="s">
        <v>2865</v>
      </c>
      <c r="N1137" s="22" t="s">
        <v>250</v>
      </c>
      <c r="O1137" s="20" t="s">
        <v>1044</v>
      </c>
      <c r="P1137" s="20" t="s">
        <v>257</v>
      </c>
      <c r="Q1137" s="20" t="s">
        <v>258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/>
      <c r="W1137" s="21">
        <v>46258</v>
      </c>
      <c r="X1137" s="20" t="s">
        <v>34</v>
      </c>
      <c r="Y1137" s="21">
        <v>46274</v>
      </c>
      <c r="Z1137" s="20" t="s">
        <v>57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2871</v>
      </c>
      <c r="E1138" s="20" t="s">
        <v>2868</v>
      </c>
      <c r="F1138" s="20" t="s">
        <v>2868</v>
      </c>
      <c r="G1138" s="20" t="s">
        <v>194</v>
      </c>
      <c r="H1138" s="20" t="s">
        <v>26</v>
      </c>
      <c r="I1138" s="21">
        <v>46258</v>
      </c>
      <c r="J1138" s="20" t="s">
        <v>255</v>
      </c>
      <c r="K1138" s="20" t="s">
        <v>58</v>
      </c>
      <c r="L1138" s="20" t="s">
        <v>2869</v>
      </c>
      <c r="M1138" s="20" t="s">
        <v>2865</v>
      </c>
      <c r="N1138" s="22" t="s">
        <v>250</v>
      </c>
      <c r="O1138" s="20" t="s">
        <v>1044</v>
      </c>
      <c r="P1138" s="20" t="s">
        <v>257</v>
      </c>
      <c r="Q1138" s="20" t="s">
        <v>258</v>
      </c>
      <c r="R1138" s="20" t="s">
        <v>26</v>
      </c>
      <c r="S1138" s="20" t="s">
        <v>32</v>
      </c>
      <c r="T1138" s="20" t="s">
        <v>195</v>
      </c>
      <c r="U1138" s="20" t="s">
        <v>26</v>
      </c>
      <c r="V1138" s="21">
        <v>46091</v>
      </c>
      <c r="W1138" s="21">
        <v>46258</v>
      </c>
      <c r="X1138" s="20" t="s">
        <v>34</v>
      </c>
      <c r="Y1138" s="21">
        <v>46274</v>
      </c>
      <c r="Z1138" s="20" t="s">
        <v>57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1683</v>
      </c>
      <c r="E1139" s="20" t="s">
        <v>1684</v>
      </c>
      <c r="F1139" s="20" t="s">
        <v>1684</v>
      </c>
      <c r="G1139" s="20" t="s">
        <v>194</v>
      </c>
      <c r="H1139" s="20" t="s">
        <v>26</v>
      </c>
      <c r="I1139" s="21">
        <v>46258</v>
      </c>
      <c r="J1139" s="20" t="s">
        <v>683</v>
      </c>
      <c r="K1139" s="20" t="s">
        <v>28</v>
      </c>
      <c r="L1139" s="20" t="s">
        <v>1685</v>
      </c>
      <c r="M1139" s="20" t="s">
        <v>2865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32</v>
      </c>
      <c r="T1139" s="20" t="s">
        <v>195</v>
      </c>
      <c r="U1139" s="20" t="s">
        <v>26</v>
      </c>
      <c r="V1139" s="21">
        <v>46274</v>
      </c>
      <c r="W1139" s="21">
        <v>46258</v>
      </c>
      <c r="X1139" s="20" t="s">
        <v>34</v>
      </c>
      <c r="Y1139" s="21">
        <v>46274</v>
      </c>
      <c r="Z1139" s="20" t="s">
        <v>57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2573</v>
      </c>
      <c r="E1140" s="20" t="s">
        <v>2574</v>
      </c>
      <c r="F1140" s="20" t="s">
        <v>2574</v>
      </c>
      <c r="G1140" s="20" t="s">
        <v>194</v>
      </c>
      <c r="H1140" s="20" t="s">
        <v>26</v>
      </c>
      <c r="I1140" s="21">
        <v>46276</v>
      </c>
      <c r="J1140" s="20" t="s">
        <v>225</v>
      </c>
      <c r="K1140" s="20" t="s">
        <v>28</v>
      </c>
      <c r="L1140" s="20" t="s">
        <v>2575</v>
      </c>
      <c r="M1140" s="20" t="s">
        <v>2865</v>
      </c>
      <c r="N1140" s="22" t="s">
        <v>250</v>
      </c>
      <c r="O1140" s="20" t="s">
        <v>1044</v>
      </c>
      <c r="P1140" s="20" t="s">
        <v>26</v>
      </c>
      <c r="Q1140" s="20" t="s">
        <v>26</v>
      </c>
      <c r="R1140" s="20" t="s">
        <v>26</v>
      </c>
      <c r="S1140" s="20" t="s">
        <v>63</v>
      </c>
      <c r="T1140" s="20" t="s">
        <v>195</v>
      </c>
      <c r="U1140" s="20" t="s">
        <v>26</v>
      </c>
      <c r="V1140" s="21">
        <v>46276</v>
      </c>
      <c r="W1140" s="21">
        <v>46276</v>
      </c>
      <c r="X1140" s="20" t="s">
        <v>2576</v>
      </c>
      <c r="Y1140" s="21">
        <v>46276</v>
      </c>
      <c r="Z1140" s="20" t="s">
        <v>226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2577</v>
      </c>
      <c r="E1141" s="20" t="s">
        <v>2574</v>
      </c>
      <c r="F1141" s="20" t="s">
        <v>2574</v>
      </c>
      <c r="G1141" s="20" t="s">
        <v>194</v>
      </c>
      <c r="H1141" s="20" t="s">
        <v>26</v>
      </c>
      <c r="I1141" s="21">
        <v>46276</v>
      </c>
      <c r="J1141" s="20" t="s">
        <v>683</v>
      </c>
      <c r="K1141" s="20" t="s">
        <v>58</v>
      </c>
      <c r="L1141" s="20" t="s">
        <v>2575</v>
      </c>
      <c r="M1141" s="20" t="s">
        <v>2865</v>
      </c>
      <c r="N1141" s="22" t="s">
        <v>250</v>
      </c>
      <c r="O1141" s="20" t="s">
        <v>1044</v>
      </c>
      <c r="P1141" s="20" t="s">
        <v>26</v>
      </c>
      <c r="Q1141" s="20" t="s">
        <v>26</v>
      </c>
      <c r="R1141" s="20" t="s">
        <v>26</v>
      </c>
      <c r="S1141" s="20" t="s">
        <v>63</v>
      </c>
      <c r="T1141" s="20" t="s">
        <v>195</v>
      </c>
      <c r="U1141" s="20" t="s">
        <v>26</v>
      </c>
      <c r="V1141" s="21">
        <v>46287</v>
      </c>
      <c r="W1141" s="21">
        <v>46276</v>
      </c>
      <c r="X1141" s="20" t="s">
        <v>2576</v>
      </c>
      <c r="Y1141" s="21">
        <v>46276</v>
      </c>
      <c r="Z1141" s="20" t="s">
        <v>226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2623</v>
      </c>
      <c r="E1142" s="20" t="s">
        <v>26</v>
      </c>
      <c r="F1142" s="20" t="s">
        <v>3822</v>
      </c>
      <c r="G1142" s="20" t="s">
        <v>35</v>
      </c>
      <c r="H1142" s="20" t="s">
        <v>26</v>
      </c>
      <c r="I1142" s="21">
        <v>46265</v>
      </c>
      <c r="J1142" s="20" t="s">
        <v>36</v>
      </c>
      <c r="K1142" s="20" t="s">
        <v>28</v>
      </c>
      <c r="L1142" s="20" t="s">
        <v>805</v>
      </c>
      <c r="M1142" s="20" t="s">
        <v>3823</v>
      </c>
      <c r="N1142" s="22" t="s">
        <v>250</v>
      </c>
      <c r="O1142" s="20" t="s">
        <v>1070</v>
      </c>
      <c r="P1142" s="20" t="s">
        <v>41</v>
      </c>
      <c r="Q1142" s="20" t="s">
        <v>42</v>
      </c>
      <c r="R1142" s="20" t="s">
        <v>43</v>
      </c>
      <c r="S1142" s="20" t="s">
        <v>32</v>
      </c>
      <c r="T1142" s="20" t="s">
        <v>141</v>
      </c>
      <c r="U1142" s="20" t="s">
        <v>139</v>
      </c>
      <c r="V1142" s="21">
        <v>46288</v>
      </c>
      <c r="W1142" s="21">
        <v>46265</v>
      </c>
      <c r="X1142" s="20" t="s">
        <v>39</v>
      </c>
      <c r="Y1142" s="21">
        <v>46265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2880</v>
      </c>
      <c r="E1143" s="20" t="s">
        <v>2881</v>
      </c>
      <c r="F1143" s="20" t="s">
        <v>3824</v>
      </c>
      <c r="G1143" s="20" t="s">
        <v>25</v>
      </c>
      <c r="H1143" s="20" t="s">
        <v>26</v>
      </c>
      <c r="I1143" s="21">
        <v>46256</v>
      </c>
      <c r="J1143" s="20" t="s">
        <v>52</v>
      </c>
      <c r="K1143" s="20" t="s">
        <v>28</v>
      </c>
      <c r="L1143" s="20" t="s">
        <v>2882</v>
      </c>
      <c r="M1143" s="20" t="s">
        <v>919</v>
      </c>
      <c r="N1143" s="22" t="s">
        <v>250</v>
      </c>
      <c r="O1143" s="20" t="s">
        <v>1727</v>
      </c>
      <c r="P1143" s="20" t="s">
        <v>148</v>
      </c>
      <c r="Q1143" s="20" t="s">
        <v>149</v>
      </c>
      <c r="R1143" s="20" t="s">
        <v>26</v>
      </c>
      <c r="S1143" s="20" t="s">
        <v>32</v>
      </c>
      <c r="T1143" s="20" t="s">
        <v>195</v>
      </c>
      <c r="U1143" s="20" t="s">
        <v>2883</v>
      </c>
      <c r="V1143" s="21">
        <v>45814</v>
      </c>
      <c r="W1143" s="21">
        <v>46256</v>
      </c>
      <c r="X1143" s="20" t="s">
        <v>34</v>
      </c>
      <c r="Y1143" s="21">
        <v>46267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1724</v>
      </c>
      <c r="E1144" s="20" t="s">
        <v>1725</v>
      </c>
      <c r="F1144" s="20" t="s">
        <v>3825</v>
      </c>
      <c r="G1144" s="20" t="s">
        <v>25</v>
      </c>
      <c r="H1144" s="20" t="s">
        <v>26</v>
      </c>
      <c r="I1144" s="21">
        <v>46256</v>
      </c>
      <c r="J1144" s="20" t="s">
        <v>52</v>
      </c>
      <c r="K1144" s="20" t="s">
        <v>28</v>
      </c>
      <c r="L1144" s="20" t="s">
        <v>1726</v>
      </c>
      <c r="M1144" s="20" t="s">
        <v>919</v>
      </c>
      <c r="N1144" s="22" t="s">
        <v>250</v>
      </c>
      <c r="O1144" s="20" t="s">
        <v>1727</v>
      </c>
      <c r="P1144" s="20" t="s">
        <v>148</v>
      </c>
      <c r="Q1144" s="20" t="s">
        <v>149</v>
      </c>
      <c r="R1144" s="20" t="s">
        <v>26</v>
      </c>
      <c r="S1144" s="20" t="s">
        <v>32</v>
      </c>
      <c r="T1144" s="20" t="s">
        <v>195</v>
      </c>
      <c r="U1144" s="20" t="s">
        <v>1728</v>
      </c>
      <c r="V1144" s="21">
        <v>46150</v>
      </c>
      <c r="W1144" s="21">
        <v>46256</v>
      </c>
      <c r="X1144" s="20" t="s">
        <v>34</v>
      </c>
      <c r="Y1144" s="21">
        <v>46267</v>
      </c>
      <c r="Z1144" s="20" t="s">
        <v>34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1729</v>
      </c>
      <c r="E1145" s="20" t="s">
        <v>1725</v>
      </c>
      <c r="F1145" s="20" t="s">
        <v>3825</v>
      </c>
      <c r="G1145" s="20" t="s">
        <v>25</v>
      </c>
      <c r="H1145" s="20" t="s">
        <v>26</v>
      </c>
      <c r="I1145" s="21">
        <v>46256</v>
      </c>
      <c r="J1145" s="20" t="s">
        <v>52</v>
      </c>
      <c r="K1145" s="20" t="s">
        <v>58</v>
      </c>
      <c r="L1145" s="20" t="s">
        <v>1726</v>
      </c>
      <c r="M1145" s="20" t="s">
        <v>919</v>
      </c>
      <c r="N1145" s="22" t="s">
        <v>250</v>
      </c>
      <c r="O1145" s="20" t="s">
        <v>1727</v>
      </c>
      <c r="P1145" s="20" t="s">
        <v>148</v>
      </c>
      <c r="Q1145" s="20" t="s">
        <v>149</v>
      </c>
      <c r="R1145" s="20" t="s">
        <v>26</v>
      </c>
      <c r="S1145" s="20" t="s">
        <v>32</v>
      </c>
      <c r="T1145" s="20" t="s">
        <v>195</v>
      </c>
      <c r="U1145" s="20" t="s">
        <v>1728</v>
      </c>
      <c r="V1145" s="21">
        <v>46150</v>
      </c>
      <c r="W1145" s="21">
        <v>46256</v>
      </c>
      <c r="X1145" s="20" t="s">
        <v>34</v>
      </c>
      <c r="Y1145" s="21">
        <v>46267</v>
      </c>
      <c r="Z1145" s="20" t="s">
        <v>34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2884</v>
      </c>
      <c r="E1146" s="20" t="s">
        <v>26</v>
      </c>
      <c r="F1146" s="20" t="s">
        <v>3826</v>
      </c>
      <c r="G1146" s="20" t="s">
        <v>35</v>
      </c>
      <c r="H1146" s="20" t="s">
        <v>26</v>
      </c>
      <c r="I1146" s="21">
        <v>46254</v>
      </c>
      <c r="J1146" s="20" t="s">
        <v>36</v>
      </c>
      <c r="K1146" s="20" t="s">
        <v>28</v>
      </c>
      <c r="L1146" s="20" t="s">
        <v>917</v>
      </c>
      <c r="M1146" s="20" t="s">
        <v>919</v>
      </c>
      <c r="N1146" s="22" t="s">
        <v>250</v>
      </c>
      <c r="O1146" s="20" t="s">
        <v>949</v>
      </c>
      <c r="P1146" s="20" t="s">
        <v>41</v>
      </c>
      <c r="Q1146" s="20" t="s">
        <v>42</v>
      </c>
      <c r="R1146" s="20" t="s">
        <v>253</v>
      </c>
      <c r="S1146" s="20" t="s">
        <v>32</v>
      </c>
      <c r="T1146" s="20" t="s">
        <v>66</v>
      </c>
      <c r="U1146" s="20" t="s">
        <v>918</v>
      </c>
      <c r="V1146" s="21">
        <v>46258</v>
      </c>
      <c r="W1146" s="21">
        <v>46254</v>
      </c>
      <c r="X1146" s="20" t="s">
        <v>34</v>
      </c>
      <c r="Y1146" s="21">
        <v>46254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2885</v>
      </c>
      <c r="E1147" s="20" t="s">
        <v>26</v>
      </c>
      <c r="F1147" s="20" t="s">
        <v>3826</v>
      </c>
      <c r="G1147" s="20" t="s">
        <v>35</v>
      </c>
      <c r="H1147" s="20" t="s">
        <v>26</v>
      </c>
      <c r="I1147" s="21">
        <v>46254</v>
      </c>
      <c r="J1147" s="20" t="s">
        <v>36</v>
      </c>
      <c r="K1147" s="20" t="s">
        <v>58</v>
      </c>
      <c r="L1147" s="20" t="s">
        <v>917</v>
      </c>
      <c r="M1147" s="20" t="s">
        <v>919</v>
      </c>
      <c r="N1147" s="22" t="s">
        <v>250</v>
      </c>
      <c r="O1147" s="20" t="s">
        <v>949</v>
      </c>
      <c r="P1147" s="20" t="s">
        <v>41</v>
      </c>
      <c r="Q1147" s="20" t="s">
        <v>42</v>
      </c>
      <c r="R1147" s="20" t="s">
        <v>253</v>
      </c>
      <c r="S1147" s="20" t="s">
        <v>32</v>
      </c>
      <c r="T1147" s="20" t="s">
        <v>66</v>
      </c>
      <c r="U1147" s="20" t="s">
        <v>918</v>
      </c>
      <c r="V1147" s="21">
        <v>46258</v>
      </c>
      <c r="W1147" s="21">
        <v>46254</v>
      </c>
      <c r="X1147" s="20" t="s">
        <v>34</v>
      </c>
      <c r="Y1147" s="21">
        <v>46254</v>
      </c>
      <c r="Z114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2026-10-02T10:16:59Z</dcterms:modified>
</cp:coreProperties>
</file>