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QM" sheetId="1" r:id="rId1"/>
    <sheet name="TEV" sheetId="2" r:id="rId2"/>
  </sheets>
  <externalReferences>
    <externalReference r:id="rId3"/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2" i="1" l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A8" i="1"/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</calcChain>
</file>

<file path=xl/sharedStrings.xml><?xml version="1.0" encoding="utf-8"?>
<sst xmlns="http://schemas.openxmlformats.org/spreadsheetml/2006/main" count="28259" uniqueCount="4361">
  <si>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</si>
  <si>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</si>
  <si>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</si>
  <si>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</si>
  <si>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</si>
  <si>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</si>
  <si>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</si>
  <si>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</si>
  <si>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</si>
  <si>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</si>
  <si>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</si>
  <si>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</si>
  <si>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</si>
  <si>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</si>
  <si>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</si>
  <si>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</si>
  <si>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</si>
  <si>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</si>
  <si>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</si>
  <si>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</si>
  <si>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</si>
  <si>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</si>
  <si>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</si>
  <si>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</si>
  <si>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</si>
  <si>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</si>
  <si>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</si>
  <si>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</si>
  <si>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</si>
  <si>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</si>
  <si>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</si>
  <si>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</si>
  <si>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</si>
  <si>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</si>
  <si>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</si>
  <si>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</si>
  <si>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</si>
  <si>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</si>
  <si>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</si>
  <si>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</si>
  <si>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</si>
  <si>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</si>
  <si>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</si>
  <si>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</si>
  <si>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</si>
  <si>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</si>
  <si>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</si>
  <si>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</si>
  <si>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</si>
  <si>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</si>
  <si>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</si>
  <si>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</si>
  <si>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</si>
  <si>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</si>
  <si>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</si>
  <si>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</si>
  <si>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</si>
  <si>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</si>
  <si>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</si>
  <si>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</si>
  <si>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</si>
  <si>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</si>
  <si>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</si>
  <si>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</si>
  <si>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</si>
  <si>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</si>
  <si>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</si>
  <si>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</si>
  <si>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</si>
  <si>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</si>
  <si>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</si>
  <si>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</si>
  <si>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</si>
  <si>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</si>
  <si>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</si>
  <si>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</si>
  <si>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</si>
  <si>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</si>
  <si>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</si>
  <si>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</si>
  <si>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</si>
  <si>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</si>
  <si>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</si>
  <si>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</si>
  <si>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</si>
  <si>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</si>
  <si>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</si>
  <si>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</si>
  <si>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</si>
  <si>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</si>
  <si>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</si>
  <si>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</si>
  <si>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</si>
  <si>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</si>
  <si>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</si>
  <si>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</si>
  <si>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</si>
  <si>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</si>
  <si>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</si>
  <si>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</si>
  <si>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</si>
  <si>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</si>
  <si>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</si>
  <si>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</si>
  <si>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</si>
  <si>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</si>
  <si>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</si>
  <si>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</si>
  <si>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</si>
  <si>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</si>
  <si>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</si>
  <si>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</si>
  <si>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</si>
  <si>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</si>
  <si>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</si>
  <si>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</si>
  <si>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</si>
  <si>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</si>
  <si>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</si>
  <si>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</si>
  <si>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</si>
  <si>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</si>
  <si>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</si>
  <si>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</si>
  <si>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</si>
  <si>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</si>
  <si>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</si>
  <si>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</si>
  <si>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</si>
  <si>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</si>
  <si>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</si>
  <si>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</si>
  <si>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</si>
  <si>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</si>
  <si>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</si>
  <si>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</si>
  <si>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</si>
  <si>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</si>
  <si>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</si>
  <si>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</si>
  <si>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</si>
  <si>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</si>
  <si>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</si>
  <si>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</si>
  <si>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</si>
  <si>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</si>
  <si>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</si>
  <si>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</si>
  <si>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</si>
  <si>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</si>
  <si>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</si>
  <si>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</si>
  <si>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</si>
  <si>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</si>
  <si>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</si>
  <si>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</si>
  <si>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</si>
  <si>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</si>
  <si>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</si>
  <si>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</si>
  <si>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</si>
  <si>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</si>
  <si>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</si>
  <si>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</si>
  <si>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</si>
  <si>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</si>
  <si>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</si>
  <si>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</si>
  <si>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</si>
  <si>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</si>
  <si>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</si>
  <si>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</si>
  <si>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</si>
  <si>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</si>
  <si>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</si>
  <si>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</si>
  <si>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</si>
  <si>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</si>
  <si>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</si>
  <si>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</si>
  <si>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</si>
  <si>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</si>
  <si>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</si>
  <si>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</si>
  <si>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</si>
  <si>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</si>
  <si>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</si>
  <si>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</si>
  <si>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</si>
  <si>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</si>
  <si>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</si>
  <si>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</si>
  <si>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</si>
  <si>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</si>
  <si>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</si>
  <si>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</si>
  <si>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</si>
  <si>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</si>
  <si>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</si>
  <si>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</si>
  <si>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</si>
  <si>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</si>
  <si>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</si>
  <si>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</si>
  <si>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</si>
  <si>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</si>
  <si>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</si>
  <si>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</si>
  <si>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</si>
  <si>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</si>
  <si>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</si>
  <si>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</si>
  <si>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</si>
  <si>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</si>
  <si>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</si>
  <si>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</si>
  <si>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</si>
  <si>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</si>
  <si>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</si>
  <si>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</si>
  <si>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</si>
  <si>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</si>
  <si>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</si>
  <si>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</si>
  <si>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</si>
  <si>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</si>
  <si>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</si>
  <si>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</si>
  <si>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</si>
  <si>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</si>
  <si>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</si>
  <si>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</si>
  <si>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</si>
  <si>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</si>
  <si>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</si>
  <si>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</si>
  <si>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</si>
  <si>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</si>
  <si>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</si>
  <si>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</si>
  <si>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</si>
  <si>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</si>
  <si>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</si>
  <si>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</si>
  <si>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</si>
  <si>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</si>
  <si>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</si>
  <si>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</si>
  <si>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</si>
  <si>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</si>
  <si>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</si>
  <si>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</si>
  <si>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</si>
  <si>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</si>
  <si>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</si>
  <si>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</si>
  <si>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</si>
  <si>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</si>
  <si>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</si>
  <si>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</si>
  <si>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</si>
  <si>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</si>
  <si>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</si>
  <si>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</si>
  <si>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</si>
  <si>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</si>
  <si>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</si>
  <si>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</si>
  <si>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</si>
  <si>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</si>
  <si>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</si>
  <si>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</si>
  <si>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</si>
  <si>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</si>
  <si>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</si>
  <si>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</si>
  <si>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</si>
  <si>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</si>
  <si>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</si>
  <si>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</si>
  <si>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</si>
  <si>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</si>
  <si>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</si>
  <si>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</si>
  <si>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</si>
  <si>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</si>
  <si>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</si>
  <si>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</si>
  <si>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</si>
  <si>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</si>
  <si>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</si>
  <si>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</si>
  <si>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</si>
  <si>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</si>
  <si>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</si>
  <si>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</si>
  <si>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</si>
  <si>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</si>
  <si>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</si>
  <si>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</si>
  <si>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</si>
  <si>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</si>
  <si>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</si>
  <si>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</si>
  <si>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</si>
  <si>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</si>
  <si>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</si>
  <si>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</si>
  <si>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</si>
  <si>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</si>
  <si>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</si>
  <si>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</si>
  <si>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</si>
  <si>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</si>
  <si>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</si>
  <si>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</si>
  <si>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</si>
  <si>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</si>
  <si>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</si>
  <si>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</si>
  <si>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</si>
  <si>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</si>
  <si>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</si>
  <si>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</si>
  <si>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</si>
  <si>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</si>
  <si>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</si>
  <si>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</si>
  <si>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</si>
  <si>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</si>
  <si>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</si>
  <si>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</si>
  <si>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</si>
  <si>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</si>
  <si>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</si>
  <si>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</si>
  <si>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</si>
  <si>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</si>
  <si>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</si>
  <si>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</si>
  <si>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</si>
  <si>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</si>
  <si>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</si>
  <si>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</si>
  <si>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</si>
  <si>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</si>
  <si>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</si>
  <si>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</si>
  <si>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</si>
  <si>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</si>
  <si>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</si>
  <si>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</si>
  <si>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</si>
  <si>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</si>
  <si>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</si>
  <si>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</si>
  <si>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</si>
  <si>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</si>
  <si>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</si>
  <si>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</si>
  <si>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</si>
  <si>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</si>
  <si>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</si>
  <si>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</si>
  <si>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</si>
  <si>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</si>
  <si>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</si>
  <si>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</si>
  <si>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</si>
  <si>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</si>
  <si>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</si>
  <si>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</si>
  <si>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</si>
  <si>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</si>
  <si>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</si>
  <si>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</si>
  <si>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</si>
  <si>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</si>
  <si>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</si>
  <si>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</si>
  <si>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</si>
  <si>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</si>
  <si>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</si>
  <si>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</si>
  <si>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</si>
  <si>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</si>
  <si>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</si>
  <si>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</si>
  <si>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</si>
  <si>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</si>
  <si>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</si>
  <si>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</si>
  <si>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</si>
  <si>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</si>
  <si>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</si>
  <si>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</si>
  <si>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</si>
  <si>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</si>
  <si>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</si>
  <si>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</si>
  <si>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</si>
  <si>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</si>
  <si>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</si>
  <si>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</si>
  <si>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</si>
  <si>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</si>
  <si>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</si>
  <si>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</si>
  <si>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</si>
  <si>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</si>
  <si>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</si>
  <si>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</si>
  <si>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</si>
  <si>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</si>
  <si>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</si>
  <si>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</si>
  <si>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</si>
  <si>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</si>
  <si>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</si>
  <si>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</si>
  <si>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</si>
  <si>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</si>
  <si>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</si>
  <si>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</si>
  <si>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</si>
  <si>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</si>
  <si>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</si>
  <si>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</si>
  <si>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</si>
  <si>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</si>
  <si>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</si>
  <si>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</si>
  <si>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</si>
  <si>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</si>
  <si>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</si>
  <si>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</si>
  <si>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</si>
  <si>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</si>
  <si>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</si>
  <si>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</si>
  <si>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</si>
  <si>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</si>
  <si>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</si>
  <si>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</si>
  <si>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</si>
  <si>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</si>
  <si>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</si>
  <si>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</si>
  <si>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</si>
  <si>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</si>
  <si>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</si>
  <si>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</si>
  <si>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</si>
  <si>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</si>
  <si>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</si>
  <si>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</si>
  <si>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</si>
  <si>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</si>
  <si>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</si>
  <si>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</si>
  <si>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</si>
  <si>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</si>
  <si>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</si>
  <si>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</si>
  <si>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</si>
  <si>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</si>
  <si>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</si>
  <si>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</si>
  <si>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</si>
  <si>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</si>
  <si>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</si>
  <si>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</si>
  <si>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</si>
  <si>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</si>
  <si>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</si>
  <si>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</si>
  <si>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</si>
  <si>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</si>
  <si>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</si>
  <si>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</si>
  <si>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</si>
  <si>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</si>
  <si>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</si>
  <si>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</si>
  <si>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</si>
  <si>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</si>
  <si>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</si>
  <si>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</si>
  <si>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</si>
  <si>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</si>
  <si>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</si>
  <si>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</si>
  <si>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</si>
  <si>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</si>
  <si>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</si>
  <si>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</si>
  <si>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</si>
  <si>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</si>
  <si>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</si>
  <si>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</si>
  <si>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</si>
  <si>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</si>
  <si>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</si>
  <si>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</si>
  <si>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</si>
  <si>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</si>
  <si>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</si>
  <si>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</si>
  <si>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</si>
  <si>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</si>
  <si>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</si>
  <si>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</si>
  <si>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</si>
  <si>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</si>
  <si>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</si>
  <si>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</si>
  <si>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</si>
  <si>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</si>
  <si>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</si>
  <si>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</si>
  <si>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</si>
  <si>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</si>
  <si>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</si>
  <si>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</si>
  <si>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</si>
  <si>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</si>
  <si>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</si>
  <si>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</si>
  <si>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</si>
  <si>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</si>
  <si>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</si>
  <si>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</si>
  <si>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</si>
  <si>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</si>
  <si>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</si>
  <si>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</si>
  <si>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</si>
  <si>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</si>
  <si>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</si>
  <si>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</si>
  <si>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</si>
  <si>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</si>
  <si>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</si>
  <si>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</si>
  <si>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</si>
  <si>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</si>
  <si>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</si>
  <si>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</si>
  <si>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</si>
  <si>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</si>
  <si>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</si>
  <si>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</si>
  <si>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</si>
  <si>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</si>
  <si>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</si>
  <si>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</si>
  <si>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</si>
  <si>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</si>
  <si>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</si>
  <si>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</si>
  <si>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</si>
  <si>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</si>
  <si>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</si>
  <si>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</si>
  <si>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</si>
  <si>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</si>
  <si>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</si>
  <si>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</si>
  <si>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</si>
  <si>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</si>
  <si>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</si>
  <si>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</si>
  <si>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</si>
  <si>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</si>
  <si>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</si>
  <si>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</si>
  <si>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</si>
  <si>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</si>
  <si>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</si>
  <si>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</si>
  <si>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</si>
  <si>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</si>
  <si>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</si>
  <si>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</si>
  <si>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</si>
  <si>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</si>
  <si>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</si>
  <si>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</si>
  <si>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</si>
  <si>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</si>
  <si>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</si>
  <si>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</si>
  <si>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</si>
  <si>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</si>
  <si>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</si>
  <si>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</si>
  <si>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</si>
  <si>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</si>
  <si>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</si>
  <si>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</si>
  <si>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</si>
  <si>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</si>
  <si>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</si>
  <si>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</si>
  <si>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</si>
  <si>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</si>
  <si>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</si>
  <si>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</si>
  <si>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</si>
  <si>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</si>
  <si>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</si>
  <si>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</si>
  <si>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</si>
  <si>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</si>
  <si>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</si>
  <si>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</si>
  <si>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</si>
  <si>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</si>
  <si>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</si>
  <si>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</si>
  <si>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</si>
  <si>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</si>
  <si>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</si>
  <si>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</si>
  <si>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</si>
  <si>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</si>
  <si>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</si>
  <si>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</si>
  <si>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</si>
  <si>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</si>
  <si>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</si>
  <si>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</si>
  <si>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</si>
  <si>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</si>
  <si>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</si>
  <si>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</si>
  <si>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</si>
  <si>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</si>
  <si>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</si>
  <si>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</si>
  <si>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</si>
  <si>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</si>
  <si>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</si>
  <si>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</si>
  <si>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</si>
  <si>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</si>
  <si>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</si>
  <si>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</si>
  <si>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</si>
  <si>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</si>
  <si>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</si>
  <si>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</si>
  <si>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</si>
  <si>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</si>
  <si>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</si>
  <si>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</si>
  <si>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</si>
  <si>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</si>
  <si>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</si>
  <si>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</si>
  <si>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</si>
  <si>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</si>
  <si>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</si>
  <si>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</si>
  <si>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</si>
  <si>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</si>
  <si>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</si>
  <si>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</si>
  <si>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</si>
  <si>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</si>
  <si>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</si>
  <si>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</si>
  <si>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</si>
  <si>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</si>
  <si>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</si>
  <si>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</si>
  <si>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</si>
  <si>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</si>
  <si>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</si>
  <si>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</si>
  <si>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</si>
  <si>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</si>
  <si>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</si>
  <si>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</si>
  <si>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</si>
  <si>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</si>
  <si>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</si>
  <si>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</si>
  <si>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</si>
  <si>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</si>
  <si>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</si>
  <si>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</si>
  <si>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</si>
  <si>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</si>
  <si>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</si>
  <si>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</si>
  <si>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</si>
  <si>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</si>
  <si>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</si>
  <si>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</si>
  <si>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</si>
  <si>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</si>
  <si>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</si>
  <si>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</si>
  <si>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</si>
  <si>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</si>
  <si>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</si>
  <si>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</si>
  <si>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</si>
  <si>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</si>
  <si>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</si>
  <si>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</si>
  <si>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</si>
  <si>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</si>
  <si>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</si>
  <si>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</si>
  <si>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</si>
  <si>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</si>
  <si>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</si>
  <si>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</si>
  <si>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</si>
  <si>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</si>
  <si>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</si>
  <si>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</si>
  <si>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</si>
  <si>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</si>
  <si>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</si>
  <si>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</si>
  <si>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</si>
  <si>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</si>
  <si>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</si>
  <si>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</si>
  <si>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</si>
  <si>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</si>
  <si>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</si>
  <si>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</si>
  <si>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</si>
  <si>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</si>
  <si>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</si>
  <si>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</si>
  <si>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</si>
  <si>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</si>
  <si>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</si>
  <si>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</si>
  <si>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</si>
  <si>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</si>
  <si>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</si>
  <si>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</si>
  <si>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</si>
  <si>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</si>
  <si>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</si>
  <si>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</si>
  <si>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</si>
  <si>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</si>
  <si>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</si>
  <si>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</si>
  <si>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</si>
  <si>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</si>
  <si>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</si>
  <si>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</si>
  <si>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</si>
  <si>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</si>
  <si>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</si>
  <si>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</si>
  <si>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</si>
  <si>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</si>
  <si>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</si>
  <si>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</si>
  <si>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</si>
  <si>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</si>
  <si>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</si>
  <si>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</si>
  <si>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</si>
  <si>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</si>
  <si>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</si>
  <si>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</si>
  <si>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</si>
  <si>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</si>
  <si>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</si>
  <si>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</si>
  <si>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</si>
  <si>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</si>
  <si>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</si>
  <si>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</si>
  <si>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</si>
  <si>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</si>
  <si>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</si>
  <si>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</si>
  <si>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</si>
  <si>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</si>
  <si>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</si>
  <si>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</si>
  <si>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</si>
  <si>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</si>
  <si>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</si>
  <si>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</si>
  <si>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</si>
  <si>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</si>
  <si>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</si>
  <si>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</si>
  <si>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</si>
  <si>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</si>
  <si>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</si>
  <si>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</si>
  <si>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</si>
  <si>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</si>
  <si>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</si>
  <si>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</si>
  <si>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</si>
  <si>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</si>
  <si>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</si>
  <si>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</si>
  <si>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</si>
  <si>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</si>
  <si>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</si>
  <si>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</si>
  <si>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</si>
  <si>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</si>
  <si>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</si>
  <si>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</si>
  <si>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</si>
  <si>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</si>
  <si>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</si>
  <si>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</si>
  <si>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</si>
  <si>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</si>
  <si>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</si>
  <si>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</si>
  <si>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</si>
  <si>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</si>
  <si>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</si>
  <si>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</si>
  <si>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</si>
  <si>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</si>
  <si>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</si>
  <si>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</si>
  <si>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</si>
  <si>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</si>
  <si>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</si>
  <si>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</si>
  <si>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</si>
  <si>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</si>
  <si>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</si>
  <si>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</si>
  <si>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</si>
  <si>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</si>
  <si>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</si>
  <si>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</si>
  <si>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</si>
  <si>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</si>
  <si>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</si>
  <si>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</si>
  <si>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</si>
  <si>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</si>
  <si>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</si>
  <si>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</si>
  <si>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</si>
  <si>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</si>
  <si>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</si>
  <si>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</si>
  <si>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</si>
  <si>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</si>
  <si>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</si>
  <si>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</si>
  <si>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</si>
  <si>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</si>
  <si>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</si>
  <si>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</si>
  <si>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</si>
  <si>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</si>
  <si>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</si>
  <si>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</si>
  <si>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</si>
  <si>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</si>
  <si>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</si>
  <si>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</si>
  <si>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</si>
  <si>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</si>
  <si>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</si>
  <si>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</si>
  <si>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</si>
  <si>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</si>
  <si>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</si>
  <si>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</si>
  <si>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</si>
  <si>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</si>
  <si>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</si>
  <si>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</si>
  <si>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</si>
  <si>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</si>
  <si>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</si>
  <si>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</si>
  <si>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</si>
  <si>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</si>
  <si>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</si>
  <si>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</si>
  <si>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</si>
  <si>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</si>
  <si>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</si>
  <si>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</si>
  <si>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</si>
  <si>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</si>
  <si>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</si>
  <si>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</si>
  <si>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</si>
  <si>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</si>
  <si>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</si>
  <si>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</si>
  <si>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</si>
  <si>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</si>
  <si>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</si>
  <si>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</si>
  <si>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</si>
  <si>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</si>
  <si>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</si>
  <si>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</si>
  <si>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</si>
  <si>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</si>
  <si>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</si>
  <si>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</si>
  <si>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</si>
  <si>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</si>
  <si>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</si>
  <si>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</si>
  <si>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</si>
  <si>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</si>
  <si>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</si>
  <si>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</si>
  <si>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</si>
  <si>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</si>
  <si>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</si>
  <si>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</si>
  <si>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</si>
  <si>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</si>
  <si>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</si>
  <si>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</si>
  <si>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</si>
  <si>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</si>
  <si>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</si>
  <si>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</si>
  <si>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</si>
  <si>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</si>
  <si>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</si>
  <si>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</si>
  <si>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</si>
  <si>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</si>
  <si>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</si>
  <si>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</si>
  <si>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</si>
  <si>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</si>
  <si>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</si>
  <si>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</si>
  <si>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</si>
  <si>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</si>
  <si>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</si>
  <si>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</si>
  <si>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</si>
  <si>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</si>
  <si>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</si>
  <si>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</si>
  <si>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</si>
  <si>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</si>
  <si>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</si>
  <si>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</si>
  <si>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</si>
  <si>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</si>
  <si>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</si>
  <si>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</si>
  <si>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</si>
  <si>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</si>
  <si>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</si>
  <si>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</si>
  <si>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</si>
  <si>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</si>
  <si>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</si>
  <si>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</si>
  <si>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</si>
  <si>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</si>
  <si>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</si>
  <si>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</si>
  <si>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</si>
  <si>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</si>
  <si>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</si>
  <si>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</si>
  <si>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</si>
  <si>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</si>
  <si>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</si>
  <si>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</si>
  <si>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</si>
  <si>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</si>
  <si>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</si>
  <si>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</si>
  <si>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</si>
  <si>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</si>
  <si>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</si>
  <si>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</si>
  <si>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</si>
  <si>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</si>
  <si>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</si>
  <si>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</si>
  <si>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</si>
  <si>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</si>
  <si>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</si>
  <si>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</si>
  <si>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</si>
  <si>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</si>
  <si>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</si>
  <si>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</si>
  <si>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</si>
  <si>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</si>
  <si>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</si>
  <si>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</si>
  <si>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</si>
  <si>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</si>
  <si>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</si>
  <si>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</si>
  <si>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</si>
  <si>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</si>
  <si>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</si>
  <si>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</si>
  <si>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</si>
  <si>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</si>
  <si>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</si>
  <si>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</si>
  <si>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</si>
  <si>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</si>
  <si>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</si>
  <si>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</si>
  <si>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</si>
  <si>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</si>
  <si>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</si>
  <si>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</si>
  <si>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</si>
  <si>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</si>
  <si>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</si>
  <si>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</si>
  <si>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</si>
  <si>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</si>
  <si>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</si>
  <si>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</si>
  <si>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</si>
  <si>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</si>
  <si>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</si>
  <si>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</si>
  <si>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</si>
  <si>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</si>
  <si>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</si>
  <si>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</si>
  <si>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</si>
  <si>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</si>
  <si>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</si>
  <si>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</si>
  <si>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</si>
  <si>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</si>
  <si>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</si>
  <si>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</si>
  <si>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</si>
  <si>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</si>
  <si>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</si>
  <si>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</si>
  <si>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</si>
  <si>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</si>
  <si>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</si>
  <si>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</si>
  <si>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</si>
  <si>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</si>
  <si>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</si>
  <si>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</si>
  <si>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</si>
  <si>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</si>
  <si>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</si>
  <si>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</si>
  <si>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</si>
  <si>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</si>
  <si>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</si>
  <si>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</si>
  <si>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</si>
  <si>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</si>
  <si>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</si>
  <si>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</si>
  <si>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</si>
  <si>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</si>
  <si>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</si>
  <si>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</si>
  <si>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</si>
  <si>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</si>
  <si>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</si>
  <si>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</si>
  <si>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</si>
  <si>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</si>
  <si>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</si>
  <si>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</si>
  <si>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</si>
  <si>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</si>
  <si>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</si>
  <si>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</si>
  <si>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</si>
  <si>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</si>
  <si>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</si>
  <si>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</si>
  <si>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</si>
  <si>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</si>
  <si>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</si>
  <si>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</si>
  <si>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</si>
  <si>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</si>
  <si>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</si>
  <si>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</si>
  <si>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</si>
  <si>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</si>
  <si>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</si>
  <si>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</si>
  <si>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</si>
  <si>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</si>
  <si>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</si>
  <si>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</si>
  <si>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</si>
  <si>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</si>
  <si>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</si>
  <si>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</si>
  <si>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</si>
  <si>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</si>
  <si>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</si>
  <si>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</si>
  <si>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</si>
  <si>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</si>
  <si>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</si>
  <si>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</si>
  <si>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</si>
  <si>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</si>
  <si>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</si>
  <si>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</si>
  <si>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</si>
  <si>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</si>
  <si>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</si>
  <si>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</si>
  <si>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</si>
  <si>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</si>
  <si>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</si>
  <si>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</si>
  <si>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</si>
  <si>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</si>
  <si>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</si>
  <si>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</si>
  <si>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</si>
  <si>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</si>
  <si>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</si>
  <si>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</si>
  <si>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</si>
  <si>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</si>
  <si>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</si>
  <si>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</si>
  <si>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</si>
  <si>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</si>
  <si>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</si>
  <si>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</si>
  <si>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</si>
  <si>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</si>
  <si>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</si>
  <si>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</si>
  <si>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</si>
  <si>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</si>
  <si>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</si>
  <si>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</si>
  <si>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</si>
  <si>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</si>
  <si>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</si>
  <si>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</si>
  <si>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</si>
  <si>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</si>
  <si>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</si>
  <si>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</si>
  <si>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</si>
  <si>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</si>
  <si>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</si>
  <si>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</si>
  <si>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</si>
  <si>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</si>
  <si>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</si>
  <si>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</si>
  <si>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</si>
  <si>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</si>
  <si>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</si>
  <si>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</si>
  <si>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</si>
  <si>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</si>
  <si>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</si>
  <si>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</si>
  <si>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</si>
  <si>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</si>
  <si>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</si>
  <si>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</si>
  <si>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</si>
  <si>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</si>
  <si>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</si>
  <si>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</si>
  <si>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</si>
  <si>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</si>
  <si>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</si>
  <si>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</si>
  <si>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</si>
  <si>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</si>
  <si>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</si>
  <si>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</si>
  <si>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</si>
  <si>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</si>
  <si>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</si>
  <si>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</si>
  <si>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</si>
  <si>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</si>
  <si>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</si>
  <si>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</si>
  <si>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</si>
  <si>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</si>
  <si>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</si>
  <si>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</si>
  <si>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</si>
  <si>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</si>
  <si>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</si>
  <si>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</si>
  <si>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</si>
  <si>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</si>
  <si>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</si>
  <si>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</si>
  <si>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</si>
  <si>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</si>
  <si>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</si>
  <si>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</si>
  <si>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</si>
  <si>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</si>
  <si>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</si>
  <si>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</si>
  <si>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</si>
  <si>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</si>
  <si>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</si>
  <si>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</si>
  <si>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</si>
  <si>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</si>
  <si>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</si>
  <si>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</si>
  <si>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</si>
  <si>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</si>
  <si>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</si>
  <si>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</si>
  <si>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</si>
  <si>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</si>
  <si>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</si>
  <si>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</si>
  <si>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</si>
  <si>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</si>
  <si>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</si>
  <si>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</si>
  <si>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</si>
  <si>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</si>
  <si>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</si>
  <si>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</si>
  <si>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</si>
  <si>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</si>
  <si>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</si>
  <si>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</si>
  <si>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</si>
  <si>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</si>
  <si>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</si>
  <si>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</si>
  <si>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</si>
  <si>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</si>
  <si>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</si>
  <si>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</si>
  <si>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</si>
  <si>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</si>
  <si>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</si>
  <si>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</si>
  <si>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</si>
  <si>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</si>
  <si>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</si>
  <si>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</si>
  <si>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</si>
  <si>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</si>
  <si>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</si>
  <si>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</si>
  <si>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</si>
  <si>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</si>
  <si>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</si>
  <si>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</si>
  <si>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</si>
  <si>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</si>
  <si>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</si>
  <si>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</si>
  <si>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</si>
  <si>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</si>
  <si>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</si>
  <si>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</si>
  <si>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</si>
  <si>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</si>
  <si>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</si>
  <si>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</si>
  <si>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</si>
  <si>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</si>
  <si>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</si>
  <si>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</si>
  <si>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</si>
  <si>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</si>
  <si>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</si>
  <si>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</si>
  <si>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</si>
  <si>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</si>
  <si>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</si>
  <si>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</si>
  <si>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</si>
  <si>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</si>
  <si>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</si>
  <si>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</si>
  <si>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</si>
  <si>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</si>
  <si>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</si>
  <si>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</si>
  <si>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</si>
  <si>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</si>
  <si>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</si>
  <si>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</si>
  <si>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</si>
  <si>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</si>
  <si>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</si>
  <si>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</si>
  <si>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</si>
  <si>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</si>
  <si>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</si>
  <si>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</si>
  <si>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</si>
  <si>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</si>
  <si>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</si>
  <si>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</si>
  <si>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</si>
  <si>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</si>
  <si>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</si>
  <si>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</si>
  <si>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</si>
  <si>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</si>
  <si>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</si>
  <si>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</si>
  <si>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</si>
  <si>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</si>
  <si>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</si>
  <si>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</si>
  <si>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</si>
  <si>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</si>
  <si>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</si>
  <si>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</si>
  <si>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</si>
  <si>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</si>
  <si>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</si>
  <si>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</si>
  <si>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</si>
  <si>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</si>
  <si>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</si>
  <si>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</si>
  <si>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</si>
  <si>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</si>
  <si>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</si>
  <si>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</si>
  <si>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</si>
  <si>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</si>
  <si>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</si>
  <si>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</si>
  <si>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</si>
  <si>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</si>
  <si>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</si>
  <si>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</si>
  <si>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</si>
  <si>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</si>
  <si>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</si>
  <si>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</si>
  <si>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</si>
  <si>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</si>
  <si>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</si>
  <si>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</si>
  <si>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</si>
  <si>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</si>
  <si>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</si>
  <si>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</si>
  <si>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</si>
  <si>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</si>
  <si>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</si>
  <si>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</si>
  <si>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</si>
  <si>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</si>
  <si>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</si>
  <si>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</si>
  <si>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</si>
  <si>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</si>
  <si>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</si>
  <si>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</si>
  <si>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</si>
  <si>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</si>
  <si>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</si>
  <si>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</si>
  <si>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</si>
  <si>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</si>
  <si>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</si>
  <si>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</si>
  <si>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</si>
  <si>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</si>
  <si>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</si>
  <si>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</si>
  <si>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</si>
  <si>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</si>
  <si>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</si>
  <si>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</si>
  <si>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</si>
  <si>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</si>
  <si>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</si>
  <si>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</si>
  <si>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</si>
  <si>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</si>
  <si>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</si>
  <si>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</si>
  <si>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</si>
  <si>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</si>
  <si>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</si>
  <si>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</si>
  <si>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</si>
  <si>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</si>
  <si>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</si>
  <si>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</si>
  <si>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</si>
  <si>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</si>
  <si>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</si>
  <si>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</si>
  <si>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</si>
  <si>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</si>
  <si>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</si>
  <si>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</si>
  <si>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</si>
  <si>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</si>
  <si>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</si>
  <si>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</si>
  <si>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</si>
  <si>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</si>
  <si>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</si>
  <si>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</si>
  <si>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</si>
  <si>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</si>
  <si>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</si>
  <si>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</si>
  <si>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</si>
  <si>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</si>
  <si>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</si>
  <si>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</si>
  <si>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</si>
  <si>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</si>
  <si>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</si>
  <si>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</si>
  <si>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</si>
  <si>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</si>
  <si>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</si>
  <si>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</si>
  <si>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</si>
  <si>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</si>
  <si>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</si>
  <si>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</si>
  <si>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</si>
  <si>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</si>
  <si>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</si>
  <si>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</si>
  <si>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</si>
  <si>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</si>
  <si>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</si>
  <si>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</si>
  <si>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</si>
  <si>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</si>
  <si>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</si>
  <si>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</si>
  <si>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</si>
  <si>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</si>
  <si>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</si>
  <si>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</si>
  <si>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</si>
  <si>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</si>
  <si>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</si>
  <si>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</si>
  <si>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</si>
  <si>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</si>
  <si>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</si>
  <si>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</si>
  <si>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</si>
  <si>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</si>
  <si>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</si>
  <si>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</si>
  <si>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</si>
  <si>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</si>
  <si>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</si>
  <si>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</si>
  <si>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</si>
  <si>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</si>
  <si>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</si>
  <si>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</si>
  <si>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</si>
  <si>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</si>
  <si>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</si>
  <si>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</si>
  <si>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</si>
  <si>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</si>
  <si>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</si>
  <si>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</si>
  <si>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</si>
  <si>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</si>
  <si>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</si>
  <si>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</si>
  <si>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</si>
  <si>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</si>
  <si>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</si>
  <si>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</si>
  <si>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</si>
  <si>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</si>
  <si>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</si>
  <si>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</si>
  <si>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</si>
  <si>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</si>
  <si>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</si>
  <si>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</si>
  <si>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</si>
  <si>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</si>
  <si>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</si>
  <si>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</si>
  <si>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</si>
  <si>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</si>
  <si>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</si>
  <si>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</si>
  <si>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</si>
  <si>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</si>
  <si>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</si>
  <si>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</si>
  <si>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</si>
  <si>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</si>
  <si>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</si>
  <si>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</si>
  <si>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</si>
  <si>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</si>
  <si>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</si>
  <si>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</si>
  <si>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</si>
  <si>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</si>
  <si>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</si>
  <si>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</si>
  <si>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</si>
  <si>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</si>
  <si>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</si>
  <si>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</si>
  <si>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</si>
  <si>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</si>
  <si>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</si>
  <si>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</si>
  <si>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</si>
  <si>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</si>
  <si>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</si>
  <si>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</si>
  <si>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</si>
  <si>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</si>
  <si>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</si>
  <si>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</si>
  <si>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</si>
  <si>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</si>
  <si>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</si>
  <si>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</si>
  <si>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</si>
  <si>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</si>
  <si>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</si>
  <si>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</si>
  <si>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</si>
  <si>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</si>
  <si>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</si>
  <si>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</si>
  <si>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</si>
  <si>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</si>
  <si>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</si>
  <si>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</si>
  <si>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</si>
  <si>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</si>
  <si>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</si>
  <si>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</si>
  <si>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</si>
  <si>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</si>
  <si>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</si>
  <si>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</si>
  <si>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</si>
  <si>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</si>
  <si>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</si>
  <si>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</si>
  <si>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</si>
  <si>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</si>
  <si>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</si>
  <si>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</si>
  <si>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</si>
  <si>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</si>
  <si>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</si>
  <si>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</si>
  <si>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</si>
  <si>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</si>
  <si>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</si>
  <si>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</si>
  <si>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</si>
  <si>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</si>
  <si>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</si>
  <si>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</si>
  <si>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</si>
  <si>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</si>
  <si>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</si>
  <si>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</si>
  <si>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</si>
  <si>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</si>
  <si>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</si>
  <si>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</si>
  <si>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</si>
  <si>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</si>
  <si>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</si>
  <si>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</si>
  <si>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</si>
  <si>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</si>
  <si>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</si>
  <si>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</si>
  <si>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</si>
  <si>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</si>
  <si>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</si>
  <si>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</si>
  <si>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</si>
  <si>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</si>
  <si>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</si>
  <si>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</si>
  <si>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</si>
  <si>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</si>
  <si>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</si>
  <si>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</si>
  <si>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</si>
  <si>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</si>
  <si>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</si>
  <si>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</si>
  <si>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</si>
  <si>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</si>
  <si>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</si>
  <si>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</si>
  <si>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</si>
  <si>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</si>
  <si>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</si>
  <si>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</si>
  <si>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</si>
  <si>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</si>
  <si>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</si>
  <si>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</si>
  <si>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</si>
  <si>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</si>
  <si>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</si>
  <si>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</si>
  <si>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</si>
  <si>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</si>
  <si>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</si>
  <si>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</si>
  <si>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</si>
  <si>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</si>
  <si>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</si>
  <si>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</si>
  <si>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</si>
  <si>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</si>
  <si>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</si>
  <si>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</si>
  <si>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</si>
  <si>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</si>
  <si>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</si>
  <si>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</si>
  <si>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</si>
  <si>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</si>
  <si>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</si>
  <si>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</si>
  <si>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</si>
  <si>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</si>
  <si>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</si>
  <si>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</si>
  <si>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</si>
  <si>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</si>
  <si>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</si>
  <si>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</si>
  <si>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</si>
  <si>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</si>
  <si>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</si>
  <si>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</si>
  <si>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</si>
  <si>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</si>
  <si>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</si>
  <si>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</si>
  <si>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</si>
  <si>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</si>
  <si>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</si>
  <si>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</si>
  <si>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</si>
  <si>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</si>
  <si>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</si>
  <si>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</si>
  <si>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</si>
  <si>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</si>
  <si>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</si>
  <si>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</si>
  <si>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</si>
  <si>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</si>
  <si>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</si>
  <si>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</si>
  <si>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</si>
  <si>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</si>
  <si>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</si>
  <si>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</si>
  <si>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</si>
  <si>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</si>
  <si>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</si>
  <si>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</si>
  <si>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</si>
  <si>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</si>
  <si>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</si>
  <si>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</si>
  <si>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</si>
  <si>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</si>
  <si>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</si>
  <si>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</si>
  <si>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</si>
  <si>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</si>
  <si>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</si>
  <si>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</si>
  <si>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</si>
  <si>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</si>
  <si>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</si>
  <si>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</si>
  <si>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</si>
  <si>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</si>
  <si>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</si>
  <si>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</si>
  <si>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</si>
  <si>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</si>
  <si>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</si>
  <si>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</si>
  <si>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</si>
  <si>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</si>
  <si>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</si>
  <si>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</si>
  <si>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</si>
  <si>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</si>
  <si>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</si>
  <si>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</si>
  <si>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</si>
  <si>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</si>
  <si>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</si>
  <si>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</si>
  <si>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</si>
  <si>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</si>
  <si>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</si>
  <si>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</si>
  <si>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</si>
  <si>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</si>
  <si>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</si>
  <si>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</si>
  <si>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</si>
  <si>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</si>
  <si>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</si>
  <si>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</si>
  <si>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</si>
  <si>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</si>
  <si>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</si>
  <si>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</si>
  <si>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</si>
  <si>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</si>
  <si>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</si>
  <si>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</si>
  <si>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</si>
  <si>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</si>
  <si>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</si>
  <si>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</si>
  <si>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</si>
  <si>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</si>
  <si>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</si>
  <si>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</si>
  <si>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</si>
  <si>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</si>
  <si>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</si>
  <si>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</si>
  <si>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</si>
  <si>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</si>
  <si>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</si>
  <si>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</si>
  <si>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</si>
  <si>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</si>
  <si>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</si>
  <si>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</si>
  <si>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</si>
  <si>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</si>
  <si>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</si>
  <si>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</si>
  <si>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</si>
  <si>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</si>
  <si>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</si>
  <si>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</si>
  <si>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</si>
  <si>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</si>
  <si>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</si>
  <si>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</si>
  <si>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</si>
  <si>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</si>
  <si>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</si>
  <si>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</si>
  <si>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</si>
  <si>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</si>
  <si>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</si>
  <si>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</si>
  <si>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</si>
  <si>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</si>
  <si>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</si>
  <si>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</si>
  <si>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</si>
  <si>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</si>
  <si>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</si>
  <si>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</si>
  <si>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</si>
  <si>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</si>
  <si>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</si>
  <si>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</si>
  <si>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</si>
  <si>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</si>
  <si>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</si>
  <si>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</si>
  <si>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</si>
  <si>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</si>
  <si>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</si>
  <si>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</si>
  <si>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</si>
  <si>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</si>
  <si>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</si>
  <si>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</si>
  <si>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</si>
  <si>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</si>
  <si>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</si>
  <si>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</si>
  <si>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</si>
  <si>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</si>
  <si>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</si>
  <si>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</si>
  <si>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</si>
  <si>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</si>
  <si>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</si>
  <si>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</si>
  <si>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</si>
  <si>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</si>
  <si>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</si>
  <si>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</si>
  <si>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</si>
  <si>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</si>
  <si>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</si>
  <si>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</si>
  <si>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</si>
  <si>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</si>
  <si>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</si>
  <si>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</si>
  <si>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</si>
  <si>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</si>
  <si>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</si>
  <si>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</si>
  <si>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</si>
  <si>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</si>
  <si>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</si>
  <si>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</si>
  <si>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</si>
  <si>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</si>
  <si>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</si>
  <si>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</si>
  <si>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</si>
  <si>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</si>
  <si>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</si>
  <si>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</si>
  <si>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</si>
  <si>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</si>
  <si>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</si>
  <si>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</si>
  <si>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</si>
  <si>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</si>
  <si>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</si>
  <si>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</si>
  <si>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</si>
  <si>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</si>
  <si>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</si>
  <si>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</si>
  <si>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</si>
  <si>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</si>
  <si>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</si>
  <si>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</si>
  <si>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</si>
  <si>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</si>
  <si>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</si>
  <si>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</si>
  <si>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</si>
  <si>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</si>
  <si>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</si>
  <si>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</si>
  <si>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</si>
  <si>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</si>
  <si>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</si>
  <si>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</si>
  <si>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</si>
  <si>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</si>
  <si>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</si>
  <si>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</si>
  <si>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</si>
  <si>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</si>
  <si>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</si>
  <si>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</si>
  <si>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</si>
  <si>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</si>
  <si>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</si>
  <si>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</si>
  <si>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</si>
  <si>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</si>
  <si>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</si>
  <si>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</si>
  <si>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</si>
  <si>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</si>
  <si>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</si>
  <si>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</si>
  <si>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</si>
  <si>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</si>
  <si>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</si>
  <si>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</si>
  <si>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</si>
  <si>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</si>
  <si>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</si>
  <si>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</si>
  <si>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</si>
  <si>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</si>
  <si>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</si>
  <si>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</si>
  <si>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</si>
  <si>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</si>
  <si>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</si>
  <si>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</si>
  <si>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</si>
  <si>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</si>
  <si>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</si>
  <si>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</si>
  <si>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</si>
  <si>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</si>
  <si>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</si>
  <si>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</si>
  <si>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</si>
  <si>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</si>
  <si>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</si>
  <si>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</si>
  <si>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</si>
  <si>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</si>
  <si>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</si>
  <si>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</si>
  <si>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</si>
  <si>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</si>
  <si>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</si>
  <si>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</si>
  <si>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</si>
  <si>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</si>
  <si>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</si>
  <si>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</si>
  <si>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</si>
  <si>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</si>
  <si>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</si>
  <si>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</si>
  <si>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</si>
  <si>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</si>
  <si>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</si>
  <si>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</si>
  <si>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</si>
  <si>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</si>
  <si>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</si>
  <si>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</si>
  <si>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</si>
  <si>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</si>
  <si>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</si>
  <si>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</si>
  <si>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</si>
  <si>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</si>
  <si>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</si>
  <si>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</si>
  <si>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</si>
  <si>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</si>
  <si>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</si>
  <si>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</si>
  <si>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</si>
  <si>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</si>
  <si>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</si>
  <si>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</si>
  <si>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</si>
  <si>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</si>
  <si>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</si>
  <si>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</si>
  <si>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</si>
  <si>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</si>
  <si>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</si>
  <si>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</si>
  <si>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</si>
  <si>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</si>
  <si>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</si>
  <si>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</si>
  <si>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</si>
  <si>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</si>
  <si>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</si>
  <si>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</si>
  <si>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</si>
  <si>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</si>
  <si>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</si>
  <si>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</si>
  <si>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</si>
  <si>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</si>
  <si>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</si>
  <si>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</si>
  <si>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</si>
  <si>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</si>
  <si>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</si>
  <si>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</si>
  <si>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</si>
  <si>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</si>
  <si>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</si>
  <si>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</si>
  <si>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</si>
  <si>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</si>
  <si>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</si>
  <si>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</si>
  <si>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</si>
  <si>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</si>
  <si>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</si>
  <si>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</si>
  <si>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</si>
  <si>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</si>
  <si>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</si>
  <si>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</si>
  <si>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</si>
  <si>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</si>
  <si>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</si>
  <si>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</si>
  <si>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</si>
  <si>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</si>
  <si>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</si>
  <si>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</si>
  <si>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</si>
  <si>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</si>
  <si>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</si>
  <si>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</si>
  <si>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</si>
  <si>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</si>
  <si>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</si>
  <si>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</si>
  <si>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</si>
  <si>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</si>
  <si>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</si>
  <si>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</si>
  <si>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</si>
  <si>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</si>
  <si>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</si>
  <si>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</si>
  <si>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</si>
  <si>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</si>
  <si>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</si>
  <si>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</si>
  <si>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</si>
  <si>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</si>
  <si>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</si>
  <si>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</si>
  <si>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</si>
  <si>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</si>
  <si>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</si>
  <si>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</si>
  <si>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</si>
  <si>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</si>
  <si>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</si>
  <si>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</si>
  <si>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</si>
  <si>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</si>
  <si>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</si>
  <si>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</si>
  <si>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</si>
  <si>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</si>
  <si>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</si>
  <si>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</si>
  <si>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</si>
  <si>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</si>
  <si>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</si>
  <si>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</si>
  <si>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</si>
  <si>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</si>
  <si>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</si>
  <si>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</si>
  <si>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</si>
  <si>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</si>
  <si>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</si>
  <si>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</si>
  <si>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</si>
  <si>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</si>
  <si>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</si>
  <si>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</si>
  <si>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</si>
  <si>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</si>
  <si>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</si>
  <si>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</si>
  <si>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</si>
  <si>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</si>
  <si>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</si>
  <si>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</si>
  <si>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</si>
  <si>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</si>
  <si>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</si>
  <si>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</si>
  <si>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</si>
  <si>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</si>
  <si>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</si>
  <si>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</si>
  <si>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</si>
  <si>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</si>
  <si>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</si>
  <si>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</si>
  <si>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</si>
  <si>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</si>
  <si>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</si>
  <si>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</si>
  <si>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</si>
  <si>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</si>
  <si>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</si>
  <si>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</si>
  <si>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</si>
  <si>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</si>
  <si>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</si>
  <si>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</si>
  <si>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</si>
  <si>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</si>
  <si>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</si>
  <si>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</si>
  <si>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</si>
  <si>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</si>
  <si>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</si>
  <si>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</si>
  <si>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</si>
  <si>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</si>
  <si>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</si>
  <si>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</si>
  <si>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</si>
  <si>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</si>
  <si>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</si>
  <si>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</si>
  <si>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</si>
  <si>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</si>
  <si>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</si>
  <si>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</si>
  <si>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</si>
  <si>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</si>
  <si>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</si>
  <si>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</si>
  <si>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</si>
  <si>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</si>
  <si>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</si>
  <si>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</si>
  <si>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</si>
  <si>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</si>
  <si>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</si>
  <si>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</si>
  <si>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</si>
  <si>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</si>
  <si>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</si>
  <si>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</si>
  <si>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</si>
  <si>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</si>
  <si>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</si>
  <si>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</si>
  <si>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</si>
  <si>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</si>
  <si>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</si>
  <si>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</si>
  <si>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</si>
  <si>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</si>
  <si>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</si>
  <si>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</si>
  <si>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</si>
  <si>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</si>
  <si>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</si>
  <si>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</si>
  <si>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</si>
  <si>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</si>
  <si>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</si>
  <si>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</si>
  <si>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</si>
  <si>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</si>
  <si>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</si>
  <si>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</si>
  <si>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</si>
  <si>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</si>
  <si>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</si>
  <si>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</si>
  <si>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</si>
  <si>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</si>
  <si>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</si>
  <si>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</si>
  <si>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</si>
  <si>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</si>
  <si>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</si>
  <si>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</si>
  <si>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</si>
  <si>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</si>
  <si>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</si>
  <si>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</si>
  <si>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</si>
  <si>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</si>
  <si>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</si>
  <si>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</si>
  <si>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</si>
  <si>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</si>
  <si>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</si>
  <si>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</si>
  <si>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</si>
  <si>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</si>
  <si>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</si>
  <si>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</si>
  <si>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</si>
  <si>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</si>
  <si>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</si>
  <si>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</si>
  <si>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</si>
  <si>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</si>
  <si>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</si>
  <si>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</si>
  <si>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</si>
  <si>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</si>
  <si>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</si>
  <si>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</si>
  <si>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</si>
  <si>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</si>
  <si>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</si>
  <si>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</si>
  <si>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</si>
  <si>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</si>
  <si>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</si>
  <si>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</si>
  <si>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</si>
  <si>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</si>
  <si>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</si>
  <si>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</si>
  <si>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</si>
  <si>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</si>
  <si>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</si>
  <si>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</si>
  <si>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</si>
  <si>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</si>
  <si>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</si>
  <si>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</si>
  <si>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</si>
  <si>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</si>
  <si>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</si>
  <si>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</si>
  <si>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</si>
  <si>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</si>
  <si>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</si>
  <si>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</si>
  <si>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</si>
  <si>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</si>
  <si>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</si>
  <si>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</si>
  <si>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</si>
  <si>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</si>
  <si>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</si>
  <si>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</si>
  <si>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</si>
  <si>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</si>
  <si>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</si>
  <si>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</si>
  <si>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</si>
  <si>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</si>
  <si>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</si>
  <si>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</si>
  <si>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</si>
  <si>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</si>
  <si>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</si>
  <si>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</si>
  <si>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</si>
  <si>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</si>
  <si>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</si>
  <si>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</si>
  <si>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</si>
  <si>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</si>
  <si>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</si>
  <si>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</si>
  <si>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</si>
  <si>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</si>
  <si>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</si>
  <si>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</si>
  <si>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</si>
  <si>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</si>
  <si>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</si>
  <si>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</si>
  <si>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</si>
  <si>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</si>
  <si>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</si>
  <si>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</si>
  <si>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</si>
  <si>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</si>
  <si>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</si>
  <si>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</si>
  <si>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</si>
  <si>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</si>
  <si>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</si>
  <si>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</si>
  <si>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</si>
  <si>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</si>
  <si>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</si>
  <si>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</si>
  <si>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</si>
  <si>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</si>
  <si>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</si>
  <si>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</si>
  <si>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</si>
  <si>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</si>
  <si>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</si>
  <si>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</si>
  <si>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</si>
  <si>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</si>
  <si>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</si>
  <si>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</si>
  <si>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</si>
  <si>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</si>
  <si>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</si>
  <si>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</si>
  <si>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</si>
  <si>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</si>
  <si>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</si>
  <si>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</si>
  <si>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</si>
  <si>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</si>
  <si>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</si>
  <si>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</si>
  <si>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</si>
  <si>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</si>
  <si>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</si>
  <si>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</si>
  <si>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</si>
  <si>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</si>
  <si>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</si>
  <si>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</si>
  <si>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</si>
  <si>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</si>
  <si>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</si>
  <si>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</si>
  <si>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</si>
  <si>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</si>
  <si>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</si>
  <si>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</si>
  <si>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</si>
  <si>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</si>
  <si>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</si>
  <si>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</si>
  <si>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</si>
  <si>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</si>
  <si>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</si>
  <si>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</si>
  <si>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</si>
  <si>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</si>
  <si>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</si>
  <si>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</si>
  <si>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</si>
  <si>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</si>
  <si>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</si>
  <si>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</si>
  <si>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</si>
  <si>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</si>
  <si>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</si>
  <si>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</si>
  <si>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</si>
  <si>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</si>
  <si>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</si>
  <si>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</si>
  <si>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</si>
  <si>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</si>
  <si>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</si>
  <si>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</si>
  <si>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</si>
  <si>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</si>
  <si>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</si>
  <si>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</si>
  <si>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</si>
  <si>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</si>
  <si>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</si>
  <si>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</si>
  <si>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</si>
  <si>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</si>
  <si>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</si>
  <si>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</si>
  <si>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</si>
  <si>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</si>
  <si>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</si>
  <si>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</si>
  <si>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</si>
  <si>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</si>
  <si>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</si>
  <si>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</si>
  <si>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</si>
  <si>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</si>
  <si>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</si>
  <si>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</si>
  <si>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</si>
  <si>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</si>
  <si>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</si>
  <si>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</si>
  <si>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</si>
  <si>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</si>
  <si>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</si>
  <si>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</si>
  <si>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</si>
  <si>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</si>
  <si>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</si>
  <si>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</si>
  <si>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</si>
  <si>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</si>
  <si>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</si>
  <si>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</si>
  <si>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</si>
  <si>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</si>
  <si>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</si>
  <si>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</si>
  <si>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</si>
  <si>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</si>
  <si>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</si>
  <si>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</si>
  <si>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</si>
  <si>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</si>
  <si>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</si>
  <si>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</si>
  <si>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</si>
  <si>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</si>
  <si>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</si>
  <si>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</si>
  <si>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</si>
  <si>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</si>
  <si>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</si>
  <si>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</si>
  <si>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</si>
  <si>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</si>
  <si>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</si>
  <si>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</si>
  <si>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</si>
  <si>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</si>
  <si>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</si>
  <si>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</si>
  <si>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</si>
  <si>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</si>
  <si>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</si>
  <si>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</si>
  <si>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</si>
  <si>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</si>
  <si>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</si>
  <si>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</si>
  <si>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</si>
  <si>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</si>
  <si>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</si>
  <si>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</si>
  <si>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</si>
  <si>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</si>
  <si>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</si>
  <si>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</si>
  <si>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</si>
  <si>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</si>
  <si>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</si>
  <si>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</si>
  <si>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</si>
  <si>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</si>
  <si>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</si>
  <si>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</si>
  <si>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</si>
  <si>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</si>
  <si>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</si>
  <si>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</si>
  <si>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</si>
  <si>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</si>
  <si>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</si>
  <si>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</si>
  <si>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</si>
  <si>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</si>
  <si>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</si>
  <si>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</si>
  <si>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</si>
  <si>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</si>
  <si>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</si>
  <si>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</si>
  <si>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</si>
  <si>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</si>
  <si>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</si>
  <si>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</si>
  <si>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</si>
  <si>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</si>
  <si>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</si>
  <si>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</si>
  <si>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</si>
  <si>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</si>
  <si>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</si>
  <si>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</si>
  <si>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</si>
  <si>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</si>
  <si>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</si>
  <si>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</si>
  <si>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</si>
  <si>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</si>
  <si>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</si>
  <si>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</si>
  <si>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</si>
  <si>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</si>
  <si>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</si>
  <si>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</si>
  <si>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</si>
  <si>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</si>
  <si>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</si>
  <si>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</si>
  <si>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</si>
  <si>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</si>
  <si>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</si>
  <si>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</si>
  <si>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</si>
  <si>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</si>
  <si>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</si>
  <si>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</si>
  <si>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</si>
  <si>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</si>
  <si>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</si>
  <si>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</si>
  <si>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</si>
  <si>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</si>
  <si>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</si>
  <si>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</si>
  <si>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</si>
  <si>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</si>
  <si>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</si>
  <si>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</si>
  <si>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</si>
  <si>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</si>
  <si>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</si>
  <si>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</si>
  <si>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</si>
  <si>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</si>
  <si>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</si>
  <si>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</si>
  <si>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</si>
  <si>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</si>
  <si>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</si>
  <si>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</si>
  <si>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</si>
  <si>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</si>
  <si>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</si>
  <si>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</si>
  <si>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</si>
  <si>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</si>
  <si>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</si>
  <si>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</si>
  <si>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</si>
  <si>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</si>
  <si>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</si>
  <si>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</si>
  <si>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</si>
  <si>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</si>
  <si>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</si>
  <si>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</si>
  <si>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</si>
  <si>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</si>
  <si>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</si>
  <si>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</si>
  <si>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</si>
  <si>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</si>
  <si>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</si>
  <si>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</si>
  <si>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</si>
  <si>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</si>
  <si>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</si>
  <si>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</si>
  <si>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</si>
  <si>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</si>
  <si>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</si>
  <si>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</si>
  <si>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</si>
  <si>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</si>
  <si>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</si>
  <si>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</si>
  <si>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</si>
  <si>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</si>
  <si>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</si>
  <si>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</si>
  <si>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</si>
  <si>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</si>
  <si>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</si>
  <si>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</si>
  <si>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</si>
  <si>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</si>
  <si>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</si>
  <si>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</si>
  <si>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</si>
  <si>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</si>
  <si>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</si>
  <si>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</si>
  <si>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</si>
  <si>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</si>
  <si>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</si>
  <si>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</si>
  <si>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</si>
  <si>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</si>
  <si>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</si>
  <si>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</si>
  <si>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</si>
  <si>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</si>
  <si>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</si>
  <si>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</si>
  <si>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</si>
  <si>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</si>
  <si>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</si>
  <si>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</si>
  <si>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</si>
  <si>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</si>
  <si>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</si>
  <si>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</si>
  <si>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</si>
  <si>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</si>
  <si>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</si>
  <si>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</si>
  <si>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</si>
  <si>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</si>
  <si>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</si>
  <si>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</si>
  <si>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</si>
  <si>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</si>
  <si>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</si>
  <si>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</si>
  <si>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</si>
  <si>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</si>
  <si>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</si>
  <si>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</si>
  <si>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</si>
  <si>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</si>
  <si>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</si>
  <si>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</si>
  <si>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</si>
  <si>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</si>
  <si>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</si>
  <si>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</si>
  <si>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</si>
  <si>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</si>
  <si>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</si>
  <si>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</si>
  <si>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</si>
  <si>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</si>
  <si>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</si>
  <si>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</si>
  <si>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</si>
  <si>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</si>
  <si>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</si>
  <si>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</si>
  <si>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</si>
  <si>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</si>
  <si>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</si>
  <si>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</si>
  <si>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</si>
  <si>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</si>
  <si>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</si>
  <si>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</si>
  <si>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</si>
  <si>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</si>
  <si>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</si>
  <si>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</si>
  <si>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</si>
  <si>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</si>
  <si>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</si>
  <si>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</si>
  <si>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</si>
  <si>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</si>
  <si>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</si>
  <si>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</si>
  <si>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</si>
  <si>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</si>
  <si>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</si>
  <si>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</si>
  <si>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</si>
  <si>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</si>
  <si>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</si>
  <si>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</si>
  <si>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</si>
  <si>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</si>
  <si>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</si>
  <si>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</si>
  <si>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</si>
  <si>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</si>
  <si>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</si>
  <si>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</si>
  <si>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</si>
  <si>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</si>
  <si>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</si>
  <si>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</si>
  <si>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</si>
  <si>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</si>
  <si>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</si>
  <si>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</si>
  <si>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</si>
  <si>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</si>
  <si>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</si>
  <si>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</si>
  <si>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</si>
  <si>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</si>
  <si>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</si>
  <si>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</si>
  <si>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</si>
  <si>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</si>
  <si>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</si>
  <si>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</si>
  <si>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</si>
  <si>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</si>
  <si>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</si>
  <si>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</si>
  <si>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</si>
  <si>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</si>
  <si>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</si>
  <si>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</si>
  <si>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</si>
  <si>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</si>
  <si>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</si>
  <si>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</si>
  <si>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</si>
  <si>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</si>
  <si>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</si>
  <si>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</si>
  <si>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</si>
  <si>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</si>
  <si>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</si>
  <si>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</si>
  <si>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</si>
  <si>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</si>
  <si>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</si>
  <si>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</si>
  <si>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</si>
  <si>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</si>
  <si>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</si>
  <si>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</si>
  <si>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</si>
  <si>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</si>
  <si>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</si>
  <si>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</si>
  <si>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</si>
  <si>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</si>
  <si>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</si>
  <si>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</si>
  <si>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</si>
  <si>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</si>
  <si>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</si>
  <si>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</si>
  <si>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</si>
  <si>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</si>
  <si>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</si>
  <si>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</si>
  <si>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</si>
  <si>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</si>
  <si>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</si>
  <si>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</si>
  <si>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</si>
  <si>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</si>
  <si>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</si>
  <si>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</si>
  <si>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</si>
  <si>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</si>
  <si>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</si>
  <si>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</si>
  <si>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</si>
  <si>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</si>
  <si>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</si>
  <si>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</si>
  <si>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</si>
  <si>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</si>
  <si>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</si>
  <si>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</si>
  <si>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</si>
  <si>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</si>
  <si>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</si>
  <si>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</si>
  <si>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</si>
  <si>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</si>
  <si>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</si>
  <si>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</si>
  <si>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</si>
  <si>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</si>
  <si>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</si>
  <si>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</si>
  <si>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</si>
  <si>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</si>
  <si>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</si>
  <si>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</si>
  <si>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</si>
  <si>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</si>
  <si>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</si>
  <si>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</si>
  <si>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</si>
  <si>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</si>
  <si>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</si>
  <si>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</si>
  <si>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</si>
  <si>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</si>
  <si>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</si>
  <si>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</si>
  <si>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</si>
  <si>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</si>
  <si>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</si>
  <si>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</si>
  <si>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</si>
  <si>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</si>
  <si>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</si>
  <si>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</si>
  <si>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</si>
  <si>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</si>
  <si>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</si>
  <si>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</si>
  <si>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</si>
  <si>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</si>
  <si>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</si>
  <si>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</si>
  <si>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</si>
  <si>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</si>
  <si>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</si>
  <si>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</si>
  <si>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</si>
  <si>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</si>
  <si>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</si>
  <si>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</si>
  <si>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</si>
  <si>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</si>
  <si>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</si>
  <si>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</si>
  <si>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</si>
  <si>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</si>
  <si>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</si>
  <si>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</si>
  <si>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</si>
  <si>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</si>
  <si>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</si>
  <si>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</si>
  <si>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</si>
  <si>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</si>
  <si>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</si>
  <si>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</si>
  <si>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</si>
  <si>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</si>
  <si>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</si>
  <si>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</si>
  <si>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</si>
  <si>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</si>
  <si>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</si>
  <si>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</si>
  <si>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</si>
  <si>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</si>
  <si>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</si>
  <si>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</si>
  <si>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</si>
  <si>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</si>
  <si>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</si>
  <si>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</si>
  <si>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</si>
  <si>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</si>
  <si>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</si>
  <si>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</si>
  <si>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</si>
  <si>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</si>
  <si>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</si>
  <si>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</si>
  <si>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</si>
  <si>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</si>
  <si>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</si>
  <si>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</si>
  <si>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</si>
  <si>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</si>
  <si>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</si>
  <si>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</si>
  <si>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</si>
  <si>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</si>
  <si>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</si>
  <si>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</si>
  <si>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</si>
  <si>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</si>
  <si>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</si>
  <si>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</si>
  <si>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</si>
  <si>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</si>
  <si>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</si>
  <si>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</si>
  <si>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</si>
  <si>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</si>
  <si>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</si>
  <si>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</si>
  <si>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</si>
  <si>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</si>
  <si>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</si>
  <si>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</si>
  <si>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</si>
  <si>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</si>
  <si>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</si>
  <si>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</si>
  <si>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</si>
  <si>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</si>
  <si>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</si>
  <si>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</si>
  <si>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</si>
  <si>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</si>
  <si>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</si>
  <si>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</si>
  <si>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</si>
  <si>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</si>
  <si>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</si>
  <si>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</si>
  <si>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</si>
  <si>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</si>
  <si>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</si>
  <si>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</si>
  <si>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</si>
  <si>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</si>
  <si>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</si>
  <si>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</si>
  <si>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</si>
  <si>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</si>
  <si>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</si>
  <si>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</si>
  <si>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</si>
  <si>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</si>
  <si>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</si>
  <si>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</si>
  <si>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</si>
  <si>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</si>
  <si>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</si>
  <si>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</si>
  <si>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</si>
  <si>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</si>
  <si>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</si>
  <si>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</si>
  <si>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</si>
  <si>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</si>
  <si>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</si>
  <si>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</si>
  <si>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</si>
  <si>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</si>
  <si>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</si>
  <si>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</si>
  <si>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</si>
  <si>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</si>
  <si>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</si>
  <si>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</si>
  <si>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</si>
  <si>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</si>
  <si>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</si>
  <si>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</si>
  <si>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</si>
  <si>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</si>
  <si>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</si>
  <si>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</si>
  <si>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</si>
  <si>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</si>
  <si>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</si>
  <si>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</si>
  <si>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</si>
  <si>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</si>
  <si>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</si>
  <si>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</si>
  <si>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</si>
  <si>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</si>
  <si>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</si>
  <si>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</si>
  <si>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</si>
  <si>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</si>
  <si>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</si>
  <si>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</si>
  <si>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</si>
  <si>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</si>
  <si>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</si>
  <si>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</si>
  <si>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</si>
  <si>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</si>
  <si>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</si>
  <si>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</si>
  <si>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</si>
  <si>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</si>
  <si>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</si>
  <si>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</si>
  <si>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</si>
  <si>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</si>
  <si>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</si>
  <si>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</si>
  <si>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</si>
  <si>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</si>
  <si>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</si>
  <si>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</si>
  <si>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</si>
  <si>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</si>
  <si>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</si>
  <si>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</si>
  <si>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</si>
  <si>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</si>
  <si>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</si>
  <si>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</si>
  <si>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</si>
  <si>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</si>
  <si>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</si>
  <si>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</si>
  <si>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</si>
  <si>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</si>
  <si>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</si>
  <si>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</si>
  <si>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</si>
  <si>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</si>
  <si>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</si>
  <si>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</si>
  <si>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</si>
  <si>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</si>
  <si>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</si>
  <si>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</si>
  <si>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</si>
  <si>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</si>
  <si>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</si>
  <si>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</si>
  <si>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</si>
  <si>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</si>
  <si>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</si>
  <si>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</si>
  <si>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</si>
  <si>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</si>
  <si>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</si>
  <si>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</si>
  <si>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</si>
  <si>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</si>
  <si>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</si>
  <si>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</si>
  <si>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</si>
  <si>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</si>
  <si>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</si>
  <si>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</si>
  <si>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</si>
  <si>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</si>
  <si>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</si>
  <si>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</si>
  <si>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</si>
  <si>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</si>
  <si>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</si>
  <si>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</si>
  <si>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</si>
  <si>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</si>
  <si>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</si>
  <si>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</si>
  <si>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</si>
  <si>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</si>
  <si>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</si>
  <si>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</si>
  <si>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</si>
  <si>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</si>
  <si>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</si>
  <si>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</si>
  <si>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</si>
  <si>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</si>
  <si>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</si>
  <si>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</si>
  <si>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</si>
  <si>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</si>
  <si>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</si>
  <si>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</si>
  <si>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</si>
  <si>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</si>
  <si>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</si>
  <si>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</si>
  <si>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</si>
  <si>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</si>
  <si>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</si>
  <si>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</si>
  <si>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</si>
  <si>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</si>
  <si>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</si>
  <si>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</si>
  <si>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</si>
  <si>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</si>
  <si>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</si>
  <si>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</si>
  <si>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</si>
  <si>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</si>
  <si>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</si>
  <si>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</si>
  <si>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</si>
  <si>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</si>
  <si>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</si>
  <si>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</si>
  <si>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</si>
  <si>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</si>
  <si>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</si>
  <si>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</si>
  <si>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</si>
  <si>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</si>
  <si>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</si>
  <si>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</si>
  <si>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</si>
  <si>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</si>
  <si>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</si>
  <si>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</si>
  <si>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</si>
  <si>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</si>
  <si>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</si>
  <si>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</si>
  <si>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</si>
  <si>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</si>
  <si>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</si>
  <si>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</si>
  <si>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</si>
  <si>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</si>
  <si>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</si>
  <si>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</si>
  <si>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</si>
  <si>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</si>
  <si>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</si>
  <si>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</si>
  <si>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</si>
  <si>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</si>
  <si>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</si>
  <si>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</si>
  <si>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</si>
  <si>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</si>
  <si>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</si>
  <si>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</si>
  <si>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</si>
  <si>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</si>
  <si>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</si>
  <si>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</si>
  <si>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</si>
  <si>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</si>
  <si>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</si>
  <si>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</si>
  <si>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</si>
  <si>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</si>
  <si>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</si>
  <si>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</si>
  <si>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</si>
  <si>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</si>
  <si>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</si>
  <si>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</si>
  <si>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</si>
  <si>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</si>
  <si>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</si>
  <si>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</si>
  <si>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</si>
  <si>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</si>
  <si>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</si>
  <si>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</si>
  <si>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</si>
  <si>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</si>
  <si>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</si>
  <si>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</si>
  <si>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</si>
  <si>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</si>
  <si>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</si>
  <si>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</si>
  <si>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</si>
  <si>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</si>
  <si>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</si>
  <si>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</si>
  <si>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</si>
  <si>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</si>
  <si>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</si>
  <si>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</si>
  <si>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</si>
  <si>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</si>
  <si>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</si>
  <si>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</si>
  <si>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</si>
  <si>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</si>
  <si>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</si>
  <si>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</si>
  <si>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</si>
  <si>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</si>
  <si>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</si>
  <si>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</si>
  <si>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</si>
  <si>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</si>
  <si>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</si>
  <si>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</si>
  <si>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</si>
  <si>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</si>
  <si>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</si>
  <si>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</si>
  <si>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</si>
  <si>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</si>
  <si>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</si>
  <si>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</si>
  <si>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</si>
  <si>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</si>
  <si>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</si>
  <si>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</si>
  <si>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</si>
  <si>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</si>
  <si>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</si>
  <si>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</si>
  <si>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</si>
  <si>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</si>
  <si>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</si>
  <si>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</si>
  <si>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</si>
  <si>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</si>
  <si>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</si>
  <si>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</si>
  <si>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</si>
  <si>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</si>
  <si>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</si>
  <si>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</si>
  <si>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</si>
  <si>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</si>
  <si>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</si>
  <si>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</si>
  <si>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</si>
  <si>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</si>
  <si>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</si>
  <si>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</si>
  <si>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</si>
  <si>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</si>
  <si>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</si>
  <si>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</si>
  <si>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</si>
  <si>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</si>
  <si>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</si>
  <si>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</si>
  <si>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</si>
  <si>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</si>
  <si>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</si>
  <si>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</si>
  <si>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</si>
  <si>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</si>
  <si>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</si>
  <si>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</si>
  <si>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</si>
  <si>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</si>
  <si>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</si>
  <si>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</si>
  <si>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</si>
  <si>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</si>
  <si>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</si>
  <si>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</si>
  <si>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</si>
  <si>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</si>
  <si>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</si>
  <si>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</si>
  <si>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</si>
  <si>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</si>
  <si>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</si>
  <si>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</si>
  <si>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</si>
  <si>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</si>
  <si>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</si>
  <si>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</si>
  <si>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</si>
  <si>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</si>
  <si>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</si>
  <si>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</si>
  <si>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</si>
  <si>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</si>
  <si>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</si>
  <si>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</si>
  <si>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</si>
  <si>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</si>
  <si>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</si>
  <si>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</si>
  <si>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</si>
  <si>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</si>
  <si>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</si>
  <si>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</si>
  <si>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</si>
  <si>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</si>
  <si>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</si>
  <si>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</si>
  <si>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</si>
  <si>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</si>
  <si>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</si>
  <si>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</si>
  <si>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</si>
  <si>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</si>
  <si>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</si>
  <si>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</si>
  <si>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</si>
  <si>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</si>
  <si>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</si>
  <si>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</si>
  <si>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</si>
  <si>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</si>
  <si>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</si>
  <si>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</si>
  <si>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</si>
  <si>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</si>
  <si>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</si>
  <si>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</si>
  <si>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</si>
  <si>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</si>
  <si>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</si>
  <si>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</si>
  <si>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</si>
  <si>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</si>
  <si>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</si>
  <si>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</si>
  <si>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</si>
  <si>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</si>
  <si>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</si>
  <si>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</si>
  <si>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</si>
  <si>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</si>
  <si>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</si>
  <si>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</si>
  <si>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</si>
  <si>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</si>
  <si>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</si>
  <si>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</si>
  <si>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</si>
  <si>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</si>
  <si>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</si>
  <si>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</si>
  <si>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</si>
  <si>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</si>
  <si>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</si>
  <si>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</si>
  <si>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</si>
  <si>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</si>
  <si>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</si>
  <si>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</si>
  <si>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</si>
  <si>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</si>
  <si>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</si>
  <si>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</si>
  <si>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</si>
  <si>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</si>
  <si>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</si>
  <si>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</si>
  <si>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</si>
  <si>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</si>
  <si>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</si>
  <si>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</si>
  <si>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</si>
  <si>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</si>
  <si>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</si>
  <si>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</si>
  <si>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</si>
  <si>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</si>
  <si>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</si>
  <si>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</si>
  <si>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</si>
  <si>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</si>
  <si>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</si>
  <si>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</si>
  <si>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</si>
  <si>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</si>
  <si>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</si>
  <si>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</si>
  <si>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</si>
  <si>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</si>
  <si>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</si>
  <si>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</si>
  <si>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</si>
  <si>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</si>
  <si>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</si>
  <si>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</si>
  <si>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</si>
  <si>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</si>
  <si>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</si>
  <si>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</si>
  <si>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</si>
  <si>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</si>
  <si>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</si>
  <si>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</si>
  <si>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</si>
  <si>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</si>
  <si>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</si>
  <si>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</si>
  <si>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</si>
  <si>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</si>
  <si>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</si>
  <si>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</si>
  <si>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</si>
  <si>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</si>
  <si>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</si>
  <si>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</si>
  <si>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</si>
  <si>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</si>
  <si>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</si>
  <si>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</si>
  <si>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</si>
  <si>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</si>
  <si>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</si>
  <si>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</si>
  <si>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</si>
  <si>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</si>
  <si>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</si>
  <si>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</si>
  <si>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</si>
  <si>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</si>
  <si>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</si>
  <si>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</si>
  <si>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</si>
  <si>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</si>
  <si>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</si>
  <si>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</si>
  <si>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</si>
  <si>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</si>
  <si>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</si>
  <si>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</si>
  <si>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</si>
  <si>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</si>
  <si>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</si>
  <si>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</si>
  <si>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</si>
  <si>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</si>
  <si>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</si>
  <si>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</si>
  <si>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</si>
  <si>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</si>
  <si>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</si>
  <si>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</si>
  <si>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</si>
  <si>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</si>
  <si>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</si>
  <si>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</si>
  <si>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</si>
  <si>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</si>
  <si>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</si>
  <si>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</si>
  <si>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</si>
  <si>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</si>
  <si>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</si>
  <si>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</si>
  <si>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</si>
  <si>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</si>
  <si>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</si>
  <si>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</si>
  <si>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</si>
  <si>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</si>
  <si>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</si>
  <si>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</si>
  <si>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</si>
  <si>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</si>
  <si>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</si>
  <si>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</si>
  <si>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</si>
  <si>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</si>
  <si>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</si>
  <si>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</si>
  <si>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</si>
  <si>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</si>
  <si>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</si>
  <si>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</si>
  <si>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</si>
  <si>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</si>
  <si>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</si>
  <si>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</si>
  <si>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</si>
  <si>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</si>
  <si>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</si>
  <si>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</si>
  <si>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</si>
  <si>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</si>
  <si>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</si>
  <si>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</si>
  <si>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</si>
  <si>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</si>
  <si>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</si>
  <si>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</si>
  <si>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</si>
  <si>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</si>
  <si>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</si>
  <si>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</si>
  <si>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</si>
  <si>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</si>
  <si>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</si>
  <si>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</si>
  <si>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</si>
  <si>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</si>
  <si>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</si>
  <si>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</si>
  <si>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</si>
  <si>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</si>
  <si>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</si>
  <si>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</si>
  <si>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</si>
  <si>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</si>
  <si>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</si>
  <si>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</si>
  <si>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</si>
  <si>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</si>
  <si>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</si>
  <si>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</si>
  <si>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</si>
  <si>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</si>
  <si>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</si>
  <si>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</si>
  <si>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</si>
  <si>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</si>
  <si>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</si>
  <si>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</si>
  <si>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</si>
  <si>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</si>
  <si>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</si>
  <si>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</si>
  <si>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</si>
  <si>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</si>
  <si>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</si>
  <si>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</si>
  <si>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</si>
  <si>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</si>
  <si>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</si>
  <si>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</si>
  <si>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</si>
  <si>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</si>
  <si>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</si>
  <si>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</si>
  <si>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</si>
  <si>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</si>
  <si>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</si>
  <si>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</si>
  <si>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</si>
  <si>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</si>
  <si>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</si>
  <si>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</si>
  <si>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</si>
  <si>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</si>
  <si>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</si>
  <si>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</si>
  <si>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</si>
  <si>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</si>
  <si>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</si>
  <si>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</si>
  <si>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</si>
  <si>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</si>
  <si>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</si>
  <si>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</si>
  <si>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</si>
  <si>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</si>
  <si>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</si>
  <si>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</si>
  <si>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</si>
  <si>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</si>
  <si>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</si>
  <si>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</si>
  <si>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</si>
  <si>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</si>
  <si>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</si>
  <si>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</si>
  <si>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</si>
  <si>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</si>
  <si>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</si>
  <si>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</si>
  <si>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</si>
  <si>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</si>
  <si>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</si>
  <si>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</si>
  <si>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</si>
  <si>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</si>
  <si>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</si>
  <si>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</si>
  <si>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</si>
  <si>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</si>
  <si>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</si>
  <si>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</si>
  <si>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</si>
  <si>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</si>
  <si>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</si>
  <si>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</si>
  <si>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</si>
  <si>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</si>
  <si>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</si>
  <si>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</si>
  <si>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</si>
  <si>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</si>
  <si>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</si>
  <si>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</si>
  <si>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</si>
  <si>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</si>
  <si>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</si>
  <si>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</si>
  <si>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</si>
  <si>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</si>
  <si>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</si>
  <si>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</si>
  <si>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</si>
  <si>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</si>
  <si>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</si>
  <si>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</si>
  <si>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</si>
  <si>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</si>
  <si>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</si>
  <si>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</si>
  <si>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</si>
  <si>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</si>
  <si>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</si>
  <si>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</si>
  <si>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</si>
  <si>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</si>
  <si>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</si>
  <si>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</si>
  <si>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</si>
  <si>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</si>
  <si>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</si>
  <si>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</si>
  <si>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</si>
  <si>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</si>
  <si>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</si>
  <si>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</si>
  <si>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</si>
  <si>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</si>
  <si>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</si>
  <si>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</si>
  <si>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</si>
  <si>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</si>
  <si>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</si>
  <si>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</si>
  <si>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</si>
  <si>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</si>
  <si>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</si>
  <si>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</si>
  <si>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</si>
  <si>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</si>
  <si>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</si>
  <si>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</si>
  <si>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</si>
  <si>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</si>
  <si>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</si>
  <si>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</si>
  <si>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</si>
  <si>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</si>
  <si>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</si>
  <si>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</si>
  <si>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</si>
  <si>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</si>
  <si>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</si>
  <si>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</si>
  <si>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</si>
  <si>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</si>
  <si>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</si>
  <si>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</si>
  <si>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</si>
  <si>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</si>
  <si>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</si>
  <si>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</si>
  <si>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</si>
  <si>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</si>
  <si>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</si>
  <si>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</si>
  <si>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</si>
  <si>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</si>
  <si>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</si>
  <si>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</si>
  <si>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</si>
  <si>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</si>
  <si>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</si>
  <si>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</si>
  <si>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</si>
  <si>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</si>
  <si>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</si>
  <si>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</si>
  <si>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</si>
  <si>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</si>
  <si>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</si>
  <si>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</si>
  <si>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</si>
  <si>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</si>
  <si>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</si>
  <si>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</si>
  <si>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</si>
  <si>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</si>
  <si>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</si>
  <si>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</si>
  <si>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</si>
  <si>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</si>
  <si>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</si>
  <si>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</si>
  <si>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</si>
  <si>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</si>
  <si>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</si>
  <si>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</si>
  <si>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</si>
  <si>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</si>
  <si>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</si>
  <si>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</si>
  <si>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</si>
  <si>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</si>
  <si>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</si>
  <si>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</si>
  <si>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</si>
  <si>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</si>
  <si>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</si>
  <si>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</si>
  <si>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</si>
  <si>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</si>
  <si>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</si>
  <si>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</si>
  <si>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</si>
  <si>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</si>
  <si>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</si>
  <si>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</si>
  <si>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</si>
  <si>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</si>
  <si>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</si>
  <si>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</si>
  <si>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</si>
  <si>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</si>
  <si>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</si>
  <si>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</si>
  <si>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</si>
  <si>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</si>
  <si>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</si>
  <si>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</si>
  <si>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</si>
  <si>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</si>
  <si>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</si>
  <si>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</si>
  <si>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</si>
  <si>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</si>
  <si>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</si>
  <si>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</si>
  <si>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</si>
  <si>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</si>
  <si>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</si>
  <si>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</si>
  <si>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</si>
  <si>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</si>
  <si>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</si>
  <si>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</si>
  <si>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</si>
  <si>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</si>
  <si>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</si>
  <si>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</si>
  <si>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</si>
  <si>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</si>
  <si>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</si>
  <si>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</si>
  <si>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</si>
  <si>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</si>
  <si>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</si>
  <si>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</si>
  <si>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</si>
  <si>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</si>
  <si>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</si>
  <si>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</si>
  <si>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</si>
  <si>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</si>
  <si>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</si>
  <si>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</si>
  <si>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</si>
  <si>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</si>
  <si>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</si>
  <si>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</si>
  <si>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</si>
  <si>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</si>
  <si>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</si>
  <si>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</si>
  <si>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</si>
  <si>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</si>
  <si>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</si>
  <si>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</si>
  <si>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</si>
  <si>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</si>
  <si>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</si>
  <si>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</si>
  <si>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</si>
  <si>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</si>
  <si>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</si>
  <si>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</si>
  <si>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</si>
  <si>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</si>
  <si>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</si>
  <si>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</si>
  <si>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</si>
  <si>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</si>
  <si>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</si>
  <si>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</si>
  <si>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</si>
  <si>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</si>
  <si>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</si>
  <si>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</si>
  <si>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</si>
  <si>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</si>
  <si>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</si>
  <si>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</si>
  <si>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</si>
  <si>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</si>
  <si>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</si>
  <si>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</si>
  <si>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</si>
  <si>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</si>
  <si>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</si>
  <si>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</si>
  <si>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</si>
  <si>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</si>
  <si>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</si>
  <si>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</si>
  <si>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</si>
  <si>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</si>
  <si>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</si>
  <si>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</si>
  <si>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</si>
  <si>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</si>
  <si>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</si>
  <si>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</si>
  <si>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</si>
  <si>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</si>
  <si>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</si>
  <si>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</si>
  <si>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</si>
  <si>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</si>
  <si>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</si>
  <si>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</si>
  <si>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</si>
  <si>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</si>
  <si>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</si>
  <si>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</si>
  <si>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</si>
  <si>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</si>
  <si>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</si>
  <si>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</si>
  <si>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</si>
  <si>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</si>
  <si>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</si>
  <si>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</si>
  <si>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</si>
  <si>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</si>
  <si>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</si>
  <si>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</si>
  <si>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</si>
  <si>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</si>
  <si>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</si>
  <si>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</si>
  <si>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</si>
  <si>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</si>
  <si>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</si>
  <si>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HS-TQM_PDM+CABIN REFURBISH+PAINT DATE  02 OCT. 2026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</si>
  <si>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</si>
  <si>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</si>
  <si>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</si>
  <si>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</si>
  <si>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</si>
  <si>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</si>
  <si>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</si>
  <si>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</si>
  <si>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</si>
  <si>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</si>
  <si>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</si>
  <si>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</si>
  <si>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</si>
  <si>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</si>
  <si>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</si>
  <si>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</si>
  <si>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</si>
  <si>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</si>
  <si>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</si>
  <si>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</si>
  <si>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</si>
  <si>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</si>
  <si>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</si>
  <si>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</si>
  <si>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</si>
  <si>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</si>
  <si>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</si>
  <si>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</si>
  <si>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</si>
  <si>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</si>
  <si>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</si>
  <si>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</si>
  <si>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</si>
  <si>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</si>
  <si>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</si>
  <si>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</si>
  <si>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</si>
  <si>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</si>
  <si>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</si>
  <si>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</si>
  <si>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</si>
  <si>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</si>
  <si>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</si>
  <si>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</si>
  <si>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</si>
  <si>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</si>
  <si>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</si>
  <si>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</si>
  <si>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</si>
  <si>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</si>
  <si>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</si>
  <si>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</si>
  <si>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</si>
  <si>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</si>
  <si>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</si>
  <si>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</si>
  <si>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</si>
  <si>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</si>
  <si>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</si>
  <si>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</si>
  <si>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</si>
  <si>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</si>
  <si>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</si>
  <si>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</si>
  <si>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</si>
  <si>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</si>
  <si>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</si>
  <si>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</si>
  <si>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</si>
  <si>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</si>
  <si>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</si>
  <si>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</si>
  <si>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</si>
  <si>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</si>
  <si>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</si>
  <si>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</si>
  <si>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</si>
  <si>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</si>
  <si>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</si>
  <si>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</si>
  <si>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</si>
  <si>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</si>
  <si>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</si>
  <si>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</si>
  <si>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</si>
  <si>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</si>
  <si>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</si>
  <si>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</si>
  <si>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</si>
  <si>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</si>
  <si>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</si>
  <si>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</si>
  <si>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</si>
  <si>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</si>
  <si>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</si>
  <si>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</si>
  <si>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</si>
  <si>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</si>
  <si>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</si>
  <si>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</si>
  <si>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</si>
  <si>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</si>
  <si>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</si>
  <si>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</si>
  <si>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</si>
  <si>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</si>
  <si>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</si>
  <si>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</si>
  <si>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</si>
  <si>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</si>
  <si>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</si>
  <si>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</si>
  <si>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</si>
  <si>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</si>
  <si>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</si>
  <si>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</si>
  <si>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</si>
  <si>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</si>
  <si>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</si>
  <si>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</si>
  <si>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</si>
  <si>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</si>
  <si>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</si>
  <si>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</si>
  <si>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</si>
  <si>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</si>
  <si>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</si>
  <si>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</si>
  <si>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</si>
  <si>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</si>
  <si>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</si>
  <si>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</si>
  <si>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</si>
  <si>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</si>
  <si>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</si>
  <si>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</si>
  <si>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</si>
  <si>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</si>
  <si>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</si>
  <si>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</si>
  <si>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</si>
  <si>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</si>
  <si>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</si>
  <si>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</si>
  <si>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</si>
  <si>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</si>
  <si>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</si>
  <si>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</si>
  <si>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</si>
  <si>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</si>
  <si>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</si>
  <si>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</si>
  <si>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</si>
  <si>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</si>
  <si>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</si>
  <si>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</si>
  <si>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</si>
  <si>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</si>
  <si>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</si>
  <si>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</si>
  <si>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</si>
  <si>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</si>
  <si>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</si>
  <si>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</si>
  <si>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</si>
  <si>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</si>
  <si>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</si>
  <si>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</si>
  <si>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</si>
  <si>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</si>
  <si>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</si>
  <si>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</si>
  <si>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</si>
  <si>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</si>
  <si>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</si>
  <si>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</si>
  <si>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</si>
  <si>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</si>
  <si>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</si>
  <si>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</si>
  <si>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</si>
  <si>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</si>
  <si>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</si>
  <si>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</si>
  <si>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</si>
  <si>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</si>
  <si>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</si>
  <si>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</si>
  <si>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</si>
  <si>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</si>
  <si>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</si>
  <si>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</si>
  <si>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</si>
  <si>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</si>
  <si>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</si>
  <si>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</si>
  <si>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</si>
  <si>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</si>
  <si>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</si>
  <si>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</si>
  <si>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</si>
  <si>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</si>
  <si>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</si>
  <si>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</si>
  <si>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</si>
  <si>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</si>
  <si>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</si>
  <si>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</si>
  <si>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</si>
  <si>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</si>
  <si>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</si>
  <si>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</si>
  <si>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</si>
  <si>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</si>
  <si>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</si>
  <si>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</si>
  <si>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</si>
  <si>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</si>
  <si>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</si>
  <si>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</si>
  <si>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</si>
  <si>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</si>
  <si>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</si>
  <si>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</si>
  <si>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</si>
  <si>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</si>
  <si>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</si>
  <si>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</si>
  <si>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</si>
  <si>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</si>
  <si>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</si>
  <si>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</si>
  <si>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</si>
  <si>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</si>
  <si>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</si>
  <si>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</si>
  <si>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</si>
  <si>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</si>
  <si>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</si>
  <si>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</si>
  <si>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</si>
  <si>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</si>
  <si>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</si>
  <si>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</si>
  <si>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</si>
  <si>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</si>
  <si>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</si>
  <si>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</si>
  <si>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</si>
  <si>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</si>
  <si>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</si>
  <si>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</si>
  <si>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</si>
  <si>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</si>
  <si>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</si>
  <si>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</si>
  <si>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</si>
  <si>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</si>
  <si>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</si>
  <si>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</si>
  <si>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</si>
  <si>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</si>
  <si>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</si>
  <si>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</si>
  <si>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</si>
  <si>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</si>
  <si>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</si>
  <si>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</si>
  <si>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</si>
  <si>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</si>
  <si>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</si>
  <si>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</si>
  <si>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</si>
  <si>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</si>
  <si>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</si>
  <si>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</si>
  <si>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</si>
  <si>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</si>
  <si>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</si>
  <si>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</si>
  <si>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</si>
  <si>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</si>
  <si>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</si>
  <si>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</si>
  <si>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</si>
  <si>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</si>
  <si>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</si>
  <si>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</si>
  <si>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</si>
  <si>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</si>
  <si>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</si>
  <si>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</si>
  <si>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</si>
  <si>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</si>
  <si>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</si>
  <si>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</si>
  <si>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</si>
  <si>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</si>
  <si>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</si>
  <si>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</si>
  <si>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</si>
  <si>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</si>
  <si>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</si>
  <si>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</si>
  <si>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</si>
  <si>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</si>
  <si>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</si>
  <si>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</si>
  <si>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</si>
  <si>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</si>
  <si>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</si>
  <si>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</si>
  <si>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</si>
  <si>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</si>
  <si>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</si>
  <si>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</si>
  <si>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</si>
  <si>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</si>
  <si>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</si>
  <si>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</si>
  <si>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</si>
  <si>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</si>
  <si>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</si>
  <si>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</si>
  <si>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</si>
  <si>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</si>
  <si>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</si>
  <si>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</si>
  <si>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</si>
  <si>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</si>
  <si>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</si>
  <si>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</si>
  <si>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</si>
  <si>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</si>
  <si>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</si>
  <si>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</si>
  <si>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</si>
  <si>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</si>
  <si>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</si>
  <si>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</si>
  <si>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</si>
  <si>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</si>
  <si>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</si>
  <si>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</si>
  <si>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</si>
  <si>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</si>
  <si>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</si>
  <si>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</si>
  <si>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</si>
  <si>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</si>
  <si>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</si>
  <si>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</si>
  <si>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</si>
  <si>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</si>
  <si>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</si>
  <si>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</si>
  <si>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</si>
  <si>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</si>
  <si>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</si>
  <si>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</si>
  <si>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</si>
  <si>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</si>
  <si>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</si>
  <si>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</si>
  <si>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</si>
  <si>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</si>
  <si>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</si>
  <si>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</si>
  <si>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</si>
  <si>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</si>
  <si>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</si>
  <si>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</si>
  <si>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</si>
  <si>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</si>
  <si>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</si>
  <si>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</si>
  <si>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</si>
  <si>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</si>
  <si>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</si>
  <si>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</si>
  <si>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</si>
  <si>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</si>
  <si>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</si>
  <si>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</si>
  <si>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</si>
  <si>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</si>
  <si>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</si>
  <si>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</si>
  <si>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</si>
  <si>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</si>
  <si>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</si>
  <si>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</si>
  <si>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</si>
  <si>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</si>
  <si>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</si>
  <si>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</si>
  <si>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</si>
  <si>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</si>
  <si>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</si>
  <si>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</si>
  <si>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</si>
  <si>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</si>
  <si>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</si>
  <si>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</si>
  <si>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</si>
  <si>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</si>
  <si>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</si>
  <si>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</si>
  <si>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</si>
  <si>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</si>
  <si>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</si>
  <si>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</si>
  <si>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</si>
  <si>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</si>
  <si>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</si>
  <si>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</si>
  <si>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</si>
  <si>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</si>
  <si>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</si>
  <si>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</si>
  <si>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</si>
  <si>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</si>
  <si>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</si>
  <si>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</si>
  <si>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</si>
  <si>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</si>
  <si>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</si>
  <si>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</si>
  <si>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</si>
  <si>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</si>
  <si>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</si>
  <si>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</si>
  <si>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</si>
  <si>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</si>
  <si>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</si>
  <si>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</si>
  <si>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</si>
  <si>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</si>
  <si>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</si>
  <si>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</si>
  <si>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</si>
  <si>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</si>
  <si>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</si>
  <si>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</si>
  <si>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</si>
  <si>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</si>
  <si>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</si>
  <si>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</si>
  <si>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</si>
  <si>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</si>
  <si>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</si>
  <si>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</si>
  <si>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</si>
  <si>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</si>
  <si>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</si>
  <si>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</si>
  <si>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</si>
  <si>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</si>
  <si>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</si>
  <si>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</si>
  <si>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</si>
  <si>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</si>
  <si>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</si>
  <si>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</si>
  <si>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</si>
  <si>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</si>
  <si>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</si>
  <si>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</si>
  <si>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</si>
  <si>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</si>
  <si>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</si>
  <si>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</si>
  <si>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</si>
  <si>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</si>
  <si>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</si>
  <si>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</si>
  <si>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</si>
  <si>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</si>
  <si>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</si>
  <si>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</si>
  <si>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</si>
  <si>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</si>
  <si>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</si>
  <si>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</si>
  <si>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</si>
  <si>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0016502776</t>
  </si>
  <si>
    <t>1103190688</t>
  </si>
  <si>
    <t>2105164453</t>
  </si>
  <si>
    <t>A_CLEANING OF ENGINE GAS PATH</t>
  </si>
  <si>
    <t>787.MPD.GENX-72-00-00-13B-258A-A</t>
  </si>
  <si>
    <t>0016502777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</si>
  <si>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</si>
  <si>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</si>
  <si>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</si>
  <si>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</si>
  <si>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</si>
  <si>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</si>
  <si>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</si>
  <si>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</si>
  <si>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</si>
  <si>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</si>
  <si>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</si>
  <si>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</si>
  <si>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</si>
  <si>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</si>
  <si>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</si>
  <si>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</si>
  <si>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</si>
  <si>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</si>
  <si>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</si>
  <si>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</si>
  <si>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</si>
  <si>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0016501569</t>
  </si>
  <si>
    <t>1103190677</t>
  </si>
  <si>
    <t>2105164449</t>
  </si>
  <si>
    <t>0016501570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</si>
  <si>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</si>
  <si>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</si>
  <si>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</si>
  <si>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</si>
  <si>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</si>
  <si>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</si>
  <si>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</si>
  <si>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</si>
  <si>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TG_W</t>
  </si>
  <si>
    <t>730590:GEnx EEC MOISTURE REMOVAL</t>
  </si>
  <si>
    <t>REL CSER MACM MEBS PRC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</si>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</sst>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/>
    <xf numFmtId="164" fontId="1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2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210"/>
  <sheetViews>
    <sheetView tabSelected="1" topLeftCell="A166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3827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7">
        <v>1</v>
      </c>
      <c r="B8" s="28" t="s">
        <v>3828</v>
      </c>
      <c r="C8" s="28" t="s">
        <v>3829</v>
      </c>
      <c r="D8" s="28" t="s">
        <v>3830</v>
      </c>
      <c r="E8" s="28" t="s">
        <v>3831</v>
      </c>
      <c r="F8" s="28" t="s">
        <v>3832</v>
      </c>
      <c r="G8" s="28" t="s">
        <v>273</v>
      </c>
      <c r="H8" s="28" t="s">
        <v>26</v>
      </c>
      <c r="I8" s="29">
        <v>46295</v>
      </c>
      <c r="J8" s="28" t="s">
        <v>52</v>
      </c>
      <c r="K8" s="28" t="s">
        <v>28</v>
      </c>
      <c r="L8" s="28" t="s">
        <v>3833</v>
      </c>
      <c r="M8" s="28" t="s">
        <v>931</v>
      </c>
      <c r="N8" s="28" t="s">
        <v>29</v>
      </c>
      <c r="O8" s="28" t="s">
        <v>3834</v>
      </c>
      <c r="P8" s="28" t="s">
        <v>148</v>
      </c>
      <c r="Q8" s="28" t="s">
        <v>149</v>
      </c>
      <c r="R8" s="28" t="s">
        <v>54</v>
      </c>
      <c r="S8" s="28" t="s">
        <v>32</v>
      </c>
      <c r="T8" s="28" t="s">
        <v>685</v>
      </c>
      <c r="U8" s="28" t="s">
        <v>3835</v>
      </c>
      <c r="V8" s="29">
        <v>46295</v>
      </c>
      <c r="W8" s="29">
        <v>46295</v>
      </c>
      <c r="X8" s="28" t="s">
        <v>3836</v>
      </c>
      <c r="Y8" s="29">
        <v>46295</v>
      </c>
      <c r="Z8" s="28" t="s">
        <v>226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7">
        <f>A8+1</f>
        <v>2</v>
      </c>
      <c r="B9" s="28" t="s">
        <v>3828</v>
      </c>
      <c r="C9" s="28" t="s">
        <v>3829</v>
      </c>
      <c r="D9" s="28" t="s">
        <v>3837</v>
      </c>
      <c r="E9" s="28" t="s">
        <v>3838</v>
      </c>
      <c r="F9" s="28" t="s">
        <v>3839</v>
      </c>
      <c r="G9" s="28" t="s">
        <v>273</v>
      </c>
      <c r="H9" s="28" t="s">
        <v>26</v>
      </c>
      <c r="I9" s="29">
        <v>46295</v>
      </c>
      <c r="J9" s="28" t="s">
        <v>82</v>
      </c>
      <c r="K9" s="28" t="s">
        <v>28</v>
      </c>
      <c r="L9" s="28" t="s">
        <v>3840</v>
      </c>
      <c r="M9" s="28" t="s">
        <v>931</v>
      </c>
      <c r="N9" s="28" t="s">
        <v>29</v>
      </c>
      <c r="O9" s="28" t="s">
        <v>3834</v>
      </c>
      <c r="P9" s="28" t="s">
        <v>41</v>
      </c>
      <c r="Q9" s="28" t="s">
        <v>42</v>
      </c>
      <c r="R9" s="28" t="s">
        <v>26</v>
      </c>
      <c r="S9" s="28" t="s">
        <v>32</v>
      </c>
      <c r="T9" s="28" t="s">
        <v>685</v>
      </c>
      <c r="U9" s="28" t="s">
        <v>3841</v>
      </c>
      <c r="V9" s="29">
        <v>46295</v>
      </c>
      <c r="W9" s="29">
        <v>46295</v>
      </c>
      <c r="X9" s="28" t="s">
        <v>3836</v>
      </c>
      <c r="Y9" s="29">
        <v>46295</v>
      </c>
      <c r="Z9" s="28" t="s">
        <v>226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7">
        <f t="shared" ref="A10:A73" si="0">A9+1</f>
        <v>3</v>
      </c>
      <c r="B10" s="28" t="s">
        <v>3842</v>
      </c>
      <c r="C10" s="28" t="s">
        <v>3829</v>
      </c>
      <c r="D10" s="28" t="s">
        <v>3843</v>
      </c>
      <c r="E10" s="28" t="s">
        <v>3844</v>
      </c>
      <c r="F10" s="28" t="s">
        <v>3845</v>
      </c>
      <c r="G10" s="28" t="s">
        <v>25</v>
      </c>
      <c r="H10" s="28" t="s">
        <v>26</v>
      </c>
      <c r="I10" s="29">
        <v>46272</v>
      </c>
      <c r="J10" s="28" t="s">
        <v>82</v>
      </c>
      <c r="K10" s="28" t="s">
        <v>28</v>
      </c>
      <c r="L10" s="28" t="s">
        <v>3846</v>
      </c>
      <c r="M10" s="28" t="s">
        <v>76</v>
      </c>
      <c r="N10" s="28" t="s">
        <v>29</v>
      </c>
      <c r="O10" s="28" t="s">
        <v>3847</v>
      </c>
      <c r="P10" s="28" t="s">
        <v>148</v>
      </c>
      <c r="Q10" s="28" t="s">
        <v>149</v>
      </c>
      <c r="R10" s="28" t="s">
        <v>337</v>
      </c>
      <c r="S10" s="28" t="s">
        <v>32</v>
      </c>
      <c r="T10" s="28" t="s">
        <v>107</v>
      </c>
      <c r="U10" s="28" t="s">
        <v>3848</v>
      </c>
      <c r="V10" s="29"/>
      <c r="W10" s="29">
        <v>46268</v>
      </c>
      <c r="X10" s="28" t="s">
        <v>3836</v>
      </c>
      <c r="Y10" s="29">
        <v>46268</v>
      </c>
      <c r="Z10" s="28" t="s">
        <v>226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7">
        <f t="shared" si="0"/>
        <v>4</v>
      </c>
      <c r="B11" s="28" t="s">
        <v>3842</v>
      </c>
      <c r="C11" s="28" t="s">
        <v>3829</v>
      </c>
      <c r="D11" s="28" t="s">
        <v>3849</v>
      </c>
      <c r="E11" s="28" t="s">
        <v>3850</v>
      </c>
      <c r="F11" s="28" t="s">
        <v>3851</v>
      </c>
      <c r="G11" s="28" t="s">
        <v>25</v>
      </c>
      <c r="H11" s="28" t="s">
        <v>26</v>
      </c>
      <c r="I11" s="29">
        <v>46272</v>
      </c>
      <c r="J11" s="28" t="s">
        <v>82</v>
      </c>
      <c r="K11" s="28" t="s">
        <v>28</v>
      </c>
      <c r="L11" s="28" t="s">
        <v>3852</v>
      </c>
      <c r="M11" s="28" t="s">
        <v>76</v>
      </c>
      <c r="N11" s="28" t="s">
        <v>29</v>
      </c>
      <c r="O11" s="28" t="s">
        <v>3847</v>
      </c>
      <c r="P11" s="28" t="s">
        <v>148</v>
      </c>
      <c r="Q11" s="28" t="s">
        <v>149</v>
      </c>
      <c r="R11" s="28" t="s">
        <v>49</v>
      </c>
      <c r="S11" s="28" t="s">
        <v>32</v>
      </c>
      <c r="T11" s="28" t="s">
        <v>543</v>
      </c>
      <c r="U11" s="28" t="s">
        <v>3853</v>
      </c>
      <c r="V11" s="29"/>
      <c r="W11" s="29">
        <v>46268</v>
      </c>
      <c r="X11" s="28" t="s">
        <v>3836</v>
      </c>
      <c r="Y11" s="29">
        <v>46268</v>
      </c>
      <c r="Z11" s="28" t="s">
        <v>226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7">
        <f t="shared" si="0"/>
        <v>5</v>
      </c>
      <c r="B12" s="28" t="s">
        <v>3842</v>
      </c>
      <c r="C12" s="28" t="s">
        <v>3829</v>
      </c>
      <c r="D12" s="28" t="s">
        <v>3854</v>
      </c>
      <c r="E12" s="28" t="s">
        <v>3850</v>
      </c>
      <c r="F12" s="28" t="s">
        <v>3851</v>
      </c>
      <c r="G12" s="28" t="s">
        <v>25</v>
      </c>
      <c r="H12" s="28" t="s">
        <v>26</v>
      </c>
      <c r="I12" s="29">
        <v>46272</v>
      </c>
      <c r="J12" s="28" t="s">
        <v>82</v>
      </c>
      <c r="K12" s="28" t="s">
        <v>58</v>
      </c>
      <c r="L12" s="28" t="s">
        <v>3852</v>
      </c>
      <c r="M12" s="28" t="s">
        <v>76</v>
      </c>
      <c r="N12" s="28" t="s">
        <v>29</v>
      </c>
      <c r="O12" s="28" t="s">
        <v>3847</v>
      </c>
      <c r="P12" s="28" t="s">
        <v>148</v>
      </c>
      <c r="Q12" s="28" t="s">
        <v>149</v>
      </c>
      <c r="R12" s="28" t="s">
        <v>49</v>
      </c>
      <c r="S12" s="28" t="s">
        <v>32</v>
      </c>
      <c r="T12" s="28" t="s">
        <v>543</v>
      </c>
      <c r="U12" s="28" t="s">
        <v>3853</v>
      </c>
      <c r="V12" s="29"/>
      <c r="W12" s="29">
        <v>46268</v>
      </c>
      <c r="X12" s="28" t="s">
        <v>3836</v>
      </c>
      <c r="Y12" s="29">
        <v>46268</v>
      </c>
      <c r="Z12" s="28" t="s">
        <v>226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7">
        <f t="shared" si="0"/>
        <v>6</v>
      </c>
      <c r="B13" s="28" t="s">
        <v>3842</v>
      </c>
      <c r="C13" s="28" t="s">
        <v>3829</v>
      </c>
      <c r="D13" s="28" t="s">
        <v>3855</v>
      </c>
      <c r="E13" s="28" t="s">
        <v>3850</v>
      </c>
      <c r="F13" s="28" t="s">
        <v>3851</v>
      </c>
      <c r="G13" s="28" t="s">
        <v>25</v>
      </c>
      <c r="H13" s="28" t="s">
        <v>26</v>
      </c>
      <c r="I13" s="29">
        <v>46272</v>
      </c>
      <c r="J13" s="28" t="s">
        <v>82</v>
      </c>
      <c r="K13" s="28" t="s">
        <v>59</v>
      </c>
      <c r="L13" s="28" t="s">
        <v>3852</v>
      </c>
      <c r="M13" s="28" t="s">
        <v>76</v>
      </c>
      <c r="N13" s="28" t="s">
        <v>29</v>
      </c>
      <c r="O13" s="28" t="s">
        <v>3847</v>
      </c>
      <c r="P13" s="28" t="s">
        <v>148</v>
      </c>
      <c r="Q13" s="28" t="s">
        <v>149</v>
      </c>
      <c r="R13" s="28" t="s">
        <v>49</v>
      </c>
      <c r="S13" s="28" t="s">
        <v>32</v>
      </c>
      <c r="T13" s="28" t="s">
        <v>543</v>
      </c>
      <c r="U13" s="28" t="s">
        <v>3853</v>
      </c>
      <c r="V13" s="29"/>
      <c r="W13" s="29">
        <v>46268</v>
      </c>
      <c r="X13" s="28" t="s">
        <v>3836</v>
      </c>
      <c r="Y13" s="29">
        <v>46268</v>
      </c>
      <c r="Z13" s="28" t="s">
        <v>226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7">
        <f t="shared" si="0"/>
        <v>7</v>
      </c>
      <c r="B14" s="28" t="s">
        <v>3828</v>
      </c>
      <c r="C14" s="28" t="s">
        <v>3829</v>
      </c>
      <c r="D14" s="28" t="s">
        <v>3928</v>
      </c>
      <c r="E14" s="28" t="s">
        <v>3929</v>
      </c>
      <c r="F14" s="28" t="s">
        <v>3930</v>
      </c>
      <c r="G14" s="28" t="s">
        <v>273</v>
      </c>
      <c r="H14" s="28" t="s">
        <v>26</v>
      </c>
      <c r="I14" s="29">
        <v>46296</v>
      </c>
      <c r="J14" s="28" t="s">
        <v>82</v>
      </c>
      <c r="K14" s="28" t="s">
        <v>28</v>
      </c>
      <c r="L14" s="28" t="s">
        <v>3931</v>
      </c>
      <c r="M14" s="28" t="s">
        <v>2904</v>
      </c>
      <c r="N14" s="28" t="s">
        <v>29</v>
      </c>
      <c r="O14" s="28" t="s">
        <v>3834</v>
      </c>
      <c r="P14" s="28" t="s">
        <v>41</v>
      </c>
      <c r="Q14" s="28" t="s">
        <v>42</v>
      </c>
      <c r="R14" s="28" t="s">
        <v>26</v>
      </c>
      <c r="S14" s="28" t="s">
        <v>32</v>
      </c>
      <c r="T14" s="28" t="s">
        <v>685</v>
      </c>
      <c r="U14" s="28" t="s">
        <v>3932</v>
      </c>
      <c r="V14" s="29"/>
      <c r="W14" s="29">
        <v>46295</v>
      </c>
      <c r="X14" s="28" t="s">
        <v>3836</v>
      </c>
      <c r="Y14" s="29">
        <v>46295</v>
      </c>
      <c r="Z14" s="28" t="s">
        <v>226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7">
        <f t="shared" si="0"/>
        <v>8</v>
      </c>
      <c r="B15" s="28" t="s">
        <v>3828</v>
      </c>
      <c r="C15" s="28" t="s">
        <v>3829</v>
      </c>
      <c r="D15" s="28" t="s">
        <v>3856</v>
      </c>
      <c r="E15" s="28" t="s">
        <v>3857</v>
      </c>
      <c r="F15" s="28" t="s">
        <v>3858</v>
      </c>
      <c r="G15" s="28" t="s">
        <v>273</v>
      </c>
      <c r="H15" s="28" t="s">
        <v>26</v>
      </c>
      <c r="I15" s="29">
        <v>46295</v>
      </c>
      <c r="J15" s="28" t="s">
        <v>82</v>
      </c>
      <c r="K15" s="28" t="s">
        <v>28</v>
      </c>
      <c r="L15" s="28" t="s">
        <v>3859</v>
      </c>
      <c r="M15" s="28" t="s">
        <v>189</v>
      </c>
      <c r="N15" s="28" t="s">
        <v>29</v>
      </c>
      <c r="O15" s="28" t="s">
        <v>3834</v>
      </c>
      <c r="P15" s="28" t="s">
        <v>41</v>
      </c>
      <c r="Q15" s="28" t="s">
        <v>42</v>
      </c>
      <c r="R15" s="28" t="s">
        <v>26</v>
      </c>
      <c r="S15" s="28" t="s">
        <v>32</v>
      </c>
      <c r="T15" s="28" t="s">
        <v>685</v>
      </c>
      <c r="U15" s="28" t="s">
        <v>3860</v>
      </c>
      <c r="V15" s="29"/>
      <c r="W15" s="29">
        <v>46295</v>
      </c>
      <c r="X15" s="28" t="s">
        <v>3836</v>
      </c>
      <c r="Y15" s="29">
        <v>46295</v>
      </c>
      <c r="Z15" s="28" t="s">
        <v>226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7">
        <f t="shared" si="0"/>
        <v>9</v>
      </c>
      <c r="B16" s="28" t="s">
        <v>3842</v>
      </c>
      <c r="C16" s="28" t="s">
        <v>3829</v>
      </c>
      <c r="D16" s="28" t="s">
        <v>3861</v>
      </c>
      <c r="E16" s="28" t="s">
        <v>3862</v>
      </c>
      <c r="F16" s="28" t="s">
        <v>3863</v>
      </c>
      <c r="G16" s="28" t="s">
        <v>25</v>
      </c>
      <c r="H16" s="28" t="s">
        <v>26</v>
      </c>
      <c r="I16" s="29">
        <v>46272</v>
      </c>
      <c r="J16" s="28" t="s">
        <v>36</v>
      </c>
      <c r="K16" s="28" t="s">
        <v>28</v>
      </c>
      <c r="L16" s="28" t="s">
        <v>3864</v>
      </c>
      <c r="M16" s="28" t="s">
        <v>1375</v>
      </c>
      <c r="N16" s="28" t="s">
        <v>29</v>
      </c>
      <c r="O16" s="28" t="s">
        <v>3847</v>
      </c>
      <c r="P16" s="28" t="s">
        <v>148</v>
      </c>
      <c r="Q16" s="28" t="s">
        <v>149</v>
      </c>
      <c r="R16" s="28" t="s">
        <v>72</v>
      </c>
      <c r="S16" s="28" t="s">
        <v>32</v>
      </c>
      <c r="T16" s="28" t="s">
        <v>78</v>
      </c>
      <c r="U16" s="28" t="s">
        <v>3865</v>
      </c>
      <c r="V16" s="29"/>
      <c r="W16" s="29">
        <v>46268</v>
      </c>
      <c r="X16" s="28" t="s">
        <v>3836</v>
      </c>
      <c r="Y16" s="29">
        <v>46268</v>
      </c>
      <c r="Z16" s="28" t="s">
        <v>226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7">
        <f t="shared" si="0"/>
        <v>10</v>
      </c>
      <c r="B17" s="28" t="s">
        <v>3828</v>
      </c>
      <c r="C17" s="28" t="s">
        <v>3829</v>
      </c>
      <c r="D17" s="28" t="s">
        <v>3866</v>
      </c>
      <c r="E17" s="28" t="s">
        <v>3867</v>
      </c>
      <c r="F17" s="28" t="s">
        <v>3868</v>
      </c>
      <c r="G17" s="28" t="s">
        <v>25</v>
      </c>
      <c r="H17" s="28" t="s">
        <v>26</v>
      </c>
      <c r="I17" s="29">
        <v>46296</v>
      </c>
      <c r="J17" s="28" t="s">
        <v>82</v>
      </c>
      <c r="K17" s="28" t="s">
        <v>28</v>
      </c>
      <c r="L17" s="28" t="s">
        <v>3869</v>
      </c>
      <c r="M17" s="28" t="s">
        <v>1398</v>
      </c>
      <c r="N17" s="28" t="s">
        <v>29</v>
      </c>
      <c r="O17" s="28" t="s">
        <v>3847</v>
      </c>
      <c r="P17" s="28" t="s">
        <v>148</v>
      </c>
      <c r="Q17" s="28" t="s">
        <v>149</v>
      </c>
      <c r="R17" s="28" t="s">
        <v>126</v>
      </c>
      <c r="S17" s="28" t="s">
        <v>32</v>
      </c>
      <c r="T17" s="28" t="s">
        <v>685</v>
      </c>
      <c r="U17" s="28" t="s">
        <v>3870</v>
      </c>
      <c r="V17" s="29"/>
      <c r="W17" s="29">
        <v>46295</v>
      </c>
      <c r="X17" s="28" t="s">
        <v>3836</v>
      </c>
      <c r="Y17" s="29">
        <v>46295</v>
      </c>
      <c r="Z17" s="28" t="s">
        <v>226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7">
        <f t="shared" si="0"/>
        <v>11</v>
      </c>
      <c r="B18" s="28" t="s">
        <v>3842</v>
      </c>
      <c r="C18" s="28" t="s">
        <v>3829</v>
      </c>
      <c r="D18" s="28" t="s">
        <v>3871</v>
      </c>
      <c r="E18" s="28" t="s">
        <v>3872</v>
      </c>
      <c r="F18" s="28" t="s">
        <v>3872</v>
      </c>
      <c r="G18" s="28" t="s">
        <v>194</v>
      </c>
      <c r="H18" s="28" t="s">
        <v>26</v>
      </c>
      <c r="I18" s="29">
        <v>46287</v>
      </c>
      <c r="J18" s="28" t="s">
        <v>52</v>
      </c>
      <c r="K18" s="28" t="s">
        <v>28</v>
      </c>
      <c r="L18" s="28" t="s">
        <v>3873</v>
      </c>
      <c r="M18" s="28" t="s">
        <v>1401</v>
      </c>
      <c r="N18" s="28" t="s">
        <v>29</v>
      </c>
      <c r="O18" s="28" t="s">
        <v>3847</v>
      </c>
      <c r="P18" s="28" t="s">
        <v>26</v>
      </c>
      <c r="Q18" s="28" t="s">
        <v>26</v>
      </c>
      <c r="R18" s="28" t="s">
        <v>26</v>
      </c>
      <c r="S18" s="28" t="s">
        <v>52</v>
      </c>
      <c r="T18" s="28" t="s">
        <v>195</v>
      </c>
      <c r="U18" s="28" t="s">
        <v>26</v>
      </c>
      <c r="V18" s="29"/>
      <c r="W18" s="29">
        <v>46023</v>
      </c>
      <c r="X18" s="28" t="s">
        <v>3874</v>
      </c>
      <c r="Y18" s="29">
        <v>46387</v>
      </c>
      <c r="Z18" s="28" t="s">
        <v>3875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7">
        <f t="shared" si="0"/>
        <v>12</v>
      </c>
      <c r="B19" s="28" t="s">
        <v>4001</v>
      </c>
      <c r="C19" s="28" t="s">
        <v>4002</v>
      </c>
      <c r="D19" s="28" t="s">
        <v>4003</v>
      </c>
      <c r="E19" s="28" t="s">
        <v>4004</v>
      </c>
      <c r="F19" s="28" t="s">
        <v>4005</v>
      </c>
      <c r="G19" s="28" t="s">
        <v>25</v>
      </c>
      <c r="H19" s="28" t="s">
        <v>26</v>
      </c>
      <c r="I19" s="29">
        <v>46295</v>
      </c>
      <c r="J19" s="28" t="s">
        <v>4006</v>
      </c>
      <c r="K19" s="28" t="s">
        <v>28</v>
      </c>
      <c r="L19" s="28" t="s">
        <v>4007</v>
      </c>
      <c r="M19" s="28" t="s">
        <v>1425</v>
      </c>
      <c r="N19" s="28" t="s">
        <v>29</v>
      </c>
      <c r="O19" s="28" t="s">
        <v>4008</v>
      </c>
      <c r="P19" s="28" t="s">
        <v>148</v>
      </c>
      <c r="Q19" s="28" t="s">
        <v>149</v>
      </c>
      <c r="R19" s="28" t="s">
        <v>26</v>
      </c>
      <c r="S19" s="28" t="s">
        <v>255</v>
      </c>
      <c r="T19" s="28" t="s">
        <v>195</v>
      </c>
      <c r="U19" s="28" t="s">
        <v>4009</v>
      </c>
      <c r="V19" s="29">
        <v>46295</v>
      </c>
      <c r="W19" s="29">
        <v>46295</v>
      </c>
      <c r="X19" s="28" t="s">
        <v>3836</v>
      </c>
      <c r="Y19" s="29">
        <v>46295</v>
      </c>
      <c r="Z19" s="28" t="s">
        <v>226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27">
        <f t="shared" si="0"/>
        <v>13</v>
      </c>
      <c r="B20" s="28" t="s">
        <v>4001</v>
      </c>
      <c r="C20" s="28" t="s">
        <v>4002</v>
      </c>
      <c r="D20" s="28" t="s">
        <v>4010</v>
      </c>
      <c r="E20" s="28" t="s">
        <v>4011</v>
      </c>
      <c r="F20" s="28" t="s">
        <v>4012</v>
      </c>
      <c r="G20" s="28" t="s">
        <v>25</v>
      </c>
      <c r="H20" s="28" t="s">
        <v>26</v>
      </c>
      <c r="I20" s="29">
        <v>46295</v>
      </c>
      <c r="J20" s="28" t="s">
        <v>4013</v>
      </c>
      <c r="K20" s="28" t="s">
        <v>28</v>
      </c>
      <c r="L20" s="28" t="s">
        <v>4014</v>
      </c>
      <c r="M20" s="28" t="s">
        <v>1425</v>
      </c>
      <c r="N20" s="28" t="s">
        <v>29</v>
      </c>
      <c r="O20" s="28" t="s">
        <v>4008</v>
      </c>
      <c r="P20" s="28" t="s">
        <v>26</v>
      </c>
      <c r="Q20" s="28" t="s">
        <v>26</v>
      </c>
      <c r="R20" s="28" t="s">
        <v>121</v>
      </c>
      <c r="S20" s="28" t="s">
        <v>255</v>
      </c>
      <c r="T20" s="28" t="s">
        <v>376</v>
      </c>
      <c r="U20" s="28" t="s">
        <v>4015</v>
      </c>
      <c r="V20" s="29">
        <v>46295</v>
      </c>
      <c r="W20" s="29">
        <v>46295</v>
      </c>
      <c r="X20" s="28" t="s">
        <v>3836</v>
      </c>
      <c r="Y20" s="29">
        <v>46295</v>
      </c>
      <c r="Z20" s="28" t="s">
        <v>226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27">
        <f t="shared" si="0"/>
        <v>14</v>
      </c>
      <c r="B21" s="28" t="s">
        <v>4001</v>
      </c>
      <c r="C21" s="28" t="s">
        <v>4002</v>
      </c>
      <c r="D21" s="28" t="s">
        <v>4016</v>
      </c>
      <c r="E21" s="28" t="s">
        <v>4017</v>
      </c>
      <c r="F21" s="28" t="s">
        <v>4018</v>
      </c>
      <c r="G21" s="28" t="s">
        <v>25</v>
      </c>
      <c r="H21" s="28" t="s">
        <v>26</v>
      </c>
      <c r="I21" s="29">
        <v>46295</v>
      </c>
      <c r="J21" s="28" t="s">
        <v>4019</v>
      </c>
      <c r="K21" s="28" t="s">
        <v>28</v>
      </c>
      <c r="L21" s="28" t="s">
        <v>4020</v>
      </c>
      <c r="M21" s="28" t="s">
        <v>1425</v>
      </c>
      <c r="N21" s="28" t="s">
        <v>29</v>
      </c>
      <c r="O21" s="28" t="s">
        <v>4008</v>
      </c>
      <c r="P21" s="28" t="s">
        <v>148</v>
      </c>
      <c r="Q21" s="28" t="s">
        <v>149</v>
      </c>
      <c r="R21" s="28" t="s">
        <v>88</v>
      </c>
      <c r="S21" s="28" t="s">
        <v>255</v>
      </c>
      <c r="T21" s="28" t="s">
        <v>195</v>
      </c>
      <c r="U21" s="28" t="s">
        <v>4021</v>
      </c>
      <c r="V21" s="29">
        <v>46295</v>
      </c>
      <c r="W21" s="29">
        <v>46295</v>
      </c>
      <c r="X21" s="28" t="s">
        <v>3836</v>
      </c>
      <c r="Y21" s="29">
        <v>46295</v>
      </c>
      <c r="Z21" s="28" t="s">
        <v>226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27">
        <f t="shared" si="0"/>
        <v>15</v>
      </c>
      <c r="B22" s="28" t="s">
        <v>4001</v>
      </c>
      <c r="C22" s="28" t="s">
        <v>4002</v>
      </c>
      <c r="D22" s="28" t="s">
        <v>4022</v>
      </c>
      <c r="E22" s="28" t="s">
        <v>4023</v>
      </c>
      <c r="F22" s="28" t="s">
        <v>4024</v>
      </c>
      <c r="G22" s="28" t="s">
        <v>25</v>
      </c>
      <c r="H22" s="28" t="s">
        <v>26</v>
      </c>
      <c r="I22" s="29">
        <v>46295</v>
      </c>
      <c r="J22" s="28" t="s">
        <v>4019</v>
      </c>
      <c r="K22" s="28" t="s">
        <v>28</v>
      </c>
      <c r="L22" s="28" t="s">
        <v>4025</v>
      </c>
      <c r="M22" s="28" t="s">
        <v>1425</v>
      </c>
      <c r="N22" s="28" t="s">
        <v>29</v>
      </c>
      <c r="O22" s="28" t="s">
        <v>4008</v>
      </c>
      <c r="P22" s="28" t="s">
        <v>148</v>
      </c>
      <c r="Q22" s="28" t="s">
        <v>149</v>
      </c>
      <c r="R22" s="28" t="s">
        <v>26</v>
      </c>
      <c r="S22" s="28" t="s">
        <v>255</v>
      </c>
      <c r="T22" s="28" t="s">
        <v>195</v>
      </c>
      <c r="U22" s="28" t="s">
        <v>4026</v>
      </c>
      <c r="V22" s="29">
        <v>46295</v>
      </c>
      <c r="W22" s="29">
        <v>46295</v>
      </c>
      <c r="X22" s="28" t="s">
        <v>3836</v>
      </c>
      <c r="Y22" s="29">
        <v>46295</v>
      </c>
      <c r="Z22" s="28" t="s">
        <v>226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27">
        <f t="shared" si="0"/>
        <v>16</v>
      </c>
      <c r="B23" s="28" t="s">
        <v>3828</v>
      </c>
      <c r="C23" s="28" t="s">
        <v>3829</v>
      </c>
      <c r="D23" s="28" t="s">
        <v>3876</v>
      </c>
      <c r="E23" s="28" t="s">
        <v>3877</v>
      </c>
      <c r="F23" s="28" t="s">
        <v>3878</v>
      </c>
      <c r="G23" s="28" t="s">
        <v>25</v>
      </c>
      <c r="H23" s="28" t="s">
        <v>26</v>
      </c>
      <c r="I23" s="29">
        <v>46228</v>
      </c>
      <c r="J23" s="28" t="s">
        <v>52</v>
      </c>
      <c r="K23" s="28" t="s">
        <v>28</v>
      </c>
      <c r="L23" s="28" t="s">
        <v>3879</v>
      </c>
      <c r="M23" s="28" t="s">
        <v>1516</v>
      </c>
      <c r="N23" s="28" t="s">
        <v>29</v>
      </c>
      <c r="O23" s="28" t="s">
        <v>3847</v>
      </c>
      <c r="P23" s="28" t="s">
        <v>148</v>
      </c>
      <c r="Q23" s="28" t="s">
        <v>149</v>
      </c>
      <c r="R23" s="28" t="s">
        <v>3880</v>
      </c>
      <c r="S23" s="28" t="s">
        <v>32</v>
      </c>
      <c r="T23" s="28" t="s">
        <v>195</v>
      </c>
      <c r="U23" s="28" t="s">
        <v>3881</v>
      </c>
      <c r="V23" s="29">
        <v>46220</v>
      </c>
      <c r="W23" s="29">
        <v>46295</v>
      </c>
      <c r="X23" s="28" t="s">
        <v>3836</v>
      </c>
      <c r="Y23" s="29">
        <v>46295</v>
      </c>
      <c r="Z23" s="28" t="s">
        <v>226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27">
        <f t="shared" si="0"/>
        <v>17</v>
      </c>
      <c r="B24" s="28" t="s">
        <v>3828</v>
      </c>
      <c r="C24" s="28" t="s">
        <v>3829</v>
      </c>
      <c r="D24" s="28" t="s">
        <v>3882</v>
      </c>
      <c r="E24" s="28" t="s">
        <v>3883</v>
      </c>
      <c r="F24" s="28" t="s">
        <v>3884</v>
      </c>
      <c r="G24" s="28" t="s">
        <v>273</v>
      </c>
      <c r="H24" s="28" t="s">
        <v>26</v>
      </c>
      <c r="I24" s="29">
        <v>46296</v>
      </c>
      <c r="J24" s="28" t="s">
        <v>82</v>
      </c>
      <c r="K24" s="28" t="s">
        <v>28</v>
      </c>
      <c r="L24" s="28" t="s">
        <v>3885</v>
      </c>
      <c r="M24" s="28" t="s">
        <v>1545</v>
      </c>
      <c r="N24" s="28" t="s">
        <v>29</v>
      </c>
      <c r="O24" s="28" t="s">
        <v>3834</v>
      </c>
      <c r="P24" s="28" t="s">
        <v>41</v>
      </c>
      <c r="Q24" s="28" t="s">
        <v>42</v>
      </c>
      <c r="R24" s="28" t="s">
        <v>26</v>
      </c>
      <c r="S24" s="28" t="s">
        <v>32</v>
      </c>
      <c r="T24" s="28" t="s">
        <v>685</v>
      </c>
      <c r="U24" s="28" t="s">
        <v>3886</v>
      </c>
      <c r="V24" s="29">
        <v>46296</v>
      </c>
      <c r="W24" s="29">
        <v>46295</v>
      </c>
      <c r="X24" s="28" t="s">
        <v>3836</v>
      </c>
      <c r="Y24" s="29">
        <v>46295</v>
      </c>
      <c r="Z24" s="28" t="s">
        <v>226</v>
      </c>
      <c r="AA24" s="17" t="e">
        <f>VLOOKUP(F24,[1]Wait!$H$225:$I$260,2,0)</f>
        <v>#N/A</v>
      </c>
      <c r="AB24" s="5"/>
      <c r="AC24" s="6"/>
    </row>
    <row r="25" spans="1:29" x14ac:dyDescent="0.25">
      <c r="A25" s="27">
        <f t="shared" si="0"/>
        <v>18</v>
      </c>
      <c r="B25" s="28" t="s">
        <v>3842</v>
      </c>
      <c r="C25" s="28" t="s">
        <v>3829</v>
      </c>
      <c r="D25" s="28" t="s">
        <v>3887</v>
      </c>
      <c r="E25" s="28" t="s">
        <v>3888</v>
      </c>
      <c r="F25" s="28" t="s">
        <v>3889</v>
      </c>
      <c r="G25" s="28" t="s">
        <v>25</v>
      </c>
      <c r="H25" s="28" t="s">
        <v>26</v>
      </c>
      <c r="I25" s="29">
        <v>46272</v>
      </c>
      <c r="J25" s="28" t="s">
        <v>47</v>
      </c>
      <c r="K25" s="28" t="s">
        <v>28</v>
      </c>
      <c r="L25" s="28" t="s">
        <v>3890</v>
      </c>
      <c r="M25" s="28" t="s">
        <v>2905</v>
      </c>
      <c r="N25" s="28" t="s">
        <v>29</v>
      </c>
      <c r="O25" s="28" t="s">
        <v>3847</v>
      </c>
      <c r="P25" s="28" t="s">
        <v>30</v>
      </c>
      <c r="Q25" s="28" t="s">
        <v>31</v>
      </c>
      <c r="R25" s="28" t="s">
        <v>3891</v>
      </c>
      <c r="S25" s="28" t="s">
        <v>32</v>
      </c>
      <c r="T25" s="28" t="s">
        <v>66</v>
      </c>
      <c r="U25" s="28" t="s">
        <v>3892</v>
      </c>
      <c r="V25" s="29">
        <v>46272</v>
      </c>
      <c r="W25" s="29">
        <v>46268</v>
      </c>
      <c r="X25" s="28" t="s">
        <v>3836</v>
      </c>
      <c r="Y25" s="29">
        <v>46268</v>
      </c>
      <c r="Z25" s="28" t="s">
        <v>226</v>
      </c>
      <c r="AA25" s="17" t="e">
        <f>VLOOKUP(F25,[1]Wait!$H$225:$I$260,2,0)</f>
        <v>#N/A</v>
      </c>
    </row>
    <row r="26" spans="1:29" x14ac:dyDescent="0.25">
      <c r="A26" s="9">
        <f t="shared" si="0"/>
        <v>19</v>
      </c>
      <c r="B26" s="19" t="s">
        <v>3893</v>
      </c>
      <c r="C26" s="20" t="s">
        <v>3829</v>
      </c>
      <c r="D26" s="20" t="s">
        <v>3894</v>
      </c>
      <c r="E26" s="20" t="s">
        <v>3895</v>
      </c>
      <c r="F26" s="20" t="s">
        <v>3895</v>
      </c>
      <c r="G26" s="20" t="s">
        <v>194</v>
      </c>
      <c r="H26" s="20" t="s">
        <v>26</v>
      </c>
      <c r="I26" s="21">
        <v>46290</v>
      </c>
      <c r="J26" s="20" t="s">
        <v>82</v>
      </c>
      <c r="K26" s="20" t="s">
        <v>28</v>
      </c>
      <c r="L26" s="20" t="s">
        <v>3896</v>
      </c>
      <c r="M26" s="20" t="s">
        <v>1673</v>
      </c>
      <c r="N26" s="22" t="s">
        <v>250</v>
      </c>
      <c r="O26" s="20" t="s">
        <v>3847</v>
      </c>
      <c r="P26" s="20" t="s">
        <v>26</v>
      </c>
      <c r="Q26" s="20" t="s">
        <v>26</v>
      </c>
      <c r="R26" s="20" t="s">
        <v>26</v>
      </c>
      <c r="S26" s="20" t="s">
        <v>32</v>
      </c>
      <c r="T26" s="20" t="s">
        <v>195</v>
      </c>
      <c r="U26" s="20" t="s">
        <v>26</v>
      </c>
      <c r="V26" s="21">
        <v>46177</v>
      </c>
      <c r="W26" s="21">
        <v>46290</v>
      </c>
      <c r="X26" s="20" t="s">
        <v>3836</v>
      </c>
      <c r="Y26" s="21">
        <v>46290</v>
      </c>
      <c r="Z26" s="20" t="s">
        <v>226</v>
      </c>
      <c r="AA26" s="17" t="e">
        <f>VLOOKUP(F26,[1]Wait!$H$225:$I$260,2,0)</f>
        <v>#N/A</v>
      </c>
    </row>
    <row r="27" spans="1:29" x14ac:dyDescent="0.25">
      <c r="A27" s="9">
        <f t="shared" si="0"/>
        <v>20</v>
      </c>
      <c r="B27" s="19" t="s">
        <v>3893</v>
      </c>
      <c r="C27" s="20" t="s">
        <v>3829</v>
      </c>
      <c r="D27" s="20" t="s">
        <v>3897</v>
      </c>
      <c r="E27" s="20" t="s">
        <v>3895</v>
      </c>
      <c r="F27" s="20" t="s">
        <v>3895</v>
      </c>
      <c r="G27" s="20" t="s">
        <v>194</v>
      </c>
      <c r="H27" s="20" t="s">
        <v>26</v>
      </c>
      <c r="I27" s="21">
        <v>46290</v>
      </c>
      <c r="J27" s="20" t="s">
        <v>82</v>
      </c>
      <c r="K27" s="20" t="s">
        <v>58</v>
      </c>
      <c r="L27" s="20" t="s">
        <v>3896</v>
      </c>
      <c r="M27" s="20" t="s">
        <v>1673</v>
      </c>
      <c r="N27" s="22" t="s">
        <v>250</v>
      </c>
      <c r="O27" s="20" t="s">
        <v>3847</v>
      </c>
      <c r="P27" s="20" t="s">
        <v>26</v>
      </c>
      <c r="Q27" s="20" t="s">
        <v>26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/>
      <c r="W27" s="21">
        <v>46290</v>
      </c>
      <c r="X27" s="20" t="s">
        <v>3836</v>
      </c>
      <c r="Y27" s="21">
        <v>46290</v>
      </c>
      <c r="Z27" s="20" t="s">
        <v>226</v>
      </c>
      <c r="AA27" s="17" t="e">
        <f>VLOOKUP(F27,[1]Wait!$H$225:$I$260,2,0)</f>
        <v>#N/A</v>
      </c>
    </row>
    <row r="28" spans="1:29" x14ac:dyDescent="0.25">
      <c r="A28" s="9">
        <f t="shared" si="0"/>
        <v>21</v>
      </c>
      <c r="B28" s="19" t="s">
        <v>3893</v>
      </c>
      <c r="C28" s="20" t="s">
        <v>3829</v>
      </c>
      <c r="D28" s="20" t="s">
        <v>3898</v>
      </c>
      <c r="E28" s="20" t="s">
        <v>3899</v>
      </c>
      <c r="F28" s="20" t="s">
        <v>3899</v>
      </c>
      <c r="G28" s="20" t="s">
        <v>194</v>
      </c>
      <c r="H28" s="20" t="s">
        <v>26</v>
      </c>
      <c r="I28" s="21">
        <v>46290</v>
      </c>
      <c r="J28" s="20" t="s">
        <v>82</v>
      </c>
      <c r="K28" s="20" t="s">
        <v>28</v>
      </c>
      <c r="L28" s="20" t="s">
        <v>3900</v>
      </c>
      <c r="M28" s="20" t="s">
        <v>259</v>
      </c>
      <c r="N28" s="22" t="s">
        <v>250</v>
      </c>
      <c r="O28" s="20" t="s">
        <v>3847</v>
      </c>
      <c r="P28" s="20" t="s">
        <v>26</v>
      </c>
      <c r="Q28" s="20" t="s">
        <v>26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/>
      <c r="W28" s="21">
        <v>46290</v>
      </c>
      <c r="X28" s="20" t="s">
        <v>3836</v>
      </c>
      <c r="Y28" s="21">
        <v>46290</v>
      </c>
      <c r="Z28" s="20" t="s">
        <v>226</v>
      </c>
      <c r="AA28" s="17" t="e">
        <f>VLOOKUP(F28,[1]Wait!$H$225:$I$260,2,0)</f>
        <v>#N/A</v>
      </c>
    </row>
    <row r="29" spans="1:29" x14ac:dyDescent="0.25">
      <c r="A29" s="9">
        <f t="shared" si="0"/>
        <v>22</v>
      </c>
      <c r="B29" s="19" t="s">
        <v>3893</v>
      </c>
      <c r="C29" s="20" t="s">
        <v>3829</v>
      </c>
      <c r="D29" s="20" t="s">
        <v>3901</v>
      </c>
      <c r="E29" s="20" t="s">
        <v>3902</v>
      </c>
      <c r="F29" s="20" t="s">
        <v>3902</v>
      </c>
      <c r="G29" s="20" t="s">
        <v>194</v>
      </c>
      <c r="H29" s="20" t="s">
        <v>26</v>
      </c>
      <c r="I29" s="21">
        <v>46290</v>
      </c>
      <c r="J29" s="20" t="s">
        <v>82</v>
      </c>
      <c r="K29" s="20" t="s">
        <v>28</v>
      </c>
      <c r="L29" s="20" t="s">
        <v>3903</v>
      </c>
      <c r="M29" s="20" t="s">
        <v>259</v>
      </c>
      <c r="N29" s="22" t="s">
        <v>250</v>
      </c>
      <c r="O29" s="20" t="s">
        <v>3847</v>
      </c>
      <c r="P29" s="20" t="s">
        <v>26</v>
      </c>
      <c r="Q29" s="20" t="s">
        <v>26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46290</v>
      </c>
      <c r="X29" s="20" t="s">
        <v>3836</v>
      </c>
      <c r="Y29" s="21">
        <v>46290</v>
      </c>
      <c r="Z29" s="20" t="s">
        <v>226</v>
      </c>
      <c r="AA29" s="17" t="e">
        <f>VLOOKUP(F29,[1]Wait!$H$225:$I$260,2,0)</f>
        <v>#N/A</v>
      </c>
    </row>
    <row r="30" spans="1:29" x14ac:dyDescent="0.25">
      <c r="A30" s="9">
        <f t="shared" si="0"/>
        <v>23</v>
      </c>
      <c r="B30" s="19" t="s">
        <v>3893</v>
      </c>
      <c r="C30" s="20" t="s">
        <v>3829</v>
      </c>
      <c r="D30" s="20" t="s">
        <v>3904</v>
      </c>
      <c r="E30" s="20" t="s">
        <v>3905</v>
      </c>
      <c r="F30" s="20" t="s">
        <v>3905</v>
      </c>
      <c r="G30" s="20" t="s">
        <v>194</v>
      </c>
      <c r="H30" s="20" t="s">
        <v>26</v>
      </c>
      <c r="I30" s="21">
        <v>46290</v>
      </c>
      <c r="J30" s="20" t="s">
        <v>82</v>
      </c>
      <c r="K30" s="20" t="s">
        <v>28</v>
      </c>
      <c r="L30" s="20" t="s">
        <v>3906</v>
      </c>
      <c r="M30" s="20" t="s">
        <v>259</v>
      </c>
      <c r="N30" s="22" t="s">
        <v>250</v>
      </c>
      <c r="O30" s="20" t="s">
        <v>3847</v>
      </c>
      <c r="P30" s="20" t="s">
        <v>26</v>
      </c>
      <c r="Q30" s="20" t="s">
        <v>26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/>
      <c r="W30" s="21">
        <v>46290</v>
      </c>
      <c r="X30" s="20" t="s">
        <v>3836</v>
      </c>
      <c r="Y30" s="21">
        <v>46290</v>
      </c>
      <c r="Z30" s="20" t="s">
        <v>226</v>
      </c>
      <c r="AA30" s="17" t="e">
        <f>VLOOKUP(F30,[1]Wait!$H$225:$I$260,2,0)</f>
        <v>#N/A</v>
      </c>
    </row>
    <row r="31" spans="1:29" x14ac:dyDescent="0.25">
      <c r="A31" s="9">
        <f t="shared" si="0"/>
        <v>24</v>
      </c>
      <c r="B31" s="19" t="s">
        <v>3893</v>
      </c>
      <c r="C31" s="20" t="s">
        <v>3829</v>
      </c>
      <c r="D31" s="20" t="s">
        <v>3907</v>
      </c>
      <c r="E31" s="20" t="s">
        <v>3908</v>
      </c>
      <c r="F31" s="20" t="s">
        <v>3908</v>
      </c>
      <c r="G31" s="20" t="s">
        <v>194</v>
      </c>
      <c r="H31" s="20" t="s">
        <v>26</v>
      </c>
      <c r="I31" s="21">
        <v>46290</v>
      </c>
      <c r="J31" s="20" t="s">
        <v>82</v>
      </c>
      <c r="K31" s="20" t="s">
        <v>28</v>
      </c>
      <c r="L31" s="20" t="s">
        <v>3909</v>
      </c>
      <c r="M31" s="20" t="s">
        <v>259</v>
      </c>
      <c r="N31" s="22" t="s">
        <v>250</v>
      </c>
      <c r="O31" s="20" t="s">
        <v>3847</v>
      </c>
      <c r="P31" s="20" t="s">
        <v>26</v>
      </c>
      <c r="Q31" s="20" t="s">
        <v>26</v>
      </c>
      <c r="R31" s="20" t="s">
        <v>26</v>
      </c>
      <c r="S31" s="20" t="s">
        <v>32</v>
      </c>
      <c r="T31" s="20" t="s">
        <v>195</v>
      </c>
      <c r="U31" s="20" t="s">
        <v>26</v>
      </c>
      <c r="V31" s="21"/>
      <c r="W31" s="21">
        <v>46290</v>
      </c>
      <c r="X31" s="20" t="s">
        <v>3836</v>
      </c>
      <c r="Y31" s="21">
        <v>46290</v>
      </c>
      <c r="Z31" s="20" t="s">
        <v>226</v>
      </c>
      <c r="AA31" s="17" t="e">
        <f>VLOOKUP(F31,[1]Wait!$H$225:$I$260,2,0)</f>
        <v>#N/A</v>
      </c>
    </row>
    <row r="32" spans="1:29" x14ac:dyDescent="0.25">
      <c r="A32" s="9">
        <f t="shared" si="0"/>
        <v>25</v>
      </c>
      <c r="B32" s="19" t="s">
        <v>3893</v>
      </c>
      <c r="C32" s="20" t="s">
        <v>3829</v>
      </c>
      <c r="D32" s="20" t="s">
        <v>3910</v>
      </c>
      <c r="E32" s="20" t="s">
        <v>3911</v>
      </c>
      <c r="F32" s="20" t="s">
        <v>3911</v>
      </c>
      <c r="G32" s="20" t="s">
        <v>194</v>
      </c>
      <c r="H32" s="20" t="s">
        <v>26</v>
      </c>
      <c r="I32" s="21">
        <v>46290</v>
      </c>
      <c r="J32" s="20" t="s">
        <v>82</v>
      </c>
      <c r="K32" s="20" t="s">
        <v>28</v>
      </c>
      <c r="L32" s="20" t="s">
        <v>3912</v>
      </c>
      <c r="M32" s="20" t="s">
        <v>259</v>
      </c>
      <c r="N32" s="22" t="s">
        <v>250</v>
      </c>
      <c r="O32" s="20" t="s">
        <v>3847</v>
      </c>
      <c r="P32" s="20" t="s">
        <v>26</v>
      </c>
      <c r="Q32" s="20" t="s">
        <v>26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/>
      <c r="W32" s="21">
        <v>46290</v>
      </c>
      <c r="X32" s="20" t="s">
        <v>3836</v>
      </c>
      <c r="Y32" s="21">
        <v>46290</v>
      </c>
      <c r="Z32" s="20" t="s">
        <v>226</v>
      </c>
      <c r="AA32" s="17" t="e">
        <f>VLOOKUP(F32,[1]Wait!$H$225:$I$260,2,0)</f>
        <v>#N/A</v>
      </c>
    </row>
    <row r="33" spans="1:27" x14ac:dyDescent="0.25">
      <c r="A33" s="9">
        <f t="shared" si="0"/>
        <v>26</v>
      </c>
      <c r="B33" s="19" t="s">
        <v>4027</v>
      </c>
      <c r="C33" s="20" t="s">
        <v>3829</v>
      </c>
      <c r="D33" s="20" t="s">
        <v>4028</v>
      </c>
      <c r="E33" s="20" t="s">
        <v>26</v>
      </c>
      <c r="F33" s="20" t="s">
        <v>4029</v>
      </c>
      <c r="G33" s="20" t="s">
        <v>25</v>
      </c>
      <c r="H33" s="20" t="s">
        <v>26</v>
      </c>
      <c r="I33" s="21">
        <v>46299</v>
      </c>
      <c r="J33" s="20" t="s">
        <v>52</v>
      </c>
      <c r="K33" s="20" t="s">
        <v>28</v>
      </c>
      <c r="L33" s="20" t="s">
        <v>4030</v>
      </c>
      <c r="M33" s="20" t="s">
        <v>259</v>
      </c>
      <c r="N33" s="22" t="s">
        <v>250</v>
      </c>
      <c r="O33" s="20" t="s">
        <v>3847</v>
      </c>
      <c r="P33" s="20" t="s">
        <v>26</v>
      </c>
      <c r="Q33" s="20" t="s">
        <v>26</v>
      </c>
      <c r="R33" s="20" t="s">
        <v>26</v>
      </c>
      <c r="S33" s="20" t="s">
        <v>32</v>
      </c>
      <c r="T33" s="20" t="s">
        <v>195</v>
      </c>
      <c r="U33" s="20" t="s">
        <v>4031</v>
      </c>
      <c r="V33" s="21"/>
      <c r="W33" s="21">
        <v>46299</v>
      </c>
      <c r="X33" s="20" t="s">
        <v>3836</v>
      </c>
      <c r="Y33" s="21">
        <v>46300</v>
      </c>
      <c r="Z33" s="20" t="s">
        <v>4032</v>
      </c>
      <c r="AA33" s="17" t="e">
        <f>VLOOKUP(F33,[1]Wait!$H$225:$I$260,2,0)</f>
        <v>#N/A</v>
      </c>
    </row>
    <row r="34" spans="1:27" x14ac:dyDescent="0.25">
      <c r="A34" s="9">
        <f t="shared" si="0"/>
        <v>27</v>
      </c>
      <c r="B34" s="19" t="s">
        <v>4027</v>
      </c>
      <c r="C34" s="20" t="s">
        <v>3829</v>
      </c>
      <c r="D34" s="20" t="s">
        <v>4033</v>
      </c>
      <c r="E34" s="20" t="s">
        <v>26</v>
      </c>
      <c r="F34" s="20" t="s">
        <v>4029</v>
      </c>
      <c r="G34" s="20" t="s">
        <v>25</v>
      </c>
      <c r="H34" s="20" t="s">
        <v>26</v>
      </c>
      <c r="I34" s="21">
        <v>46299</v>
      </c>
      <c r="J34" s="20" t="s">
        <v>52</v>
      </c>
      <c r="K34" s="20" t="s">
        <v>58</v>
      </c>
      <c r="L34" s="20" t="s">
        <v>4030</v>
      </c>
      <c r="M34" s="20" t="s">
        <v>259</v>
      </c>
      <c r="N34" s="22" t="s">
        <v>250</v>
      </c>
      <c r="O34" s="20" t="s">
        <v>3847</v>
      </c>
      <c r="P34" s="20" t="s">
        <v>26</v>
      </c>
      <c r="Q34" s="20" t="s">
        <v>26</v>
      </c>
      <c r="R34" s="20" t="s">
        <v>26</v>
      </c>
      <c r="S34" s="20" t="s">
        <v>32</v>
      </c>
      <c r="T34" s="20" t="s">
        <v>195</v>
      </c>
      <c r="U34" s="20" t="s">
        <v>4031</v>
      </c>
      <c r="V34" s="21"/>
      <c r="W34" s="21">
        <v>46299</v>
      </c>
      <c r="X34" s="20" t="s">
        <v>3836</v>
      </c>
      <c r="Y34" s="21">
        <v>46300</v>
      </c>
      <c r="Z34" s="20" t="s">
        <v>4032</v>
      </c>
      <c r="AA34" s="17" t="e">
        <f>VLOOKUP(F34,[1]Wait!$H$225:$I$260,2,0)</f>
        <v>#N/A</v>
      </c>
    </row>
    <row r="35" spans="1:27" x14ac:dyDescent="0.25">
      <c r="A35" s="9">
        <f t="shared" si="0"/>
        <v>28</v>
      </c>
      <c r="B35" s="19" t="s">
        <v>4027</v>
      </c>
      <c r="C35" s="20" t="s">
        <v>3829</v>
      </c>
      <c r="D35" s="20" t="s">
        <v>4034</v>
      </c>
      <c r="E35" s="20" t="s">
        <v>26</v>
      </c>
      <c r="F35" s="20" t="s">
        <v>4035</v>
      </c>
      <c r="G35" s="20" t="s">
        <v>25</v>
      </c>
      <c r="H35" s="20" t="s">
        <v>26</v>
      </c>
      <c r="I35" s="21">
        <v>46299</v>
      </c>
      <c r="J35" s="20" t="s">
        <v>36</v>
      </c>
      <c r="K35" s="20" t="s">
        <v>28</v>
      </c>
      <c r="L35" s="20" t="s">
        <v>4036</v>
      </c>
      <c r="M35" s="20" t="s">
        <v>259</v>
      </c>
      <c r="N35" s="22" t="s">
        <v>250</v>
      </c>
      <c r="O35" s="20" t="s">
        <v>3847</v>
      </c>
      <c r="P35" s="20" t="s">
        <v>613</v>
      </c>
      <c r="Q35" s="20" t="s">
        <v>614</v>
      </c>
      <c r="R35" s="20" t="s">
        <v>118</v>
      </c>
      <c r="S35" s="20" t="s">
        <v>32</v>
      </c>
      <c r="T35" s="20" t="s">
        <v>195</v>
      </c>
      <c r="U35" s="20" t="s">
        <v>4037</v>
      </c>
      <c r="V35" s="21"/>
      <c r="W35" s="21">
        <v>46299</v>
      </c>
      <c r="X35" s="20" t="s">
        <v>3836</v>
      </c>
      <c r="Y35" s="21">
        <v>46300</v>
      </c>
      <c r="Z35" s="20" t="s">
        <v>4032</v>
      </c>
      <c r="AA35" s="17" t="e">
        <f>VLOOKUP(F35,[1]Wait!$H$225:$I$260,2,0)</f>
        <v>#N/A</v>
      </c>
    </row>
    <row r="36" spans="1:27" x14ac:dyDescent="0.25">
      <c r="A36" s="9">
        <f t="shared" si="0"/>
        <v>29</v>
      </c>
      <c r="B36" s="19" t="s">
        <v>4027</v>
      </c>
      <c r="C36" s="20" t="s">
        <v>3829</v>
      </c>
      <c r="D36" s="20" t="s">
        <v>4038</v>
      </c>
      <c r="E36" s="20" t="s">
        <v>26</v>
      </c>
      <c r="F36" s="20" t="s">
        <v>4035</v>
      </c>
      <c r="G36" s="20" t="s">
        <v>25</v>
      </c>
      <c r="H36" s="20" t="s">
        <v>26</v>
      </c>
      <c r="I36" s="21">
        <v>46299</v>
      </c>
      <c r="J36" s="20" t="s">
        <v>36</v>
      </c>
      <c r="K36" s="20" t="s">
        <v>58</v>
      </c>
      <c r="L36" s="20" t="s">
        <v>4036</v>
      </c>
      <c r="M36" s="20" t="s">
        <v>259</v>
      </c>
      <c r="N36" s="22" t="s">
        <v>250</v>
      </c>
      <c r="O36" s="20" t="s">
        <v>3847</v>
      </c>
      <c r="P36" s="20" t="s">
        <v>613</v>
      </c>
      <c r="Q36" s="20" t="s">
        <v>614</v>
      </c>
      <c r="R36" s="20" t="s">
        <v>118</v>
      </c>
      <c r="S36" s="20" t="s">
        <v>32</v>
      </c>
      <c r="T36" s="20" t="s">
        <v>195</v>
      </c>
      <c r="U36" s="20" t="s">
        <v>4037</v>
      </c>
      <c r="V36" s="21"/>
      <c r="W36" s="21">
        <v>46299</v>
      </c>
      <c r="X36" s="20" t="s">
        <v>3836</v>
      </c>
      <c r="Y36" s="21">
        <v>46300</v>
      </c>
      <c r="Z36" s="20" t="s">
        <v>4032</v>
      </c>
      <c r="AA36" s="17" t="e">
        <f>VLOOKUP(F36,[1]Wait!$H$225:$I$260,2,0)</f>
        <v>#N/A</v>
      </c>
    </row>
    <row r="37" spans="1:27" x14ac:dyDescent="0.25">
      <c r="A37" s="9">
        <f t="shared" si="0"/>
        <v>30</v>
      </c>
      <c r="B37" s="19" t="s">
        <v>4027</v>
      </c>
      <c r="C37" s="20" t="s">
        <v>3829</v>
      </c>
      <c r="D37" s="20" t="s">
        <v>4039</v>
      </c>
      <c r="E37" s="20" t="s">
        <v>26</v>
      </c>
      <c r="F37" s="20" t="s">
        <v>4035</v>
      </c>
      <c r="G37" s="20" t="s">
        <v>25</v>
      </c>
      <c r="H37" s="20" t="s">
        <v>26</v>
      </c>
      <c r="I37" s="21">
        <v>46299</v>
      </c>
      <c r="J37" s="20" t="s">
        <v>36</v>
      </c>
      <c r="K37" s="20" t="s">
        <v>59</v>
      </c>
      <c r="L37" s="20" t="s">
        <v>4036</v>
      </c>
      <c r="M37" s="20" t="s">
        <v>259</v>
      </c>
      <c r="N37" s="22" t="s">
        <v>250</v>
      </c>
      <c r="O37" s="20" t="s">
        <v>3847</v>
      </c>
      <c r="P37" s="20" t="s">
        <v>613</v>
      </c>
      <c r="Q37" s="20" t="s">
        <v>614</v>
      </c>
      <c r="R37" s="20" t="s">
        <v>118</v>
      </c>
      <c r="S37" s="20" t="s">
        <v>32</v>
      </c>
      <c r="T37" s="20" t="s">
        <v>195</v>
      </c>
      <c r="U37" s="20" t="s">
        <v>4037</v>
      </c>
      <c r="V37" s="21"/>
      <c r="W37" s="21">
        <v>46299</v>
      </c>
      <c r="X37" s="20" t="s">
        <v>3836</v>
      </c>
      <c r="Y37" s="21">
        <v>46300</v>
      </c>
      <c r="Z37" s="20" t="s">
        <v>4032</v>
      </c>
      <c r="AA37" s="17" t="e">
        <f>VLOOKUP(F37,[1]Wait!$H$225:$I$260,2,0)</f>
        <v>#N/A</v>
      </c>
    </row>
    <row r="38" spans="1:27" x14ac:dyDescent="0.25">
      <c r="A38" s="9">
        <f t="shared" si="0"/>
        <v>31</v>
      </c>
      <c r="B38" s="19" t="s">
        <v>4027</v>
      </c>
      <c r="C38" s="20" t="s">
        <v>3829</v>
      </c>
      <c r="D38" s="20" t="s">
        <v>4040</v>
      </c>
      <c r="E38" s="20" t="s">
        <v>26</v>
      </c>
      <c r="F38" s="20" t="s">
        <v>4035</v>
      </c>
      <c r="G38" s="20" t="s">
        <v>25</v>
      </c>
      <c r="H38" s="20" t="s">
        <v>26</v>
      </c>
      <c r="I38" s="21">
        <v>46299</v>
      </c>
      <c r="J38" s="20" t="s">
        <v>36</v>
      </c>
      <c r="K38" s="20" t="s">
        <v>684</v>
      </c>
      <c r="L38" s="20" t="s">
        <v>4036</v>
      </c>
      <c r="M38" s="20" t="s">
        <v>259</v>
      </c>
      <c r="N38" s="22" t="s">
        <v>250</v>
      </c>
      <c r="O38" s="20" t="s">
        <v>3847</v>
      </c>
      <c r="P38" s="20" t="s">
        <v>613</v>
      </c>
      <c r="Q38" s="20" t="s">
        <v>614</v>
      </c>
      <c r="R38" s="20" t="s">
        <v>118</v>
      </c>
      <c r="S38" s="20" t="s">
        <v>32</v>
      </c>
      <c r="T38" s="20" t="s">
        <v>195</v>
      </c>
      <c r="U38" s="20" t="s">
        <v>4037</v>
      </c>
      <c r="V38" s="21"/>
      <c r="W38" s="21">
        <v>46299</v>
      </c>
      <c r="X38" s="20" t="s">
        <v>3836</v>
      </c>
      <c r="Y38" s="21">
        <v>46300</v>
      </c>
      <c r="Z38" s="20" t="s">
        <v>4032</v>
      </c>
      <c r="AA38" s="17" t="e">
        <f>VLOOKUP(F38,[1]Wait!$H$225:$I$260,2,0)</f>
        <v>#N/A</v>
      </c>
    </row>
    <row r="39" spans="1:27" x14ac:dyDescent="0.25">
      <c r="A39" s="9">
        <f t="shared" si="0"/>
        <v>32</v>
      </c>
      <c r="B39" s="19" t="s">
        <v>4027</v>
      </c>
      <c r="C39" s="20" t="s">
        <v>3829</v>
      </c>
      <c r="D39" s="20" t="s">
        <v>4041</v>
      </c>
      <c r="E39" s="20" t="s">
        <v>26</v>
      </c>
      <c r="F39" s="20" t="s">
        <v>4042</v>
      </c>
      <c r="G39" s="20" t="s">
        <v>25</v>
      </c>
      <c r="H39" s="20" t="s">
        <v>26</v>
      </c>
      <c r="I39" s="21">
        <v>46299</v>
      </c>
      <c r="J39" s="20" t="s">
        <v>82</v>
      </c>
      <c r="K39" s="20" t="s">
        <v>28</v>
      </c>
      <c r="L39" s="20" t="s">
        <v>4043</v>
      </c>
      <c r="M39" s="20" t="s">
        <v>259</v>
      </c>
      <c r="N39" s="22" t="s">
        <v>250</v>
      </c>
      <c r="O39" s="20" t="s">
        <v>3847</v>
      </c>
      <c r="P39" s="20" t="s">
        <v>613</v>
      </c>
      <c r="Q39" s="20" t="s">
        <v>614</v>
      </c>
      <c r="R39" s="20" t="s">
        <v>118</v>
      </c>
      <c r="S39" s="20" t="s">
        <v>32</v>
      </c>
      <c r="T39" s="20" t="s">
        <v>195</v>
      </c>
      <c r="U39" s="20" t="s">
        <v>4037</v>
      </c>
      <c r="V39" s="21"/>
      <c r="W39" s="21">
        <v>46299</v>
      </c>
      <c r="X39" s="20" t="s">
        <v>3836</v>
      </c>
      <c r="Y39" s="21">
        <v>46300</v>
      </c>
      <c r="Z39" s="20" t="s">
        <v>4032</v>
      </c>
      <c r="AA39" s="17" t="e">
        <f>VLOOKUP(F39,[1]Wait!$H$225:$I$260,2,0)</f>
        <v>#N/A</v>
      </c>
    </row>
    <row r="40" spans="1:27" x14ac:dyDescent="0.25">
      <c r="A40" s="9">
        <f t="shared" si="0"/>
        <v>33</v>
      </c>
      <c r="B40" s="19" t="s">
        <v>4027</v>
      </c>
      <c r="C40" s="20" t="s">
        <v>3829</v>
      </c>
      <c r="D40" s="20" t="s">
        <v>4044</v>
      </c>
      <c r="E40" s="20" t="s">
        <v>26</v>
      </c>
      <c r="F40" s="20" t="s">
        <v>4042</v>
      </c>
      <c r="G40" s="20" t="s">
        <v>25</v>
      </c>
      <c r="H40" s="20" t="s">
        <v>26</v>
      </c>
      <c r="I40" s="21">
        <v>46299</v>
      </c>
      <c r="J40" s="20" t="s">
        <v>82</v>
      </c>
      <c r="K40" s="20" t="s">
        <v>58</v>
      </c>
      <c r="L40" s="20" t="s">
        <v>4043</v>
      </c>
      <c r="M40" s="20" t="s">
        <v>259</v>
      </c>
      <c r="N40" s="22" t="s">
        <v>250</v>
      </c>
      <c r="O40" s="20" t="s">
        <v>3847</v>
      </c>
      <c r="P40" s="20" t="s">
        <v>613</v>
      </c>
      <c r="Q40" s="20" t="s">
        <v>614</v>
      </c>
      <c r="R40" s="20" t="s">
        <v>118</v>
      </c>
      <c r="S40" s="20" t="s">
        <v>32</v>
      </c>
      <c r="T40" s="20" t="s">
        <v>195</v>
      </c>
      <c r="U40" s="20" t="s">
        <v>4037</v>
      </c>
      <c r="V40" s="21"/>
      <c r="W40" s="21">
        <v>46299</v>
      </c>
      <c r="X40" s="20" t="s">
        <v>3836</v>
      </c>
      <c r="Y40" s="21">
        <v>46300</v>
      </c>
      <c r="Z40" s="20" t="s">
        <v>4032</v>
      </c>
      <c r="AA40" s="17" t="e">
        <f>VLOOKUP(F40,[1]Wait!$H$225:$I$260,2,0)</f>
        <v>#N/A</v>
      </c>
    </row>
    <row r="41" spans="1:27" x14ac:dyDescent="0.25">
      <c r="A41" s="9">
        <f t="shared" si="0"/>
        <v>34</v>
      </c>
      <c r="B41" s="19" t="s">
        <v>4027</v>
      </c>
      <c r="C41" s="20" t="s">
        <v>3829</v>
      </c>
      <c r="D41" s="20" t="s">
        <v>4045</v>
      </c>
      <c r="E41" s="20" t="s">
        <v>26</v>
      </c>
      <c r="F41" s="20" t="s">
        <v>4042</v>
      </c>
      <c r="G41" s="20" t="s">
        <v>25</v>
      </c>
      <c r="H41" s="20" t="s">
        <v>26</v>
      </c>
      <c r="I41" s="21">
        <v>46299</v>
      </c>
      <c r="J41" s="20" t="s">
        <v>82</v>
      </c>
      <c r="K41" s="20" t="s">
        <v>59</v>
      </c>
      <c r="L41" s="20" t="s">
        <v>4043</v>
      </c>
      <c r="M41" s="20" t="s">
        <v>259</v>
      </c>
      <c r="N41" s="22" t="s">
        <v>250</v>
      </c>
      <c r="O41" s="20" t="s">
        <v>3847</v>
      </c>
      <c r="P41" s="20" t="s">
        <v>613</v>
      </c>
      <c r="Q41" s="20" t="s">
        <v>614</v>
      </c>
      <c r="R41" s="20" t="s">
        <v>118</v>
      </c>
      <c r="S41" s="20" t="s">
        <v>32</v>
      </c>
      <c r="T41" s="20" t="s">
        <v>195</v>
      </c>
      <c r="U41" s="20" t="s">
        <v>4037</v>
      </c>
      <c r="V41" s="21"/>
      <c r="W41" s="21">
        <v>46299</v>
      </c>
      <c r="X41" s="20" t="s">
        <v>3836</v>
      </c>
      <c r="Y41" s="21">
        <v>46300</v>
      </c>
      <c r="Z41" s="20" t="s">
        <v>4032</v>
      </c>
      <c r="AA41" s="17" t="e">
        <f>VLOOKUP(F41,[1]Wait!$H$225:$I$260,2,0)</f>
        <v>#N/A</v>
      </c>
    </row>
    <row r="42" spans="1:27" x14ac:dyDescent="0.25">
      <c r="A42" s="9">
        <f t="shared" si="0"/>
        <v>35</v>
      </c>
      <c r="B42" s="19" t="s">
        <v>4027</v>
      </c>
      <c r="C42" s="20" t="s">
        <v>3829</v>
      </c>
      <c r="D42" s="20" t="s">
        <v>4046</v>
      </c>
      <c r="E42" s="20" t="s">
        <v>26</v>
      </c>
      <c r="F42" s="20" t="s">
        <v>4042</v>
      </c>
      <c r="G42" s="20" t="s">
        <v>25</v>
      </c>
      <c r="H42" s="20" t="s">
        <v>26</v>
      </c>
      <c r="I42" s="21">
        <v>46299</v>
      </c>
      <c r="J42" s="20" t="s">
        <v>82</v>
      </c>
      <c r="K42" s="20" t="s">
        <v>684</v>
      </c>
      <c r="L42" s="20" t="s">
        <v>4043</v>
      </c>
      <c r="M42" s="20" t="s">
        <v>259</v>
      </c>
      <c r="N42" s="22" t="s">
        <v>250</v>
      </c>
      <c r="O42" s="20" t="s">
        <v>3847</v>
      </c>
      <c r="P42" s="20" t="s">
        <v>613</v>
      </c>
      <c r="Q42" s="20" t="s">
        <v>614</v>
      </c>
      <c r="R42" s="20" t="s">
        <v>118</v>
      </c>
      <c r="S42" s="20" t="s">
        <v>32</v>
      </c>
      <c r="T42" s="20" t="s">
        <v>195</v>
      </c>
      <c r="U42" s="20" t="s">
        <v>4037</v>
      </c>
      <c r="V42" s="21"/>
      <c r="W42" s="21">
        <v>46299</v>
      </c>
      <c r="X42" s="20" t="s">
        <v>3836</v>
      </c>
      <c r="Y42" s="21">
        <v>46300</v>
      </c>
      <c r="Z42" s="20" t="s">
        <v>4032</v>
      </c>
      <c r="AA42" s="17" t="e">
        <f>VLOOKUP(F42,[1]Wait!$H$225:$I$260,2,0)</f>
        <v>#N/A</v>
      </c>
    </row>
    <row r="43" spans="1:27" x14ac:dyDescent="0.25">
      <c r="A43" s="9">
        <f t="shared" si="0"/>
        <v>36</v>
      </c>
      <c r="B43" s="19" t="s">
        <v>4027</v>
      </c>
      <c r="C43" s="20" t="s">
        <v>3829</v>
      </c>
      <c r="D43" s="20" t="s">
        <v>4047</v>
      </c>
      <c r="E43" s="20" t="s">
        <v>26</v>
      </c>
      <c r="F43" s="20" t="s">
        <v>4042</v>
      </c>
      <c r="G43" s="20" t="s">
        <v>25</v>
      </c>
      <c r="H43" s="20" t="s">
        <v>26</v>
      </c>
      <c r="I43" s="21">
        <v>46299</v>
      </c>
      <c r="J43" s="20" t="s">
        <v>82</v>
      </c>
      <c r="K43" s="20" t="s">
        <v>557</v>
      </c>
      <c r="L43" s="20" t="s">
        <v>4043</v>
      </c>
      <c r="M43" s="20" t="s">
        <v>259</v>
      </c>
      <c r="N43" s="22" t="s">
        <v>250</v>
      </c>
      <c r="O43" s="20" t="s">
        <v>3847</v>
      </c>
      <c r="P43" s="20" t="s">
        <v>613</v>
      </c>
      <c r="Q43" s="20" t="s">
        <v>614</v>
      </c>
      <c r="R43" s="20" t="s">
        <v>118</v>
      </c>
      <c r="S43" s="20" t="s">
        <v>32</v>
      </c>
      <c r="T43" s="20" t="s">
        <v>195</v>
      </c>
      <c r="U43" s="20" t="s">
        <v>4037</v>
      </c>
      <c r="V43" s="21"/>
      <c r="W43" s="21">
        <v>46299</v>
      </c>
      <c r="X43" s="20" t="s">
        <v>3836</v>
      </c>
      <c r="Y43" s="21">
        <v>46300</v>
      </c>
      <c r="Z43" s="20" t="s">
        <v>4032</v>
      </c>
      <c r="AA43" s="17" t="e">
        <f>VLOOKUP(F43,[1]Wait!$H$225:$I$260,2,0)</f>
        <v>#N/A</v>
      </c>
    </row>
    <row r="44" spans="1:27" x14ac:dyDescent="0.25">
      <c r="A44" s="9">
        <f t="shared" si="0"/>
        <v>37</v>
      </c>
      <c r="B44" s="19" t="s">
        <v>4027</v>
      </c>
      <c r="C44" s="20" t="s">
        <v>3829</v>
      </c>
      <c r="D44" s="20" t="s">
        <v>4048</v>
      </c>
      <c r="E44" s="20" t="s">
        <v>26</v>
      </c>
      <c r="F44" s="20" t="s">
        <v>4042</v>
      </c>
      <c r="G44" s="20" t="s">
        <v>25</v>
      </c>
      <c r="H44" s="20" t="s">
        <v>26</v>
      </c>
      <c r="I44" s="21">
        <v>46299</v>
      </c>
      <c r="J44" s="20" t="s">
        <v>82</v>
      </c>
      <c r="K44" s="20" t="s">
        <v>1141</v>
      </c>
      <c r="L44" s="20" t="s">
        <v>4043</v>
      </c>
      <c r="M44" s="20" t="s">
        <v>259</v>
      </c>
      <c r="N44" s="22" t="s">
        <v>250</v>
      </c>
      <c r="O44" s="20" t="s">
        <v>3847</v>
      </c>
      <c r="P44" s="20" t="s">
        <v>613</v>
      </c>
      <c r="Q44" s="20" t="s">
        <v>614</v>
      </c>
      <c r="R44" s="20" t="s">
        <v>118</v>
      </c>
      <c r="S44" s="20" t="s">
        <v>32</v>
      </c>
      <c r="T44" s="20" t="s">
        <v>195</v>
      </c>
      <c r="U44" s="20" t="s">
        <v>4037</v>
      </c>
      <c r="V44" s="21"/>
      <c r="W44" s="21">
        <v>46299</v>
      </c>
      <c r="X44" s="20" t="s">
        <v>3836</v>
      </c>
      <c r="Y44" s="21">
        <v>46300</v>
      </c>
      <c r="Z44" s="20" t="s">
        <v>4032</v>
      </c>
      <c r="AA44" s="17" t="e">
        <f>VLOOKUP(F44,[1]Wait!$H$225:$I$260,2,0)</f>
        <v>#N/A</v>
      </c>
    </row>
    <row r="45" spans="1:27" x14ac:dyDescent="0.25">
      <c r="A45" s="9">
        <f t="shared" si="0"/>
        <v>38</v>
      </c>
      <c r="B45" s="19" t="s">
        <v>4027</v>
      </c>
      <c r="C45" s="20" t="s">
        <v>3829</v>
      </c>
      <c r="D45" s="20" t="s">
        <v>4049</v>
      </c>
      <c r="E45" s="20" t="s">
        <v>26</v>
      </c>
      <c r="F45" s="20" t="s">
        <v>4042</v>
      </c>
      <c r="G45" s="20" t="s">
        <v>25</v>
      </c>
      <c r="H45" s="20" t="s">
        <v>26</v>
      </c>
      <c r="I45" s="21">
        <v>46299</v>
      </c>
      <c r="J45" s="20" t="s">
        <v>82</v>
      </c>
      <c r="K45" s="20" t="s">
        <v>1143</v>
      </c>
      <c r="L45" s="20" t="s">
        <v>4043</v>
      </c>
      <c r="M45" s="20" t="s">
        <v>259</v>
      </c>
      <c r="N45" s="22" t="s">
        <v>250</v>
      </c>
      <c r="O45" s="20" t="s">
        <v>3847</v>
      </c>
      <c r="P45" s="20" t="s">
        <v>613</v>
      </c>
      <c r="Q45" s="20" t="s">
        <v>614</v>
      </c>
      <c r="R45" s="20" t="s">
        <v>118</v>
      </c>
      <c r="S45" s="20" t="s">
        <v>32</v>
      </c>
      <c r="T45" s="20" t="s">
        <v>195</v>
      </c>
      <c r="U45" s="20" t="s">
        <v>4037</v>
      </c>
      <c r="V45" s="21"/>
      <c r="W45" s="21">
        <v>46299</v>
      </c>
      <c r="X45" s="20" t="s">
        <v>3836</v>
      </c>
      <c r="Y45" s="21">
        <v>46300</v>
      </c>
      <c r="Z45" s="20" t="s">
        <v>4032</v>
      </c>
      <c r="AA45" s="17" t="e">
        <f>VLOOKUP(F45,[1]Wait!$H$225:$I$260,2,0)</f>
        <v>#N/A</v>
      </c>
    </row>
    <row r="46" spans="1:27" x14ac:dyDescent="0.25">
      <c r="A46" s="9">
        <f t="shared" si="0"/>
        <v>39</v>
      </c>
      <c r="B46" s="19" t="s">
        <v>4027</v>
      </c>
      <c r="C46" s="20" t="s">
        <v>3829</v>
      </c>
      <c r="D46" s="20" t="s">
        <v>4050</v>
      </c>
      <c r="E46" s="20" t="s">
        <v>26</v>
      </c>
      <c r="F46" s="20" t="s">
        <v>4042</v>
      </c>
      <c r="G46" s="20" t="s">
        <v>25</v>
      </c>
      <c r="H46" s="20" t="s">
        <v>26</v>
      </c>
      <c r="I46" s="21">
        <v>46299</v>
      </c>
      <c r="J46" s="20" t="s">
        <v>82</v>
      </c>
      <c r="K46" s="20" t="s">
        <v>1145</v>
      </c>
      <c r="L46" s="20" t="s">
        <v>4043</v>
      </c>
      <c r="M46" s="20" t="s">
        <v>259</v>
      </c>
      <c r="N46" s="22" t="s">
        <v>250</v>
      </c>
      <c r="O46" s="20" t="s">
        <v>3847</v>
      </c>
      <c r="P46" s="20" t="s">
        <v>613</v>
      </c>
      <c r="Q46" s="20" t="s">
        <v>614</v>
      </c>
      <c r="R46" s="20" t="s">
        <v>118</v>
      </c>
      <c r="S46" s="20" t="s">
        <v>32</v>
      </c>
      <c r="T46" s="20" t="s">
        <v>195</v>
      </c>
      <c r="U46" s="20" t="s">
        <v>4037</v>
      </c>
      <c r="V46" s="21"/>
      <c r="W46" s="21">
        <v>46299</v>
      </c>
      <c r="X46" s="20" t="s">
        <v>3836</v>
      </c>
      <c r="Y46" s="21">
        <v>46300</v>
      </c>
      <c r="Z46" s="20" t="s">
        <v>4032</v>
      </c>
      <c r="AA46" s="17" t="e">
        <f>VLOOKUP(F46,[1]Wait!$H$225:$I$260,2,0)</f>
        <v>#N/A</v>
      </c>
    </row>
    <row r="47" spans="1:27" x14ac:dyDescent="0.25">
      <c r="A47" s="9">
        <f t="shared" si="0"/>
        <v>40</v>
      </c>
      <c r="B47" s="19" t="s">
        <v>4027</v>
      </c>
      <c r="C47" s="20" t="s">
        <v>3829</v>
      </c>
      <c r="D47" s="20" t="s">
        <v>4051</v>
      </c>
      <c r="E47" s="20" t="s">
        <v>26</v>
      </c>
      <c r="F47" s="20" t="s">
        <v>4042</v>
      </c>
      <c r="G47" s="20" t="s">
        <v>25</v>
      </c>
      <c r="H47" s="20" t="s">
        <v>26</v>
      </c>
      <c r="I47" s="21">
        <v>46299</v>
      </c>
      <c r="J47" s="20" t="s">
        <v>82</v>
      </c>
      <c r="K47" s="20" t="s">
        <v>1147</v>
      </c>
      <c r="L47" s="20" t="s">
        <v>4043</v>
      </c>
      <c r="M47" s="20" t="s">
        <v>259</v>
      </c>
      <c r="N47" s="22" t="s">
        <v>250</v>
      </c>
      <c r="O47" s="20" t="s">
        <v>3847</v>
      </c>
      <c r="P47" s="20" t="s">
        <v>613</v>
      </c>
      <c r="Q47" s="20" t="s">
        <v>614</v>
      </c>
      <c r="R47" s="20" t="s">
        <v>118</v>
      </c>
      <c r="S47" s="20" t="s">
        <v>32</v>
      </c>
      <c r="T47" s="20" t="s">
        <v>195</v>
      </c>
      <c r="U47" s="20" t="s">
        <v>4037</v>
      </c>
      <c r="V47" s="21"/>
      <c r="W47" s="21">
        <v>46299</v>
      </c>
      <c r="X47" s="20" t="s">
        <v>3836</v>
      </c>
      <c r="Y47" s="21">
        <v>46300</v>
      </c>
      <c r="Z47" s="20" t="s">
        <v>4032</v>
      </c>
      <c r="AA47" s="17" t="e">
        <f>VLOOKUP(F47,[1]Wait!$H$225:$I$260,2,0)</f>
        <v>#N/A</v>
      </c>
    </row>
    <row r="48" spans="1:27" x14ac:dyDescent="0.25">
      <c r="A48" s="9">
        <f t="shared" si="0"/>
        <v>41</v>
      </c>
      <c r="B48" s="19" t="s">
        <v>4027</v>
      </c>
      <c r="C48" s="20" t="s">
        <v>3829</v>
      </c>
      <c r="D48" s="20" t="s">
        <v>4052</v>
      </c>
      <c r="E48" s="20" t="s">
        <v>26</v>
      </c>
      <c r="F48" s="20" t="s">
        <v>4042</v>
      </c>
      <c r="G48" s="20" t="s">
        <v>25</v>
      </c>
      <c r="H48" s="20" t="s">
        <v>26</v>
      </c>
      <c r="I48" s="21">
        <v>46299</v>
      </c>
      <c r="J48" s="20" t="s">
        <v>82</v>
      </c>
      <c r="K48" s="20" t="s">
        <v>1149</v>
      </c>
      <c r="L48" s="20" t="s">
        <v>4043</v>
      </c>
      <c r="M48" s="20" t="s">
        <v>259</v>
      </c>
      <c r="N48" s="22" t="s">
        <v>250</v>
      </c>
      <c r="O48" s="20" t="s">
        <v>3847</v>
      </c>
      <c r="P48" s="20" t="s">
        <v>613</v>
      </c>
      <c r="Q48" s="20" t="s">
        <v>614</v>
      </c>
      <c r="R48" s="20" t="s">
        <v>118</v>
      </c>
      <c r="S48" s="20" t="s">
        <v>32</v>
      </c>
      <c r="T48" s="20" t="s">
        <v>195</v>
      </c>
      <c r="U48" s="20" t="s">
        <v>4037</v>
      </c>
      <c r="V48" s="21"/>
      <c r="W48" s="21">
        <v>46299</v>
      </c>
      <c r="X48" s="20" t="s">
        <v>3836</v>
      </c>
      <c r="Y48" s="21">
        <v>46300</v>
      </c>
      <c r="Z48" s="20" t="s">
        <v>4032</v>
      </c>
      <c r="AA48" s="17" t="e">
        <f>VLOOKUP(F48,[1]Wait!$H$225:$I$260,2,0)</f>
        <v>#N/A</v>
      </c>
    </row>
    <row r="49" spans="1:27" x14ac:dyDescent="0.25">
      <c r="A49" s="9">
        <f t="shared" si="0"/>
        <v>42</v>
      </c>
      <c r="B49" s="19" t="s">
        <v>4027</v>
      </c>
      <c r="C49" s="20" t="s">
        <v>3829</v>
      </c>
      <c r="D49" s="20" t="s">
        <v>4053</v>
      </c>
      <c r="E49" s="20" t="s">
        <v>26</v>
      </c>
      <c r="F49" s="20" t="s">
        <v>4042</v>
      </c>
      <c r="G49" s="20" t="s">
        <v>25</v>
      </c>
      <c r="H49" s="20" t="s">
        <v>26</v>
      </c>
      <c r="I49" s="21">
        <v>46299</v>
      </c>
      <c r="J49" s="20" t="s">
        <v>82</v>
      </c>
      <c r="K49" s="20" t="s">
        <v>1151</v>
      </c>
      <c r="L49" s="20" t="s">
        <v>4043</v>
      </c>
      <c r="M49" s="20" t="s">
        <v>259</v>
      </c>
      <c r="N49" s="22" t="s">
        <v>250</v>
      </c>
      <c r="O49" s="20" t="s">
        <v>3847</v>
      </c>
      <c r="P49" s="20" t="s">
        <v>613</v>
      </c>
      <c r="Q49" s="20" t="s">
        <v>614</v>
      </c>
      <c r="R49" s="20" t="s">
        <v>118</v>
      </c>
      <c r="S49" s="20" t="s">
        <v>32</v>
      </c>
      <c r="T49" s="20" t="s">
        <v>195</v>
      </c>
      <c r="U49" s="20" t="s">
        <v>4037</v>
      </c>
      <c r="V49" s="21"/>
      <c r="W49" s="21">
        <v>46299</v>
      </c>
      <c r="X49" s="20" t="s">
        <v>3836</v>
      </c>
      <c r="Y49" s="21">
        <v>46300</v>
      </c>
      <c r="Z49" s="20" t="s">
        <v>4032</v>
      </c>
      <c r="AA49" s="17" t="e">
        <f>VLOOKUP(F49,[1]Wait!$H$225:$I$260,2,0)</f>
        <v>#N/A</v>
      </c>
    </row>
    <row r="50" spans="1:27" x14ac:dyDescent="0.25">
      <c r="A50" s="9">
        <f t="shared" si="0"/>
        <v>43</v>
      </c>
      <c r="B50" s="19" t="s">
        <v>4027</v>
      </c>
      <c r="C50" s="20" t="s">
        <v>3829</v>
      </c>
      <c r="D50" s="20" t="s">
        <v>4054</v>
      </c>
      <c r="E50" s="20" t="s">
        <v>26</v>
      </c>
      <c r="F50" s="20" t="s">
        <v>4042</v>
      </c>
      <c r="G50" s="20" t="s">
        <v>25</v>
      </c>
      <c r="H50" s="20" t="s">
        <v>26</v>
      </c>
      <c r="I50" s="21">
        <v>46299</v>
      </c>
      <c r="J50" s="20" t="s">
        <v>82</v>
      </c>
      <c r="K50" s="20" t="s">
        <v>4055</v>
      </c>
      <c r="L50" s="20" t="s">
        <v>4043</v>
      </c>
      <c r="M50" s="20" t="s">
        <v>259</v>
      </c>
      <c r="N50" s="22" t="s">
        <v>250</v>
      </c>
      <c r="O50" s="20" t="s">
        <v>3847</v>
      </c>
      <c r="P50" s="20" t="s">
        <v>613</v>
      </c>
      <c r="Q50" s="20" t="s">
        <v>614</v>
      </c>
      <c r="R50" s="20" t="s">
        <v>118</v>
      </c>
      <c r="S50" s="20" t="s">
        <v>32</v>
      </c>
      <c r="T50" s="20" t="s">
        <v>195</v>
      </c>
      <c r="U50" s="20" t="s">
        <v>4037</v>
      </c>
      <c r="V50" s="21"/>
      <c r="W50" s="21">
        <v>46299</v>
      </c>
      <c r="X50" s="20" t="s">
        <v>3836</v>
      </c>
      <c r="Y50" s="21">
        <v>46300</v>
      </c>
      <c r="Z50" s="20" t="s">
        <v>4032</v>
      </c>
      <c r="AA50" s="17" t="e">
        <f>VLOOKUP(F50,[1]Wait!$H$225:$I$260,2,0)</f>
        <v>#N/A</v>
      </c>
    </row>
    <row r="51" spans="1:27" x14ac:dyDescent="0.25">
      <c r="A51" s="9">
        <f t="shared" si="0"/>
        <v>44</v>
      </c>
      <c r="B51" s="19" t="s">
        <v>4027</v>
      </c>
      <c r="C51" s="20" t="s">
        <v>3829</v>
      </c>
      <c r="D51" s="20" t="s">
        <v>4056</v>
      </c>
      <c r="E51" s="20" t="s">
        <v>26</v>
      </c>
      <c r="F51" s="20" t="s">
        <v>4042</v>
      </c>
      <c r="G51" s="20" t="s">
        <v>25</v>
      </c>
      <c r="H51" s="20" t="s">
        <v>26</v>
      </c>
      <c r="I51" s="21">
        <v>46299</v>
      </c>
      <c r="J51" s="20" t="s">
        <v>82</v>
      </c>
      <c r="K51" s="20" t="s">
        <v>4057</v>
      </c>
      <c r="L51" s="20" t="s">
        <v>4043</v>
      </c>
      <c r="M51" s="20" t="s">
        <v>259</v>
      </c>
      <c r="N51" s="22" t="s">
        <v>250</v>
      </c>
      <c r="O51" s="20" t="s">
        <v>3847</v>
      </c>
      <c r="P51" s="20" t="s">
        <v>613</v>
      </c>
      <c r="Q51" s="20" t="s">
        <v>614</v>
      </c>
      <c r="R51" s="20" t="s">
        <v>118</v>
      </c>
      <c r="S51" s="20" t="s">
        <v>32</v>
      </c>
      <c r="T51" s="20" t="s">
        <v>195</v>
      </c>
      <c r="U51" s="20" t="s">
        <v>4037</v>
      </c>
      <c r="V51" s="21"/>
      <c r="W51" s="21">
        <v>46299</v>
      </c>
      <c r="X51" s="20" t="s">
        <v>3836</v>
      </c>
      <c r="Y51" s="21">
        <v>46300</v>
      </c>
      <c r="Z51" s="20" t="s">
        <v>4032</v>
      </c>
      <c r="AA51" s="17" t="e">
        <f>VLOOKUP(F51,[1]Wait!$H$225:$I$260,2,0)</f>
        <v>#N/A</v>
      </c>
    </row>
    <row r="52" spans="1:27" x14ac:dyDescent="0.25">
      <c r="A52" s="9">
        <f t="shared" si="0"/>
        <v>45</v>
      </c>
      <c r="B52" s="19" t="s">
        <v>4027</v>
      </c>
      <c r="C52" s="20" t="s">
        <v>3829</v>
      </c>
      <c r="D52" s="20" t="s">
        <v>4058</v>
      </c>
      <c r="E52" s="20" t="s">
        <v>26</v>
      </c>
      <c r="F52" s="20" t="s">
        <v>4059</v>
      </c>
      <c r="G52" s="20" t="s">
        <v>25</v>
      </c>
      <c r="H52" s="20" t="s">
        <v>26</v>
      </c>
      <c r="I52" s="21">
        <v>46299</v>
      </c>
      <c r="J52" s="20" t="s">
        <v>36</v>
      </c>
      <c r="K52" s="20" t="s">
        <v>28</v>
      </c>
      <c r="L52" s="20" t="s">
        <v>4060</v>
      </c>
      <c r="M52" s="20" t="s">
        <v>259</v>
      </c>
      <c r="N52" s="22" t="s">
        <v>250</v>
      </c>
      <c r="O52" s="20" t="s">
        <v>3847</v>
      </c>
      <c r="P52" s="20" t="s">
        <v>613</v>
      </c>
      <c r="Q52" s="20" t="s">
        <v>614</v>
      </c>
      <c r="R52" s="20" t="s">
        <v>118</v>
      </c>
      <c r="S52" s="20" t="s">
        <v>32</v>
      </c>
      <c r="T52" s="20" t="s">
        <v>195</v>
      </c>
      <c r="U52" s="20" t="s">
        <v>4037</v>
      </c>
      <c r="V52" s="21"/>
      <c r="W52" s="21">
        <v>46299</v>
      </c>
      <c r="X52" s="20" t="s">
        <v>3836</v>
      </c>
      <c r="Y52" s="21">
        <v>46300</v>
      </c>
      <c r="Z52" s="20" t="s">
        <v>4032</v>
      </c>
      <c r="AA52" s="17" t="e">
        <f>VLOOKUP(F52,[1]Wait!$H$225:$I$260,2,0)</f>
        <v>#N/A</v>
      </c>
    </row>
    <row r="53" spans="1:27" x14ac:dyDescent="0.25">
      <c r="A53" s="9">
        <f t="shared" si="0"/>
        <v>46</v>
      </c>
      <c r="B53" s="19" t="s">
        <v>4027</v>
      </c>
      <c r="C53" s="20" t="s">
        <v>3829</v>
      </c>
      <c r="D53" s="20" t="s">
        <v>4061</v>
      </c>
      <c r="E53" s="20" t="s">
        <v>26</v>
      </c>
      <c r="F53" s="20" t="s">
        <v>4062</v>
      </c>
      <c r="G53" s="20" t="s">
        <v>25</v>
      </c>
      <c r="H53" s="20" t="s">
        <v>26</v>
      </c>
      <c r="I53" s="21">
        <v>46299</v>
      </c>
      <c r="J53" s="20" t="s">
        <v>82</v>
      </c>
      <c r="K53" s="20" t="s">
        <v>28</v>
      </c>
      <c r="L53" s="20" t="s">
        <v>4063</v>
      </c>
      <c r="M53" s="20" t="s">
        <v>259</v>
      </c>
      <c r="N53" s="22" t="s">
        <v>250</v>
      </c>
      <c r="O53" s="20" t="s">
        <v>3847</v>
      </c>
      <c r="P53" s="20" t="s">
        <v>613</v>
      </c>
      <c r="Q53" s="20" t="s">
        <v>614</v>
      </c>
      <c r="R53" s="20" t="s">
        <v>118</v>
      </c>
      <c r="S53" s="20" t="s">
        <v>32</v>
      </c>
      <c r="T53" s="20" t="s">
        <v>195</v>
      </c>
      <c r="U53" s="20" t="s">
        <v>4037</v>
      </c>
      <c r="V53" s="21"/>
      <c r="W53" s="21">
        <v>46299</v>
      </c>
      <c r="X53" s="20" t="s">
        <v>3836</v>
      </c>
      <c r="Y53" s="21">
        <v>46300</v>
      </c>
      <c r="Z53" s="20" t="s">
        <v>4032</v>
      </c>
    </row>
    <row r="54" spans="1:27" x14ac:dyDescent="0.25">
      <c r="A54" s="9">
        <f t="shared" si="0"/>
        <v>47</v>
      </c>
      <c r="B54" s="19" t="s">
        <v>4027</v>
      </c>
      <c r="C54" s="20" t="s">
        <v>3829</v>
      </c>
      <c r="D54" s="20" t="s">
        <v>4064</v>
      </c>
      <c r="E54" s="20" t="s">
        <v>26</v>
      </c>
      <c r="F54" s="20" t="s">
        <v>4065</v>
      </c>
      <c r="G54" s="20" t="s">
        <v>25</v>
      </c>
      <c r="H54" s="20" t="s">
        <v>26</v>
      </c>
      <c r="I54" s="21">
        <v>46299</v>
      </c>
      <c r="J54" s="20" t="s">
        <v>82</v>
      </c>
      <c r="K54" s="20" t="s">
        <v>28</v>
      </c>
      <c r="L54" s="20" t="s">
        <v>4066</v>
      </c>
      <c r="M54" s="20" t="s">
        <v>259</v>
      </c>
      <c r="N54" s="22" t="s">
        <v>250</v>
      </c>
      <c r="O54" s="20" t="s">
        <v>3847</v>
      </c>
      <c r="P54" s="20" t="s">
        <v>613</v>
      </c>
      <c r="Q54" s="20" t="s">
        <v>614</v>
      </c>
      <c r="R54" s="20" t="s">
        <v>337</v>
      </c>
      <c r="S54" s="20" t="s">
        <v>32</v>
      </c>
      <c r="T54" s="20" t="s">
        <v>195</v>
      </c>
      <c r="U54" s="20" t="s">
        <v>4037</v>
      </c>
      <c r="V54" s="21"/>
      <c r="W54" s="21">
        <v>46299</v>
      </c>
      <c r="X54" s="20" t="s">
        <v>3836</v>
      </c>
      <c r="Y54" s="21">
        <v>46300</v>
      </c>
      <c r="Z54" s="20" t="s">
        <v>4032</v>
      </c>
    </row>
    <row r="55" spans="1:27" x14ac:dyDescent="0.25">
      <c r="A55" s="9">
        <f t="shared" si="0"/>
        <v>48</v>
      </c>
      <c r="B55" s="19" t="s">
        <v>4027</v>
      </c>
      <c r="C55" s="20" t="s">
        <v>3829</v>
      </c>
      <c r="D55" s="20" t="s">
        <v>4067</v>
      </c>
      <c r="E55" s="20" t="s">
        <v>26</v>
      </c>
      <c r="F55" s="20" t="s">
        <v>4068</v>
      </c>
      <c r="G55" s="20" t="s">
        <v>25</v>
      </c>
      <c r="H55" s="20" t="s">
        <v>26</v>
      </c>
      <c r="I55" s="21">
        <v>46299</v>
      </c>
      <c r="J55" s="20" t="s">
        <v>82</v>
      </c>
      <c r="K55" s="20" t="s">
        <v>28</v>
      </c>
      <c r="L55" s="20" t="s">
        <v>4069</v>
      </c>
      <c r="M55" s="20" t="s">
        <v>259</v>
      </c>
      <c r="N55" s="22" t="s">
        <v>250</v>
      </c>
      <c r="O55" s="20" t="s">
        <v>3847</v>
      </c>
      <c r="P55" s="20" t="s">
        <v>613</v>
      </c>
      <c r="Q55" s="20" t="s">
        <v>614</v>
      </c>
      <c r="R55" s="20" t="s">
        <v>337</v>
      </c>
      <c r="S55" s="20" t="s">
        <v>32</v>
      </c>
      <c r="T55" s="20" t="s">
        <v>195</v>
      </c>
      <c r="U55" s="20" t="s">
        <v>4037</v>
      </c>
      <c r="V55" s="21"/>
      <c r="W55" s="21">
        <v>46299</v>
      </c>
      <c r="X55" s="20" t="s">
        <v>3836</v>
      </c>
      <c r="Y55" s="21">
        <v>46300</v>
      </c>
      <c r="Z55" s="20" t="s">
        <v>4032</v>
      </c>
    </row>
    <row r="56" spans="1:27" x14ac:dyDescent="0.25">
      <c r="A56" s="9">
        <f t="shared" si="0"/>
        <v>49</v>
      </c>
      <c r="B56" s="19" t="s">
        <v>4027</v>
      </c>
      <c r="C56" s="20" t="s">
        <v>3829</v>
      </c>
      <c r="D56" s="20" t="s">
        <v>4070</v>
      </c>
      <c r="E56" s="20" t="s">
        <v>26</v>
      </c>
      <c r="F56" s="20" t="s">
        <v>4071</v>
      </c>
      <c r="G56" s="20" t="s">
        <v>25</v>
      </c>
      <c r="H56" s="20" t="s">
        <v>26</v>
      </c>
      <c r="I56" s="21">
        <v>46299</v>
      </c>
      <c r="J56" s="20" t="s">
        <v>36</v>
      </c>
      <c r="K56" s="20" t="s">
        <v>28</v>
      </c>
      <c r="L56" s="20" t="s">
        <v>4072</v>
      </c>
      <c r="M56" s="20" t="s">
        <v>259</v>
      </c>
      <c r="N56" s="22" t="s">
        <v>250</v>
      </c>
      <c r="O56" s="20" t="s">
        <v>3847</v>
      </c>
      <c r="P56" s="20" t="s">
        <v>26</v>
      </c>
      <c r="Q56" s="20" t="s">
        <v>26</v>
      </c>
      <c r="R56" s="20" t="s">
        <v>26</v>
      </c>
      <c r="S56" s="20" t="s">
        <v>32</v>
      </c>
      <c r="T56" s="20" t="s">
        <v>195</v>
      </c>
      <c r="U56" s="20" t="s">
        <v>4037</v>
      </c>
      <c r="V56" s="21"/>
      <c r="W56" s="21">
        <v>46299</v>
      </c>
      <c r="X56" s="20" t="s">
        <v>3836</v>
      </c>
      <c r="Y56" s="21">
        <v>46300</v>
      </c>
      <c r="Z56" s="20" t="s">
        <v>4032</v>
      </c>
    </row>
    <row r="57" spans="1:27" x14ac:dyDescent="0.25">
      <c r="A57" s="9">
        <f t="shared" si="0"/>
        <v>50</v>
      </c>
      <c r="B57" s="19" t="s">
        <v>4027</v>
      </c>
      <c r="C57" s="20" t="s">
        <v>3829</v>
      </c>
      <c r="D57" s="20" t="s">
        <v>4073</v>
      </c>
      <c r="E57" s="20" t="s">
        <v>26</v>
      </c>
      <c r="F57" s="20" t="s">
        <v>4071</v>
      </c>
      <c r="G57" s="20" t="s">
        <v>25</v>
      </c>
      <c r="H57" s="20" t="s">
        <v>26</v>
      </c>
      <c r="I57" s="21">
        <v>46299</v>
      </c>
      <c r="J57" s="20" t="s">
        <v>36</v>
      </c>
      <c r="K57" s="20" t="s">
        <v>58</v>
      </c>
      <c r="L57" s="20" t="s">
        <v>4072</v>
      </c>
      <c r="M57" s="20" t="s">
        <v>259</v>
      </c>
      <c r="N57" s="22" t="s">
        <v>250</v>
      </c>
      <c r="O57" s="20" t="s">
        <v>3847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4037</v>
      </c>
      <c r="V57" s="21"/>
      <c r="W57" s="21">
        <v>46299</v>
      </c>
      <c r="X57" s="20" t="s">
        <v>3836</v>
      </c>
      <c r="Y57" s="21">
        <v>46300</v>
      </c>
      <c r="Z57" s="20" t="s">
        <v>4032</v>
      </c>
    </row>
    <row r="58" spans="1:27" x14ac:dyDescent="0.25">
      <c r="A58" s="9">
        <f t="shared" si="0"/>
        <v>51</v>
      </c>
      <c r="B58" s="19" t="s">
        <v>4027</v>
      </c>
      <c r="C58" s="20" t="s">
        <v>3829</v>
      </c>
      <c r="D58" s="20" t="s">
        <v>4074</v>
      </c>
      <c r="E58" s="20" t="s">
        <v>26</v>
      </c>
      <c r="F58" s="20" t="s">
        <v>4071</v>
      </c>
      <c r="G58" s="20" t="s">
        <v>25</v>
      </c>
      <c r="H58" s="20" t="s">
        <v>26</v>
      </c>
      <c r="I58" s="21">
        <v>46299</v>
      </c>
      <c r="J58" s="20" t="s">
        <v>36</v>
      </c>
      <c r="K58" s="20" t="s">
        <v>59</v>
      </c>
      <c r="L58" s="20" t="s">
        <v>4072</v>
      </c>
      <c r="M58" s="20" t="s">
        <v>259</v>
      </c>
      <c r="N58" s="22" t="s">
        <v>250</v>
      </c>
      <c r="O58" s="20" t="s">
        <v>3847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4037</v>
      </c>
      <c r="V58" s="21"/>
      <c r="W58" s="21">
        <v>46299</v>
      </c>
      <c r="X58" s="20" t="s">
        <v>3836</v>
      </c>
      <c r="Y58" s="21">
        <v>46300</v>
      </c>
      <c r="Z58" s="20" t="s">
        <v>4032</v>
      </c>
    </row>
    <row r="59" spans="1:27" x14ac:dyDescent="0.25">
      <c r="A59" s="9">
        <f t="shared" si="0"/>
        <v>52</v>
      </c>
      <c r="B59" s="19" t="s">
        <v>4027</v>
      </c>
      <c r="C59" s="20" t="s">
        <v>3829</v>
      </c>
      <c r="D59" s="20" t="s">
        <v>4075</v>
      </c>
      <c r="E59" s="20" t="s">
        <v>26</v>
      </c>
      <c r="F59" s="20" t="s">
        <v>4071</v>
      </c>
      <c r="G59" s="20" t="s">
        <v>25</v>
      </c>
      <c r="H59" s="20" t="s">
        <v>26</v>
      </c>
      <c r="I59" s="21">
        <v>46299</v>
      </c>
      <c r="J59" s="20" t="s">
        <v>36</v>
      </c>
      <c r="K59" s="20" t="s">
        <v>684</v>
      </c>
      <c r="L59" s="20" t="s">
        <v>4072</v>
      </c>
      <c r="M59" s="20" t="s">
        <v>259</v>
      </c>
      <c r="N59" s="22" t="s">
        <v>250</v>
      </c>
      <c r="O59" s="20" t="s">
        <v>3847</v>
      </c>
      <c r="P59" s="20" t="s">
        <v>26</v>
      </c>
      <c r="Q59" s="20" t="s">
        <v>26</v>
      </c>
      <c r="R59" s="20" t="s">
        <v>26</v>
      </c>
      <c r="S59" s="20" t="s">
        <v>32</v>
      </c>
      <c r="T59" s="20" t="s">
        <v>195</v>
      </c>
      <c r="U59" s="20" t="s">
        <v>4037</v>
      </c>
      <c r="V59" s="21"/>
      <c r="W59" s="21">
        <v>46299</v>
      </c>
      <c r="X59" s="20" t="s">
        <v>3836</v>
      </c>
      <c r="Y59" s="21">
        <v>46300</v>
      </c>
      <c r="Z59" s="20" t="s">
        <v>4032</v>
      </c>
    </row>
    <row r="60" spans="1:27" x14ac:dyDescent="0.25">
      <c r="A60" s="9">
        <f t="shared" si="0"/>
        <v>53</v>
      </c>
      <c r="B60" s="19" t="s">
        <v>4027</v>
      </c>
      <c r="C60" s="20" t="s">
        <v>3829</v>
      </c>
      <c r="D60" s="20" t="s">
        <v>4076</v>
      </c>
      <c r="E60" s="20" t="s">
        <v>26</v>
      </c>
      <c r="F60" s="20" t="s">
        <v>4071</v>
      </c>
      <c r="G60" s="20" t="s">
        <v>25</v>
      </c>
      <c r="H60" s="20" t="s">
        <v>26</v>
      </c>
      <c r="I60" s="21">
        <v>46299</v>
      </c>
      <c r="J60" s="20" t="s">
        <v>36</v>
      </c>
      <c r="K60" s="20" t="s">
        <v>557</v>
      </c>
      <c r="L60" s="20" t="s">
        <v>4072</v>
      </c>
      <c r="M60" s="20" t="s">
        <v>259</v>
      </c>
      <c r="N60" s="22" t="s">
        <v>250</v>
      </c>
      <c r="O60" s="20" t="s">
        <v>3847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4037</v>
      </c>
      <c r="V60" s="21"/>
      <c r="W60" s="21">
        <v>46299</v>
      </c>
      <c r="X60" s="20" t="s">
        <v>3836</v>
      </c>
      <c r="Y60" s="21">
        <v>46300</v>
      </c>
      <c r="Z60" s="20" t="s">
        <v>4032</v>
      </c>
    </row>
    <row r="61" spans="1:27" x14ac:dyDescent="0.25">
      <c r="A61" s="9">
        <f t="shared" si="0"/>
        <v>54</v>
      </c>
      <c r="B61" s="19" t="s">
        <v>4027</v>
      </c>
      <c r="C61" s="20" t="s">
        <v>3829</v>
      </c>
      <c r="D61" s="20" t="s">
        <v>4077</v>
      </c>
      <c r="E61" s="20" t="s">
        <v>26</v>
      </c>
      <c r="F61" s="20" t="s">
        <v>4071</v>
      </c>
      <c r="G61" s="20" t="s">
        <v>25</v>
      </c>
      <c r="H61" s="20" t="s">
        <v>26</v>
      </c>
      <c r="I61" s="21">
        <v>46299</v>
      </c>
      <c r="J61" s="20" t="s">
        <v>36</v>
      </c>
      <c r="K61" s="20" t="s">
        <v>1141</v>
      </c>
      <c r="L61" s="20" t="s">
        <v>4072</v>
      </c>
      <c r="M61" s="20" t="s">
        <v>259</v>
      </c>
      <c r="N61" s="22" t="s">
        <v>250</v>
      </c>
      <c r="O61" s="20" t="s">
        <v>3847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4037</v>
      </c>
      <c r="V61" s="21"/>
      <c r="W61" s="21">
        <v>46299</v>
      </c>
      <c r="X61" s="20" t="s">
        <v>3836</v>
      </c>
      <c r="Y61" s="21">
        <v>46300</v>
      </c>
      <c r="Z61" s="20" t="s">
        <v>4032</v>
      </c>
    </row>
    <row r="62" spans="1:27" x14ac:dyDescent="0.25">
      <c r="A62" s="9">
        <f t="shared" si="0"/>
        <v>55</v>
      </c>
      <c r="B62" s="19" t="s">
        <v>4027</v>
      </c>
      <c r="C62" s="20" t="s">
        <v>3829</v>
      </c>
      <c r="D62" s="20" t="s">
        <v>4078</v>
      </c>
      <c r="E62" s="20" t="s">
        <v>26</v>
      </c>
      <c r="F62" s="20" t="s">
        <v>4071</v>
      </c>
      <c r="G62" s="20" t="s">
        <v>25</v>
      </c>
      <c r="H62" s="20" t="s">
        <v>26</v>
      </c>
      <c r="I62" s="21">
        <v>46299</v>
      </c>
      <c r="J62" s="20" t="s">
        <v>36</v>
      </c>
      <c r="K62" s="20" t="s">
        <v>1143</v>
      </c>
      <c r="L62" s="20" t="s">
        <v>4072</v>
      </c>
      <c r="M62" s="20" t="s">
        <v>259</v>
      </c>
      <c r="N62" s="22" t="s">
        <v>250</v>
      </c>
      <c r="O62" s="20" t="s">
        <v>3847</v>
      </c>
      <c r="P62" s="20" t="s">
        <v>26</v>
      </c>
      <c r="Q62" s="20" t="s">
        <v>26</v>
      </c>
      <c r="R62" s="20" t="s">
        <v>26</v>
      </c>
      <c r="S62" s="20" t="s">
        <v>32</v>
      </c>
      <c r="T62" s="20" t="s">
        <v>195</v>
      </c>
      <c r="U62" s="20" t="s">
        <v>4037</v>
      </c>
      <c r="V62" s="21"/>
      <c r="W62" s="21">
        <v>46299</v>
      </c>
      <c r="X62" s="20" t="s">
        <v>3836</v>
      </c>
      <c r="Y62" s="21">
        <v>46300</v>
      </c>
      <c r="Z62" s="20" t="s">
        <v>4032</v>
      </c>
    </row>
    <row r="63" spans="1:27" x14ac:dyDescent="0.25">
      <c r="A63" s="9">
        <f t="shared" si="0"/>
        <v>56</v>
      </c>
      <c r="B63" s="19" t="s">
        <v>4027</v>
      </c>
      <c r="C63" s="20" t="s">
        <v>3829</v>
      </c>
      <c r="D63" s="20" t="s">
        <v>4079</v>
      </c>
      <c r="E63" s="20" t="s">
        <v>26</v>
      </c>
      <c r="F63" s="20" t="s">
        <v>4071</v>
      </c>
      <c r="G63" s="20" t="s">
        <v>25</v>
      </c>
      <c r="H63" s="20" t="s">
        <v>26</v>
      </c>
      <c r="I63" s="21">
        <v>46299</v>
      </c>
      <c r="J63" s="20" t="s">
        <v>36</v>
      </c>
      <c r="K63" s="20" t="s">
        <v>1145</v>
      </c>
      <c r="L63" s="20" t="s">
        <v>4072</v>
      </c>
      <c r="M63" s="20" t="s">
        <v>259</v>
      </c>
      <c r="N63" s="22" t="s">
        <v>250</v>
      </c>
      <c r="O63" s="20" t="s">
        <v>3847</v>
      </c>
      <c r="P63" s="20" t="s">
        <v>26</v>
      </c>
      <c r="Q63" s="20" t="s">
        <v>26</v>
      </c>
      <c r="R63" s="20" t="s">
        <v>26</v>
      </c>
      <c r="S63" s="20" t="s">
        <v>32</v>
      </c>
      <c r="T63" s="20" t="s">
        <v>195</v>
      </c>
      <c r="U63" s="20" t="s">
        <v>4037</v>
      </c>
      <c r="V63" s="21"/>
      <c r="W63" s="21">
        <v>46299</v>
      </c>
      <c r="X63" s="20" t="s">
        <v>3836</v>
      </c>
      <c r="Y63" s="21">
        <v>46300</v>
      </c>
      <c r="Z63" s="20" t="s">
        <v>4032</v>
      </c>
    </row>
    <row r="64" spans="1:27" x14ac:dyDescent="0.25">
      <c r="A64" s="9">
        <f t="shared" si="0"/>
        <v>57</v>
      </c>
      <c r="B64" s="19" t="s">
        <v>4027</v>
      </c>
      <c r="C64" s="20" t="s">
        <v>3829</v>
      </c>
      <c r="D64" s="20" t="s">
        <v>4080</v>
      </c>
      <c r="E64" s="20" t="s">
        <v>26</v>
      </c>
      <c r="F64" s="20" t="s">
        <v>4081</v>
      </c>
      <c r="G64" s="20" t="s">
        <v>25</v>
      </c>
      <c r="H64" s="20" t="s">
        <v>26</v>
      </c>
      <c r="I64" s="21">
        <v>46299</v>
      </c>
      <c r="J64" s="20" t="s">
        <v>82</v>
      </c>
      <c r="K64" s="20" t="s">
        <v>28</v>
      </c>
      <c r="L64" s="20" t="s">
        <v>4082</v>
      </c>
      <c r="M64" s="20" t="s">
        <v>259</v>
      </c>
      <c r="N64" s="22" t="s">
        <v>250</v>
      </c>
      <c r="O64" s="20" t="s">
        <v>3847</v>
      </c>
      <c r="P64" s="20" t="s">
        <v>613</v>
      </c>
      <c r="Q64" s="20" t="s">
        <v>614</v>
      </c>
      <c r="R64" s="20" t="s">
        <v>121</v>
      </c>
      <c r="S64" s="20" t="s">
        <v>32</v>
      </c>
      <c r="T64" s="20" t="s">
        <v>195</v>
      </c>
      <c r="U64" s="20" t="s">
        <v>4037</v>
      </c>
      <c r="V64" s="21"/>
      <c r="W64" s="21">
        <v>46299</v>
      </c>
      <c r="X64" s="20" t="s">
        <v>3836</v>
      </c>
      <c r="Y64" s="21">
        <v>46300</v>
      </c>
      <c r="Z64" s="20" t="s">
        <v>4032</v>
      </c>
    </row>
    <row r="65" spans="1:26" x14ac:dyDescent="0.25">
      <c r="A65" s="9">
        <f t="shared" si="0"/>
        <v>58</v>
      </c>
      <c r="B65" s="19" t="s">
        <v>4027</v>
      </c>
      <c r="C65" s="20" t="s">
        <v>3829</v>
      </c>
      <c r="D65" s="20" t="s">
        <v>4083</v>
      </c>
      <c r="E65" s="20" t="s">
        <v>26</v>
      </c>
      <c r="F65" s="20" t="s">
        <v>4084</v>
      </c>
      <c r="G65" s="20" t="s">
        <v>25</v>
      </c>
      <c r="H65" s="20" t="s">
        <v>26</v>
      </c>
      <c r="I65" s="21">
        <v>46299</v>
      </c>
      <c r="J65" s="20" t="s">
        <v>82</v>
      </c>
      <c r="K65" s="20" t="s">
        <v>28</v>
      </c>
      <c r="L65" s="20" t="s">
        <v>4085</v>
      </c>
      <c r="M65" s="20" t="s">
        <v>259</v>
      </c>
      <c r="N65" s="22" t="s">
        <v>250</v>
      </c>
      <c r="O65" s="20" t="s">
        <v>3847</v>
      </c>
      <c r="P65" s="20" t="s">
        <v>613</v>
      </c>
      <c r="Q65" s="20" t="s">
        <v>614</v>
      </c>
      <c r="R65" s="20" t="s">
        <v>337</v>
      </c>
      <c r="S65" s="20" t="s">
        <v>32</v>
      </c>
      <c r="T65" s="20" t="s">
        <v>55</v>
      </c>
      <c r="U65" s="20" t="s">
        <v>4086</v>
      </c>
      <c r="V65" s="21"/>
      <c r="W65" s="21">
        <v>46299</v>
      </c>
      <c r="X65" s="20" t="s">
        <v>3836</v>
      </c>
      <c r="Y65" s="21">
        <v>46300</v>
      </c>
      <c r="Z65" s="20" t="s">
        <v>4032</v>
      </c>
    </row>
    <row r="66" spans="1:26" x14ac:dyDescent="0.25">
      <c r="A66" s="9">
        <f t="shared" si="0"/>
        <v>59</v>
      </c>
      <c r="B66" s="19" t="s">
        <v>4027</v>
      </c>
      <c r="C66" s="20" t="s">
        <v>3829</v>
      </c>
      <c r="D66" s="20" t="s">
        <v>4087</v>
      </c>
      <c r="E66" s="20" t="s">
        <v>26</v>
      </c>
      <c r="F66" s="20" t="s">
        <v>4088</v>
      </c>
      <c r="G66" s="20" t="s">
        <v>25</v>
      </c>
      <c r="H66" s="20" t="s">
        <v>26</v>
      </c>
      <c r="I66" s="21">
        <v>46299</v>
      </c>
      <c r="J66" s="20" t="s">
        <v>52</v>
      </c>
      <c r="K66" s="20" t="s">
        <v>28</v>
      </c>
      <c r="L66" s="20" t="s">
        <v>4089</v>
      </c>
      <c r="M66" s="20" t="s">
        <v>259</v>
      </c>
      <c r="N66" s="22" t="s">
        <v>250</v>
      </c>
      <c r="O66" s="20" t="s">
        <v>3847</v>
      </c>
      <c r="P66" s="20" t="s">
        <v>613</v>
      </c>
      <c r="Q66" s="20" t="s">
        <v>614</v>
      </c>
      <c r="R66" s="20" t="s">
        <v>118</v>
      </c>
      <c r="S66" s="20" t="s">
        <v>32</v>
      </c>
      <c r="T66" s="20" t="s">
        <v>195</v>
      </c>
      <c r="U66" s="20" t="s">
        <v>4037</v>
      </c>
      <c r="V66" s="21"/>
      <c r="W66" s="21">
        <v>46299</v>
      </c>
      <c r="X66" s="20" t="s">
        <v>3836</v>
      </c>
      <c r="Y66" s="21">
        <v>46300</v>
      </c>
      <c r="Z66" s="20" t="s">
        <v>4032</v>
      </c>
    </row>
    <row r="67" spans="1:26" x14ac:dyDescent="0.25">
      <c r="A67" s="9">
        <f t="shared" si="0"/>
        <v>60</v>
      </c>
      <c r="B67" s="19" t="s">
        <v>4027</v>
      </c>
      <c r="C67" s="20" t="s">
        <v>3829</v>
      </c>
      <c r="D67" s="20" t="s">
        <v>4090</v>
      </c>
      <c r="E67" s="20" t="s">
        <v>26</v>
      </c>
      <c r="F67" s="20" t="s">
        <v>4091</v>
      </c>
      <c r="G67" s="20" t="s">
        <v>25</v>
      </c>
      <c r="H67" s="20" t="s">
        <v>26</v>
      </c>
      <c r="I67" s="21">
        <v>46299</v>
      </c>
      <c r="J67" s="20" t="s">
        <v>52</v>
      </c>
      <c r="K67" s="20" t="s">
        <v>28</v>
      </c>
      <c r="L67" s="20" t="s">
        <v>4092</v>
      </c>
      <c r="M67" s="20" t="s">
        <v>259</v>
      </c>
      <c r="N67" s="22" t="s">
        <v>250</v>
      </c>
      <c r="O67" s="20" t="s">
        <v>3847</v>
      </c>
      <c r="P67" s="20" t="s">
        <v>613</v>
      </c>
      <c r="Q67" s="20" t="s">
        <v>614</v>
      </c>
      <c r="R67" s="20" t="s">
        <v>118</v>
      </c>
      <c r="S67" s="20" t="s">
        <v>32</v>
      </c>
      <c r="T67" s="20" t="s">
        <v>195</v>
      </c>
      <c r="U67" s="20" t="s">
        <v>4037</v>
      </c>
      <c r="V67" s="21"/>
      <c r="W67" s="21">
        <v>46299</v>
      </c>
      <c r="X67" s="20" t="s">
        <v>3836</v>
      </c>
      <c r="Y67" s="21">
        <v>46300</v>
      </c>
      <c r="Z67" s="20" t="s">
        <v>4032</v>
      </c>
    </row>
    <row r="68" spans="1:26" x14ac:dyDescent="0.25">
      <c r="A68" s="9">
        <f t="shared" si="0"/>
        <v>61</v>
      </c>
      <c r="B68" s="19" t="s">
        <v>4027</v>
      </c>
      <c r="C68" s="20" t="s">
        <v>3829</v>
      </c>
      <c r="D68" s="20" t="s">
        <v>4093</v>
      </c>
      <c r="E68" s="20" t="s">
        <v>26</v>
      </c>
      <c r="F68" s="20" t="s">
        <v>4094</v>
      </c>
      <c r="G68" s="20" t="s">
        <v>25</v>
      </c>
      <c r="H68" s="20" t="s">
        <v>26</v>
      </c>
      <c r="I68" s="21">
        <v>46299</v>
      </c>
      <c r="J68" s="20" t="s">
        <v>82</v>
      </c>
      <c r="K68" s="20" t="s">
        <v>28</v>
      </c>
      <c r="L68" s="20" t="s">
        <v>4095</v>
      </c>
      <c r="M68" s="20" t="s">
        <v>259</v>
      </c>
      <c r="N68" s="22" t="s">
        <v>250</v>
      </c>
      <c r="O68" s="20" t="s">
        <v>3847</v>
      </c>
      <c r="P68" s="20" t="s">
        <v>26</v>
      </c>
      <c r="Q68" s="20" t="s">
        <v>26</v>
      </c>
      <c r="R68" s="20" t="s">
        <v>26</v>
      </c>
      <c r="S68" s="20" t="s">
        <v>32</v>
      </c>
      <c r="T68" s="20" t="s">
        <v>195</v>
      </c>
      <c r="U68" s="20" t="s">
        <v>4096</v>
      </c>
      <c r="V68" s="21"/>
      <c r="W68" s="21">
        <v>46299</v>
      </c>
      <c r="X68" s="20" t="s">
        <v>3836</v>
      </c>
      <c r="Y68" s="21">
        <v>46300</v>
      </c>
      <c r="Z68" s="20" t="s">
        <v>4032</v>
      </c>
    </row>
    <row r="69" spans="1:26" x14ac:dyDescent="0.25">
      <c r="A69" s="9">
        <f t="shared" si="0"/>
        <v>62</v>
      </c>
      <c r="B69" s="19" t="s">
        <v>4027</v>
      </c>
      <c r="C69" s="20" t="s">
        <v>3829</v>
      </c>
      <c r="D69" s="20" t="s">
        <v>4097</v>
      </c>
      <c r="E69" s="20" t="s">
        <v>26</v>
      </c>
      <c r="F69" s="20" t="s">
        <v>4094</v>
      </c>
      <c r="G69" s="20" t="s">
        <v>25</v>
      </c>
      <c r="H69" s="20" t="s">
        <v>26</v>
      </c>
      <c r="I69" s="21">
        <v>46299</v>
      </c>
      <c r="J69" s="20" t="s">
        <v>82</v>
      </c>
      <c r="K69" s="20" t="s">
        <v>58</v>
      </c>
      <c r="L69" s="20" t="s">
        <v>4095</v>
      </c>
      <c r="M69" s="20" t="s">
        <v>259</v>
      </c>
      <c r="N69" s="22" t="s">
        <v>250</v>
      </c>
      <c r="O69" s="20" t="s">
        <v>3847</v>
      </c>
      <c r="P69" s="20" t="s">
        <v>26</v>
      </c>
      <c r="Q69" s="20" t="s">
        <v>26</v>
      </c>
      <c r="R69" s="20" t="s">
        <v>26</v>
      </c>
      <c r="S69" s="20" t="s">
        <v>32</v>
      </c>
      <c r="T69" s="20" t="s">
        <v>195</v>
      </c>
      <c r="U69" s="20" t="s">
        <v>4096</v>
      </c>
      <c r="V69" s="21"/>
      <c r="W69" s="21">
        <v>46299</v>
      </c>
      <c r="X69" s="20" t="s">
        <v>3836</v>
      </c>
      <c r="Y69" s="21">
        <v>46300</v>
      </c>
      <c r="Z69" s="20" t="s">
        <v>4032</v>
      </c>
    </row>
    <row r="70" spans="1:26" x14ac:dyDescent="0.25">
      <c r="A70" s="9">
        <f t="shared" si="0"/>
        <v>63</v>
      </c>
      <c r="B70" s="19" t="s">
        <v>4027</v>
      </c>
      <c r="C70" s="20" t="s">
        <v>3829</v>
      </c>
      <c r="D70" s="20" t="s">
        <v>4098</v>
      </c>
      <c r="E70" s="20" t="s">
        <v>26</v>
      </c>
      <c r="F70" s="20" t="s">
        <v>4094</v>
      </c>
      <c r="G70" s="20" t="s">
        <v>25</v>
      </c>
      <c r="H70" s="20" t="s">
        <v>26</v>
      </c>
      <c r="I70" s="21">
        <v>46299</v>
      </c>
      <c r="J70" s="20" t="s">
        <v>82</v>
      </c>
      <c r="K70" s="20" t="s">
        <v>59</v>
      </c>
      <c r="L70" s="20" t="s">
        <v>4095</v>
      </c>
      <c r="M70" s="20" t="s">
        <v>259</v>
      </c>
      <c r="N70" s="22" t="s">
        <v>250</v>
      </c>
      <c r="O70" s="20" t="s">
        <v>3847</v>
      </c>
      <c r="P70" s="20" t="s">
        <v>26</v>
      </c>
      <c r="Q70" s="20" t="s">
        <v>26</v>
      </c>
      <c r="R70" s="20" t="s">
        <v>26</v>
      </c>
      <c r="S70" s="20" t="s">
        <v>32</v>
      </c>
      <c r="T70" s="20" t="s">
        <v>195</v>
      </c>
      <c r="U70" s="20" t="s">
        <v>4096</v>
      </c>
      <c r="V70" s="21"/>
      <c r="W70" s="21">
        <v>46299</v>
      </c>
      <c r="X70" s="20" t="s">
        <v>3836</v>
      </c>
      <c r="Y70" s="21">
        <v>46300</v>
      </c>
      <c r="Z70" s="20" t="s">
        <v>4032</v>
      </c>
    </row>
    <row r="71" spans="1:26" x14ac:dyDescent="0.25">
      <c r="A71" s="9">
        <f t="shared" si="0"/>
        <v>64</v>
      </c>
      <c r="B71" s="19" t="s">
        <v>4027</v>
      </c>
      <c r="C71" s="20" t="s">
        <v>3829</v>
      </c>
      <c r="D71" s="20" t="s">
        <v>4099</v>
      </c>
      <c r="E71" s="20" t="s">
        <v>26</v>
      </c>
      <c r="F71" s="20" t="s">
        <v>4094</v>
      </c>
      <c r="G71" s="20" t="s">
        <v>25</v>
      </c>
      <c r="H71" s="20" t="s">
        <v>26</v>
      </c>
      <c r="I71" s="21">
        <v>46299</v>
      </c>
      <c r="J71" s="20" t="s">
        <v>82</v>
      </c>
      <c r="K71" s="20" t="s">
        <v>684</v>
      </c>
      <c r="L71" s="20" t="s">
        <v>4095</v>
      </c>
      <c r="M71" s="20" t="s">
        <v>259</v>
      </c>
      <c r="N71" s="22" t="s">
        <v>250</v>
      </c>
      <c r="O71" s="20" t="s">
        <v>3847</v>
      </c>
      <c r="P71" s="20" t="s">
        <v>26</v>
      </c>
      <c r="Q71" s="20" t="s">
        <v>26</v>
      </c>
      <c r="R71" s="20" t="s">
        <v>26</v>
      </c>
      <c r="S71" s="20" t="s">
        <v>32</v>
      </c>
      <c r="T71" s="20" t="s">
        <v>195</v>
      </c>
      <c r="U71" s="20" t="s">
        <v>4096</v>
      </c>
      <c r="V71" s="21"/>
      <c r="W71" s="21">
        <v>46299</v>
      </c>
      <c r="X71" s="20" t="s">
        <v>3836</v>
      </c>
      <c r="Y71" s="21">
        <v>46300</v>
      </c>
      <c r="Z71" s="20" t="s">
        <v>4032</v>
      </c>
    </row>
    <row r="72" spans="1:26" x14ac:dyDescent="0.25">
      <c r="A72" s="9">
        <f t="shared" si="0"/>
        <v>65</v>
      </c>
      <c r="B72" s="19" t="s">
        <v>4027</v>
      </c>
      <c r="C72" s="20" t="s">
        <v>3829</v>
      </c>
      <c r="D72" s="20" t="s">
        <v>4100</v>
      </c>
      <c r="E72" s="20" t="s">
        <v>26</v>
      </c>
      <c r="F72" s="20" t="s">
        <v>4094</v>
      </c>
      <c r="G72" s="20" t="s">
        <v>25</v>
      </c>
      <c r="H72" s="20" t="s">
        <v>26</v>
      </c>
      <c r="I72" s="21">
        <v>46299</v>
      </c>
      <c r="J72" s="20" t="s">
        <v>82</v>
      </c>
      <c r="K72" s="20" t="s">
        <v>557</v>
      </c>
      <c r="L72" s="20" t="s">
        <v>4095</v>
      </c>
      <c r="M72" s="20" t="s">
        <v>259</v>
      </c>
      <c r="N72" s="22" t="s">
        <v>250</v>
      </c>
      <c r="O72" s="20" t="s">
        <v>3847</v>
      </c>
      <c r="P72" s="20" t="s">
        <v>26</v>
      </c>
      <c r="Q72" s="20" t="s">
        <v>26</v>
      </c>
      <c r="R72" s="20" t="s">
        <v>26</v>
      </c>
      <c r="S72" s="20" t="s">
        <v>32</v>
      </c>
      <c r="T72" s="20" t="s">
        <v>195</v>
      </c>
      <c r="U72" s="20" t="s">
        <v>4096</v>
      </c>
      <c r="V72" s="21"/>
      <c r="W72" s="21">
        <v>46299</v>
      </c>
      <c r="X72" s="20" t="s">
        <v>3836</v>
      </c>
      <c r="Y72" s="21">
        <v>46300</v>
      </c>
      <c r="Z72" s="20" t="s">
        <v>4032</v>
      </c>
    </row>
    <row r="73" spans="1:26" x14ac:dyDescent="0.25">
      <c r="A73" s="9">
        <f t="shared" si="0"/>
        <v>66</v>
      </c>
      <c r="B73" s="19" t="s">
        <v>4027</v>
      </c>
      <c r="C73" s="20" t="s">
        <v>3829</v>
      </c>
      <c r="D73" s="20" t="s">
        <v>4101</v>
      </c>
      <c r="E73" s="20" t="s">
        <v>26</v>
      </c>
      <c r="F73" s="20" t="s">
        <v>4094</v>
      </c>
      <c r="G73" s="20" t="s">
        <v>25</v>
      </c>
      <c r="H73" s="20" t="s">
        <v>26</v>
      </c>
      <c r="I73" s="21">
        <v>46299</v>
      </c>
      <c r="J73" s="20" t="s">
        <v>82</v>
      </c>
      <c r="K73" s="20" t="s">
        <v>1141</v>
      </c>
      <c r="L73" s="20" t="s">
        <v>4095</v>
      </c>
      <c r="M73" s="20" t="s">
        <v>259</v>
      </c>
      <c r="N73" s="22" t="s">
        <v>250</v>
      </c>
      <c r="O73" s="20" t="s">
        <v>3847</v>
      </c>
      <c r="P73" s="20" t="s">
        <v>26</v>
      </c>
      <c r="Q73" s="20" t="s">
        <v>26</v>
      </c>
      <c r="R73" s="20" t="s">
        <v>26</v>
      </c>
      <c r="S73" s="20" t="s">
        <v>32</v>
      </c>
      <c r="T73" s="20" t="s">
        <v>195</v>
      </c>
      <c r="U73" s="20" t="s">
        <v>4096</v>
      </c>
      <c r="V73" s="21"/>
      <c r="W73" s="21">
        <v>46299</v>
      </c>
      <c r="X73" s="20" t="s">
        <v>3836</v>
      </c>
      <c r="Y73" s="21">
        <v>46300</v>
      </c>
      <c r="Z73" s="20" t="s">
        <v>4032</v>
      </c>
    </row>
    <row r="74" spans="1:26" x14ac:dyDescent="0.25">
      <c r="A74" s="9">
        <f t="shared" ref="A74:A137" si="1">A73+1</f>
        <v>67</v>
      </c>
      <c r="B74" s="19" t="s">
        <v>4027</v>
      </c>
      <c r="C74" s="20" t="s">
        <v>3829</v>
      </c>
      <c r="D74" s="20" t="s">
        <v>4102</v>
      </c>
      <c r="E74" s="20" t="s">
        <v>26</v>
      </c>
      <c r="F74" s="20" t="s">
        <v>4094</v>
      </c>
      <c r="G74" s="20" t="s">
        <v>25</v>
      </c>
      <c r="H74" s="20" t="s">
        <v>26</v>
      </c>
      <c r="I74" s="21">
        <v>46299</v>
      </c>
      <c r="J74" s="20" t="s">
        <v>82</v>
      </c>
      <c r="K74" s="20" t="s">
        <v>1143</v>
      </c>
      <c r="L74" s="20" t="s">
        <v>4095</v>
      </c>
      <c r="M74" s="20" t="s">
        <v>259</v>
      </c>
      <c r="N74" s="22" t="s">
        <v>250</v>
      </c>
      <c r="O74" s="20" t="s">
        <v>3847</v>
      </c>
      <c r="P74" s="20" t="s">
        <v>26</v>
      </c>
      <c r="Q74" s="20" t="s">
        <v>26</v>
      </c>
      <c r="R74" s="20" t="s">
        <v>26</v>
      </c>
      <c r="S74" s="20" t="s">
        <v>32</v>
      </c>
      <c r="T74" s="20" t="s">
        <v>195</v>
      </c>
      <c r="U74" s="20" t="s">
        <v>4096</v>
      </c>
      <c r="V74" s="21"/>
      <c r="W74" s="21">
        <v>46299</v>
      </c>
      <c r="X74" s="20" t="s">
        <v>3836</v>
      </c>
      <c r="Y74" s="21">
        <v>46300</v>
      </c>
      <c r="Z74" s="20" t="s">
        <v>4032</v>
      </c>
    </row>
    <row r="75" spans="1:26" x14ac:dyDescent="0.25">
      <c r="A75" s="9">
        <f t="shared" si="1"/>
        <v>68</v>
      </c>
      <c r="B75" s="19" t="s">
        <v>4027</v>
      </c>
      <c r="C75" s="20" t="s">
        <v>3829</v>
      </c>
      <c r="D75" s="20" t="s">
        <v>4103</v>
      </c>
      <c r="E75" s="20" t="s">
        <v>26</v>
      </c>
      <c r="F75" s="20" t="s">
        <v>4094</v>
      </c>
      <c r="G75" s="20" t="s">
        <v>25</v>
      </c>
      <c r="H75" s="20" t="s">
        <v>26</v>
      </c>
      <c r="I75" s="21">
        <v>46299</v>
      </c>
      <c r="J75" s="20" t="s">
        <v>82</v>
      </c>
      <c r="K75" s="20" t="s">
        <v>1145</v>
      </c>
      <c r="L75" s="20" t="s">
        <v>4095</v>
      </c>
      <c r="M75" s="20" t="s">
        <v>259</v>
      </c>
      <c r="N75" s="22" t="s">
        <v>250</v>
      </c>
      <c r="O75" s="20" t="s">
        <v>3847</v>
      </c>
      <c r="P75" s="20" t="s">
        <v>26</v>
      </c>
      <c r="Q75" s="20" t="s">
        <v>26</v>
      </c>
      <c r="R75" s="20" t="s">
        <v>26</v>
      </c>
      <c r="S75" s="20" t="s">
        <v>32</v>
      </c>
      <c r="T75" s="20" t="s">
        <v>195</v>
      </c>
      <c r="U75" s="20" t="s">
        <v>4096</v>
      </c>
      <c r="V75" s="21"/>
      <c r="W75" s="21">
        <v>46299</v>
      </c>
      <c r="X75" s="20" t="s">
        <v>3836</v>
      </c>
      <c r="Y75" s="21">
        <v>46300</v>
      </c>
      <c r="Z75" s="20" t="s">
        <v>4032</v>
      </c>
    </row>
    <row r="76" spans="1:26" x14ac:dyDescent="0.25">
      <c r="A76" s="9">
        <f t="shared" si="1"/>
        <v>69</v>
      </c>
      <c r="B76" s="19" t="s">
        <v>4027</v>
      </c>
      <c r="C76" s="20" t="s">
        <v>3829</v>
      </c>
      <c r="D76" s="20" t="s">
        <v>4104</v>
      </c>
      <c r="E76" s="20" t="s">
        <v>26</v>
      </c>
      <c r="F76" s="20" t="s">
        <v>4094</v>
      </c>
      <c r="G76" s="20" t="s">
        <v>25</v>
      </c>
      <c r="H76" s="20" t="s">
        <v>26</v>
      </c>
      <c r="I76" s="21">
        <v>46299</v>
      </c>
      <c r="J76" s="20" t="s">
        <v>82</v>
      </c>
      <c r="K76" s="20" t="s">
        <v>1147</v>
      </c>
      <c r="L76" s="20" t="s">
        <v>4095</v>
      </c>
      <c r="M76" s="20" t="s">
        <v>259</v>
      </c>
      <c r="N76" s="22" t="s">
        <v>250</v>
      </c>
      <c r="O76" s="20" t="s">
        <v>3847</v>
      </c>
      <c r="P76" s="20" t="s">
        <v>26</v>
      </c>
      <c r="Q76" s="20" t="s">
        <v>26</v>
      </c>
      <c r="R76" s="20" t="s">
        <v>26</v>
      </c>
      <c r="S76" s="20" t="s">
        <v>32</v>
      </c>
      <c r="T76" s="20" t="s">
        <v>195</v>
      </c>
      <c r="U76" s="20" t="s">
        <v>4096</v>
      </c>
      <c r="V76" s="21"/>
      <c r="W76" s="21">
        <v>46299</v>
      </c>
      <c r="X76" s="20" t="s">
        <v>3836</v>
      </c>
      <c r="Y76" s="21">
        <v>46300</v>
      </c>
      <c r="Z76" s="20" t="s">
        <v>4032</v>
      </c>
    </row>
    <row r="77" spans="1:26" x14ac:dyDescent="0.25">
      <c r="A77" s="9">
        <f t="shared" si="1"/>
        <v>70</v>
      </c>
      <c r="B77" s="19" t="s">
        <v>4027</v>
      </c>
      <c r="C77" s="20" t="s">
        <v>3829</v>
      </c>
      <c r="D77" s="20" t="s">
        <v>4105</v>
      </c>
      <c r="E77" s="20" t="s">
        <v>26</v>
      </c>
      <c r="F77" s="20" t="s">
        <v>4094</v>
      </c>
      <c r="G77" s="20" t="s">
        <v>25</v>
      </c>
      <c r="H77" s="20" t="s">
        <v>26</v>
      </c>
      <c r="I77" s="21">
        <v>46299</v>
      </c>
      <c r="J77" s="20" t="s">
        <v>82</v>
      </c>
      <c r="K77" s="20" t="s">
        <v>1149</v>
      </c>
      <c r="L77" s="20" t="s">
        <v>4095</v>
      </c>
      <c r="M77" s="20" t="s">
        <v>259</v>
      </c>
      <c r="N77" s="22" t="s">
        <v>250</v>
      </c>
      <c r="O77" s="20" t="s">
        <v>3847</v>
      </c>
      <c r="P77" s="20" t="s">
        <v>26</v>
      </c>
      <c r="Q77" s="20" t="s">
        <v>26</v>
      </c>
      <c r="R77" s="20" t="s">
        <v>26</v>
      </c>
      <c r="S77" s="20" t="s">
        <v>32</v>
      </c>
      <c r="T77" s="20" t="s">
        <v>195</v>
      </c>
      <c r="U77" s="20" t="s">
        <v>4096</v>
      </c>
      <c r="V77" s="21"/>
      <c r="W77" s="21">
        <v>46299</v>
      </c>
      <c r="X77" s="20" t="s">
        <v>3836</v>
      </c>
      <c r="Y77" s="21">
        <v>46300</v>
      </c>
      <c r="Z77" s="20" t="s">
        <v>4032</v>
      </c>
    </row>
    <row r="78" spans="1:26" x14ac:dyDescent="0.25">
      <c r="A78" s="9">
        <f t="shared" si="1"/>
        <v>71</v>
      </c>
      <c r="B78" s="19" t="s">
        <v>4027</v>
      </c>
      <c r="C78" s="20" t="s">
        <v>3829</v>
      </c>
      <c r="D78" s="20" t="s">
        <v>4106</v>
      </c>
      <c r="E78" s="20" t="s">
        <v>26</v>
      </c>
      <c r="F78" s="20" t="s">
        <v>4094</v>
      </c>
      <c r="G78" s="20" t="s">
        <v>25</v>
      </c>
      <c r="H78" s="20" t="s">
        <v>26</v>
      </c>
      <c r="I78" s="21">
        <v>46299</v>
      </c>
      <c r="J78" s="20" t="s">
        <v>82</v>
      </c>
      <c r="K78" s="20" t="s">
        <v>1151</v>
      </c>
      <c r="L78" s="20" t="s">
        <v>4095</v>
      </c>
      <c r="M78" s="20" t="s">
        <v>259</v>
      </c>
      <c r="N78" s="22" t="s">
        <v>250</v>
      </c>
      <c r="O78" s="20" t="s">
        <v>3847</v>
      </c>
      <c r="P78" s="20" t="s">
        <v>26</v>
      </c>
      <c r="Q78" s="20" t="s">
        <v>26</v>
      </c>
      <c r="R78" s="20" t="s">
        <v>26</v>
      </c>
      <c r="S78" s="20" t="s">
        <v>32</v>
      </c>
      <c r="T78" s="20" t="s">
        <v>195</v>
      </c>
      <c r="U78" s="20" t="s">
        <v>4096</v>
      </c>
      <c r="V78" s="21"/>
      <c r="W78" s="21">
        <v>46299</v>
      </c>
      <c r="X78" s="20" t="s">
        <v>3836</v>
      </c>
      <c r="Y78" s="21">
        <v>46300</v>
      </c>
      <c r="Z78" s="20" t="s">
        <v>4032</v>
      </c>
    </row>
    <row r="79" spans="1:26" x14ac:dyDescent="0.25">
      <c r="A79" s="9">
        <f t="shared" si="1"/>
        <v>72</v>
      </c>
      <c r="B79" s="19" t="s">
        <v>4027</v>
      </c>
      <c r="C79" s="20" t="s">
        <v>3829</v>
      </c>
      <c r="D79" s="20" t="s">
        <v>4107</v>
      </c>
      <c r="E79" s="20" t="s">
        <v>26</v>
      </c>
      <c r="F79" s="20" t="s">
        <v>4094</v>
      </c>
      <c r="G79" s="20" t="s">
        <v>25</v>
      </c>
      <c r="H79" s="20" t="s">
        <v>26</v>
      </c>
      <c r="I79" s="21">
        <v>46299</v>
      </c>
      <c r="J79" s="20" t="s">
        <v>82</v>
      </c>
      <c r="K79" s="20" t="s">
        <v>4055</v>
      </c>
      <c r="L79" s="20" t="s">
        <v>4095</v>
      </c>
      <c r="M79" s="20" t="s">
        <v>259</v>
      </c>
      <c r="N79" s="22" t="s">
        <v>250</v>
      </c>
      <c r="O79" s="20" t="s">
        <v>3847</v>
      </c>
      <c r="P79" s="20" t="s">
        <v>26</v>
      </c>
      <c r="Q79" s="20" t="s">
        <v>26</v>
      </c>
      <c r="R79" s="20" t="s">
        <v>26</v>
      </c>
      <c r="S79" s="20" t="s">
        <v>32</v>
      </c>
      <c r="T79" s="20" t="s">
        <v>195</v>
      </c>
      <c r="U79" s="20" t="s">
        <v>4096</v>
      </c>
      <c r="V79" s="21"/>
      <c r="W79" s="21">
        <v>46299</v>
      </c>
      <c r="X79" s="20" t="s">
        <v>3836</v>
      </c>
      <c r="Y79" s="21">
        <v>46300</v>
      </c>
      <c r="Z79" s="20" t="s">
        <v>4032</v>
      </c>
    </row>
    <row r="80" spans="1:26" x14ac:dyDescent="0.25">
      <c r="A80" s="9">
        <f t="shared" si="1"/>
        <v>73</v>
      </c>
      <c r="B80" s="19" t="s">
        <v>4027</v>
      </c>
      <c r="C80" s="20" t="s">
        <v>3829</v>
      </c>
      <c r="D80" s="20" t="s">
        <v>4108</v>
      </c>
      <c r="E80" s="20" t="s">
        <v>26</v>
      </c>
      <c r="F80" s="20" t="s">
        <v>4094</v>
      </c>
      <c r="G80" s="20" t="s">
        <v>25</v>
      </c>
      <c r="H80" s="20" t="s">
        <v>26</v>
      </c>
      <c r="I80" s="21">
        <v>46299</v>
      </c>
      <c r="J80" s="20" t="s">
        <v>82</v>
      </c>
      <c r="K80" s="20" t="s">
        <v>4057</v>
      </c>
      <c r="L80" s="20" t="s">
        <v>4095</v>
      </c>
      <c r="M80" s="20" t="s">
        <v>259</v>
      </c>
      <c r="N80" s="22" t="s">
        <v>250</v>
      </c>
      <c r="O80" s="20" t="s">
        <v>3847</v>
      </c>
      <c r="P80" s="20" t="s">
        <v>26</v>
      </c>
      <c r="Q80" s="20" t="s">
        <v>26</v>
      </c>
      <c r="R80" s="20" t="s">
        <v>26</v>
      </c>
      <c r="S80" s="20" t="s">
        <v>32</v>
      </c>
      <c r="T80" s="20" t="s">
        <v>195</v>
      </c>
      <c r="U80" s="20" t="s">
        <v>4096</v>
      </c>
      <c r="V80" s="21"/>
      <c r="W80" s="21">
        <v>46299</v>
      </c>
      <c r="X80" s="20" t="s">
        <v>3836</v>
      </c>
      <c r="Y80" s="21">
        <v>46300</v>
      </c>
      <c r="Z80" s="20" t="s">
        <v>4032</v>
      </c>
    </row>
    <row r="81" spans="1:26" x14ac:dyDescent="0.25">
      <c r="A81" s="9">
        <f t="shared" si="1"/>
        <v>74</v>
      </c>
      <c r="B81" s="19" t="s">
        <v>4027</v>
      </c>
      <c r="C81" s="20" t="s">
        <v>3829</v>
      </c>
      <c r="D81" s="20" t="s">
        <v>4109</v>
      </c>
      <c r="E81" s="20" t="s">
        <v>26</v>
      </c>
      <c r="F81" s="20" t="s">
        <v>4110</v>
      </c>
      <c r="G81" s="20" t="s">
        <v>25</v>
      </c>
      <c r="H81" s="20" t="s">
        <v>26</v>
      </c>
      <c r="I81" s="21">
        <v>46299</v>
      </c>
      <c r="J81" s="20" t="s">
        <v>52</v>
      </c>
      <c r="K81" s="20" t="s">
        <v>28</v>
      </c>
      <c r="L81" s="20" t="s">
        <v>4111</v>
      </c>
      <c r="M81" s="20" t="s">
        <v>259</v>
      </c>
      <c r="N81" s="22" t="s">
        <v>250</v>
      </c>
      <c r="O81" s="20" t="s">
        <v>3847</v>
      </c>
      <c r="P81" s="20" t="s">
        <v>613</v>
      </c>
      <c r="Q81" s="20" t="s">
        <v>614</v>
      </c>
      <c r="R81" s="20" t="s">
        <v>118</v>
      </c>
      <c r="S81" s="20" t="s">
        <v>32</v>
      </c>
      <c r="T81" s="20" t="s">
        <v>195</v>
      </c>
      <c r="U81" s="20" t="s">
        <v>4037</v>
      </c>
      <c r="V81" s="21"/>
      <c r="W81" s="21">
        <v>46299</v>
      </c>
      <c r="X81" s="20" t="s">
        <v>3836</v>
      </c>
      <c r="Y81" s="21">
        <v>46300</v>
      </c>
      <c r="Z81" s="20" t="s">
        <v>4032</v>
      </c>
    </row>
    <row r="82" spans="1:26" x14ac:dyDescent="0.25">
      <c r="A82" s="9">
        <f t="shared" si="1"/>
        <v>75</v>
      </c>
      <c r="B82" s="19" t="s">
        <v>4027</v>
      </c>
      <c r="C82" s="20" t="s">
        <v>3829</v>
      </c>
      <c r="D82" s="20" t="s">
        <v>4112</v>
      </c>
      <c r="E82" s="20" t="s">
        <v>26</v>
      </c>
      <c r="F82" s="20" t="s">
        <v>4113</v>
      </c>
      <c r="G82" s="20" t="s">
        <v>25</v>
      </c>
      <c r="H82" s="20" t="s">
        <v>26</v>
      </c>
      <c r="I82" s="21">
        <v>46299</v>
      </c>
      <c r="J82" s="20" t="s">
        <v>52</v>
      </c>
      <c r="K82" s="20" t="s">
        <v>28</v>
      </c>
      <c r="L82" s="20" t="s">
        <v>4114</v>
      </c>
      <c r="M82" s="20" t="s">
        <v>259</v>
      </c>
      <c r="N82" s="22" t="s">
        <v>250</v>
      </c>
      <c r="O82" s="20" t="s">
        <v>3847</v>
      </c>
      <c r="P82" s="20" t="s">
        <v>148</v>
      </c>
      <c r="Q82" s="20" t="s">
        <v>149</v>
      </c>
      <c r="R82" s="20" t="s">
        <v>26</v>
      </c>
      <c r="S82" s="20" t="s">
        <v>32</v>
      </c>
      <c r="T82" s="20" t="s">
        <v>195</v>
      </c>
      <c r="U82" s="20" t="s">
        <v>4037</v>
      </c>
      <c r="V82" s="21"/>
      <c r="W82" s="21">
        <v>46299</v>
      </c>
      <c r="X82" s="20" t="s">
        <v>3836</v>
      </c>
      <c r="Y82" s="21">
        <v>46300</v>
      </c>
      <c r="Z82" s="20" t="s">
        <v>4032</v>
      </c>
    </row>
    <row r="83" spans="1:26" x14ac:dyDescent="0.25">
      <c r="A83" s="9">
        <f t="shared" si="1"/>
        <v>76</v>
      </c>
      <c r="B83" s="19" t="s">
        <v>4027</v>
      </c>
      <c r="C83" s="20" t="s">
        <v>3829</v>
      </c>
      <c r="D83" s="20" t="s">
        <v>4115</v>
      </c>
      <c r="E83" s="20" t="s">
        <v>26</v>
      </c>
      <c r="F83" s="20" t="s">
        <v>4116</v>
      </c>
      <c r="G83" s="20" t="s">
        <v>25</v>
      </c>
      <c r="H83" s="20" t="s">
        <v>26</v>
      </c>
      <c r="I83" s="21">
        <v>46299</v>
      </c>
      <c r="J83" s="20" t="s">
        <v>52</v>
      </c>
      <c r="K83" s="20" t="s">
        <v>28</v>
      </c>
      <c r="L83" s="20" t="s">
        <v>4117</v>
      </c>
      <c r="M83" s="20" t="s">
        <v>259</v>
      </c>
      <c r="N83" s="22" t="s">
        <v>250</v>
      </c>
      <c r="O83" s="20" t="s">
        <v>3847</v>
      </c>
      <c r="P83" s="20" t="s">
        <v>148</v>
      </c>
      <c r="Q83" s="20" t="s">
        <v>149</v>
      </c>
      <c r="R83" s="20" t="s">
        <v>26</v>
      </c>
      <c r="S83" s="20" t="s">
        <v>32</v>
      </c>
      <c r="T83" s="20" t="s">
        <v>195</v>
      </c>
      <c r="U83" s="20" t="s">
        <v>4037</v>
      </c>
      <c r="V83" s="21"/>
      <c r="W83" s="21">
        <v>46299</v>
      </c>
      <c r="X83" s="20" t="s">
        <v>3836</v>
      </c>
      <c r="Y83" s="21">
        <v>46300</v>
      </c>
      <c r="Z83" s="20" t="s">
        <v>4032</v>
      </c>
    </row>
    <row r="84" spans="1:26" x14ac:dyDescent="0.25">
      <c r="A84" s="9">
        <f t="shared" si="1"/>
        <v>77</v>
      </c>
      <c r="B84" s="19" t="s">
        <v>4027</v>
      </c>
      <c r="C84" s="20" t="s">
        <v>3829</v>
      </c>
      <c r="D84" s="20" t="s">
        <v>4118</v>
      </c>
      <c r="E84" s="20" t="s">
        <v>26</v>
      </c>
      <c r="F84" s="20" t="s">
        <v>4119</v>
      </c>
      <c r="G84" s="20" t="s">
        <v>25</v>
      </c>
      <c r="H84" s="20" t="s">
        <v>26</v>
      </c>
      <c r="I84" s="21">
        <v>46299</v>
      </c>
      <c r="J84" s="20" t="s">
        <v>52</v>
      </c>
      <c r="K84" s="20" t="s">
        <v>28</v>
      </c>
      <c r="L84" s="20" t="s">
        <v>4120</v>
      </c>
      <c r="M84" s="20" t="s">
        <v>259</v>
      </c>
      <c r="N84" s="22" t="s">
        <v>250</v>
      </c>
      <c r="O84" s="20" t="s">
        <v>3847</v>
      </c>
      <c r="P84" s="20" t="s">
        <v>148</v>
      </c>
      <c r="Q84" s="20" t="s">
        <v>149</v>
      </c>
      <c r="R84" s="20" t="s">
        <v>26</v>
      </c>
      <c r="S84" s="20" t="s">
        <v>32</v>
      </c>
      <c r="T84" s="20" t="s">
        <v>195</v>
      </c>
      <c r="U84" s="20" t="s">
        <v>4037</v>
      </c>
      <c r="V84" s="21"/>
      <c r="W84" s="21">
        <v>46299</v>
      </c>
      <c r="X84" s="20" t="s">
        <v>3836</v>
      </c>
      <c r="Y84" s="21">
        <v>46300</v>
      </c>
      <c r="Z84" s="20" t="s">
        <v>4032</v>
      </c>
    </row>
    <row r="85" spans="1:26" x14ac:dyDescent="0.25">
      <c r="A85" s="9">
        <f t="shared" si="1"/>
        <v>78</v>
      </c>
      <c r="B85" s="19" t="s">
        <v>4027</v>
      </c>
      <c r="C85" s="20" t="s">
        <v>3829</v>
      </c>
      <c r="D85" s="20" t="s">
        <v>4121</v>
      </c>
      <c r="E85" s="20" t="s">
        <v>26</v>
      </c>
      <c r="F85" s="20" t="s">
        <v>4122</v>
      </c>
      <c r="G85" s="20" t="s">
        <v>25</v>
      </c>
      <c r="H85" s="20" t="s">
        <v>26</v>
      </c>
      <c r="I85" s="21">
        <v>46299</v>
      </c>
      <c r="J85" s="20" t="s">
        <v>82</v>
      </c>
      <c r="K85" s="20" t="s">
        <v>28</v>
      </c>
      <c r="L85" s="20" t="s">
        <v>4123</v>
      </c>
      <c r="M85" s="20" t="s">
        <v>259</v>
      </c>
      <c r="N85" s="22" t="s">
        <v>250</v>
      </c>
      <c r="O85" s="20" t="s">
        <v>3847</v>
      </c>
      <c r="P85" s="20" t="s">
        <v>613</v>
      </c>
      <c r="Q85" s="20" t="s">
        <v>614</v>
      </c>
      <c r="R85" s="20" t="s">
        <v>49</v>
      </c>
      <c r="S85" s="20" t="s">
        <v>32</v>
      </c>
      <c r="T85" s="20" t="s">
        <v>195</v>
      </c>
      <c r="U85" s="20" t="s">
        <v>4037</v>
      </c>
      <c r="V85" s="21"/>
      <c r="W85" s="21">
        <v>46299</v>
      </c>
      <c r="X85" s="20" t="s">
        <v>3836</v>
      </c>
      <c r="Y85" s="21">
        <v>46300</v>
      </c>
      <c r="Z85" s="20" t="s">
        <v>4032</v>
      </c>
    </row>
    <row r="86" spans="1:26" x14ac:dyDescent="0.25">
      <c r="A86" s="9">
        <f t="shared" si="1"/>
        <v>79</v>
      </c>
      <c r="B86" s="19" t="s">
        <v>4027</v>
      </c>
      <c r="C86" s="20" t="s">
        <v>3829</v>
      </c>
      <c r="D86" s="20" t="s">
        <v>4124</v>
      </c>
      <c r="E86" s="20" t="s">
        <v>26</v>
      </c>
      <c r="F86" s="20" t="s">
        <v>4125</v>
      </c>
      <c r="G86" s="20" t="s">
        <v>25</v>
      </c>
      <c r="H86" s="20" t="s">
        <v>26</v>
      </c>
      <c r="I86" s="21">
        <v>46299</v>
      </c>
      <c r="J86" s="20" t="s">
        <v>82</v>
      </c>
      <c r="K86" s="20" t="s">
        <v>28</v>
      </c>
      <c r="L86" s="20" t="s">
        <v>4126</v>
      </c>
      <c r="M86" s="20" t="s">
        <v>259</v>
      </c>
      <c r="N86" s="22" t="s">
        <v>250</v>
      </c>
      <c r="O86" s="20" t="s">
        <v>3847</v>
      </c>
      <c r="P86" s="20" t="s">
        <v>613</v>
      </c>
      <c r="Q86" s="20" t="s">
        <v>614</v>
      </c>
      <c r="R86" s="20" t="s">
        <v>118</v>
      </c>
      <c r="S86" s="20" t="s">
        <v>32</v>
      </c>
      <c r="T86" s="20" t="s">
        <v>195</v>
      </c>
      <c r="U86" s="20" t="s">
        <v>4037</v>
      </c>
      <c r="V86" s="21"/>
      <c r="W86" s="21">
        <v>46299</v>
      </c>
      <c r="X86" s="20" t="s">
        <v>3836</v>
      </c>
      <c r="Y86" s="21">
        <v>46300</v>
      </c>
      <c r="Z86" s="20" t="s">
        <v>4032</v>
      </c>
    </row>
    <row r="87" spans="1:26" x14ac:dyDescent="0.25">
      <c r="A87" s="9">
        <f t="shared" si="1"/>
        <v>80</v>
      </c>
      <c r="B87" s="19" t="s">
        <v>4027</v>
      </c>
      <c r="C87" s="20" t="s">
        <v>3829</v>
      </c>
      <c r="D87" s="20" t="s">
        <v>4127</v>
      </c>
      <c r="E87" s="20" t="s">
        <v>26</v>
      </c>
      <c r="F87" s="20" t="s">
        <v>4125</v>
      </c>
      <c r="G87" s="20" t="s">
        <v>25</v>
      </c>
      <c r="H87" s="20" t="s">
        <v>26</v>
      </c>
      <c r="I87" s="21">
        <v>46299</v>
      </c>
      <c r="J87" s="20" t="s">
        <v>82</v>
      </c>
      <c r="K87" s="20" t="s">
        <v>58</v>
      </c>
      <c r="L87" s="20" t="s">
        <v>4126</v>
      </c>
      <c r="M87" s="20" t="s">
        <v>259</v>
      </c>
      <c r="N87" s="22" t="s">
        <v>250</v>
      </c>
      <c r="O87" s="20" t="s">
        <v>3847</v>
      </c>
      <c r="P87" s="20" t="s">
        <v>613</v>
      </c>
      <c r="Q87" s="20" t="s">
        <v>614</v>
      </c>
      <c r="R87" s="20" t="s">
        <v>118</v>
      </c>
      <c r="S87" s="20" t="s">
        <v>32</v>
      </c>
      <c r="T87" s="20" t="s">
        <v>195</v>
      </c>
      <c r="U87" s="20" t="s">
        <v>4037</v>
      </c>
      <c r="V87" s="21"/>
      <c r="W87" s="21">
        <v>46299</v>
      </c>
      <c r="X87" s="20" t="s">
        <v>3836</v>
      </c>
      <c r="Y87" s="21">
        <v>46300</v>
      </c>
      <c r="Z87" s="20" t="s">
        <v>4032</v>
      </c>
    </row>
    <row r="88" spans="1:26" x14ac:dyDescent="0.25">
      <c r="A88" s="9">
        <f t="shared" si="1"/>
        <v>81</v>
      </c>
      <c r="B88" s="19" t="s">
        <v>4027</v>
      </c>
      <c r="C88" s="20" t="s">
        <v>3829</v>
      </c>
      <c r="D88" s="20" t="s">
        <v>4128</v>
      </c>
      <c r="E88" s="20" t="s">
        <v>26</v>
      </c>
      <c r="F88" s="20" t="s">
        <v>4129</v>
      </c>
      <c r="G88" s="20" t="s">
        <v>25</v>
      </c>
      <c r="H88" s="20" t="s">
        <v>26</v>
      </c>
      <c r="I88" s="21">
        <v>46299</v>
      </c>
      <c r="J88" s="20" t="s">
        <v>82</v>
      </c>
      <c r="K88" s="20" t="s">
        <v>28</v>
      </c>
      <c r="L88" s="20" t="s">
        <v>4130</v>
      </c>
      <c r="M88" s="20" t="s">
        <v>259</v>
      </c>
      <c r="N88" s="22" t="s">
        <v>250</v>
      </c>
      <c r="O88" s="20" t="s">
        <v>3847</v>
      </c>
      <c r="P88" s="20" t="s">
        <v>613</v>
      </c>
      <c r="Q88" s="20" t="s">
        <v>614</v>
      </c>
      <c r="R88" s="20" t="s">
        <v>337</v>
      </c>
      <c r="S88" s="20" t="s">
        <v>32</v>
      </c>
      <c r="T88" s="20" t="s">
        <v>195</v>
      </c>
      <c r="U88" s="20" t="s">
        <v>4037</v>
      </c>
      <c r="V88" s="21"/>
      <c r="W88" s="21">
        <v>46299</v>
      </c>
      <c r="X88" s="20" t="s">
        <v>3836</v>
      </c>
      <c r="Y88" s="21">
        <v>46300</v>
      </c>
      <c r="Z88" s="20" t="s">
        <v>4032</v>
      </c>
    </row>
    <row r="89" spans="1:26" x14ac:dyDescent="0.25">
      <c r="A89" s="9">
        <f t="shared" si="1"/>
        <v>82</v>
      </c>
      <c r="B89" s="19" t="s">
        <v>4027</v>
      </c>
      <c r="C89" s="20" t="s">
        <v>3829</v>
      </c>
      <c r="D89" s="20" t="s">
        <v>4131</v>
      </c>
      <c r="E89" s="20" t="s">
        <v>26</v>
      </c>
      <c r="F89" s="20" t="s">
        <v>4129</v>
      </c>
      <c r="G89" s="20" t="s">
        <v>25</v>
      </c>
      <c r="H89" s="20" t="s">
        <v>26</v>
      </c>
      <c r="I89" s="21">
        <v>46299</v>
      </c>
      <c r="J89" s="20" t="s">
        <v>82</v>
      </c>
      <c r="K89" s="20" t="s">
        <v>58</v>
      </c>
      <c r="L89" s="20" t="s">
        <v>4130</v>
      </c>
      <c r="M89" s="20" t="s">
        <v>259</v>
      </c>
      <c r="N89" s="22" t="s">
        <v>250</v>
      </c>
      <c r="O89" s="20" t="s">
        <v>3847</v>
      </c>
      <c r="P89" s="20" t="s">
        <v>613</v>
      </c>
      <c r="Q89" s="20" t="s">
        <v>614</v>
      </c>
      <c r="R89" s="20" t="s">
        <v>337</v>
      </c>
      <c r="S89" s="20" t="s">
        <v>32</v>
      </c>
      <c r="T89" s="20" t="s">
        <v>195</v>
      </c>
      <c r="U89" s="20" t="s">
        <v>4037</v>
      </c>
      <c r="V89" s="21"/>
      <c r="W89" s="21">
        <v>46299</v>
      </c>
      <c r="X89" s="20" t="s">
        <v>3836</v>
      </c>
      <c r="Y89" s="21">
        <v>46300</v>
      </c>
      <c r="Z89" s="20" t="s">
        <v>4032</v>
      </c>
    </row>
    <row r="90" spans="1:26" x14ac:dyDescent="0.25">
      <c r="A90" s="9">
        <f t="shared" si="1"/>
        <v>83</v>
      </c>
      <c r="B90" s="19" t="s">
        <v>4027</v>
      </c>
      <c r="C90" s="20" t="s">
        <v>3829</v>
      </c>
      <c r="D90" s="20" t="s">
        <v>4132</v>
      </c>
      <c r="E90" s="20" t="s">
        <v>26</v>
      </c>
      <c r="F90" s="20" t="s">
        <v>4129</v>
      </c>
      <c r="G90" s="20" t="s">
        <v>25</v>
      </c>
      <c r="H90" s="20" t="s">
        <v>26</v>
      </c>
      <c r="I90" s="21">
        <v>46299</v>
      </c>
      <c r="J90" s="20" t="s">
        <v>82</v>
      </c>
      <c r="K90" s="20" t="s">
        <v>59</v>
      </c>
      <c r="L90" s="20" t="s">
        <v>4130</v>
      </c>
      <c r="M90" s="20" t="s">
        <v>259</v>
      </c>
      <c r="N90" s="22" t="s">
        <v>250</v>
      </c>
      <c r="O90" s="20" t="s">
        <v>3847</v>
      </c>
      <c r="P90" s="20" t="s">
        <v>613</v>
      </c>
      <c r="Q90" s="20" t="s">
        <v>614</v>
      </c>
      <c r="R90" s="20" t="s">
        <v>337</v>
      </c>
      <c r="S90" s="20" t="s">
        <v>32</v>
      </c>
      <c r="T90" s="20" t="s">
        <v>195</v>
      </c>
      <c r="U90" s="20" t="s">
        <v>4037</v>
      </c>
      <c r="V90" s="21"/>
      <c r="W90" s="21">
        <v>46299</v>
      </c>
      <c r="X90" s="20" t="s">
        <v>3836</v>
      </c>
      <c r="Y90" s="21">
        <v>46300</v>
      </c>
      <c r="Z90" s="20" t="s">
        <v>4032</v>
      </c>
    </row>
    <row r="91" spans="1:26" x14ac:dyDescent="0.25">
      <c r="A91" s="9">
        <f t="shared" si="1"/>
        <v>84</v>
      </c>
      <c r="B91" s="19" t="s">
        <v>4027</v>
      </c>
      <c r="C91" s="20" t="s">
        <v>3829</v>
      </c>
      <c r="D91" s="20" t="s">
        <v>4133</v>
      </c>
      <c r="E91" s="20" t="s">
        <v>26</v>
      </c>
      <c r="F91" s="20" t="s">
        <v>4134</v>
      </c>
      <c r="G91" s="20" t="s">
        <v>25</v>
      </c>
      <c r="H91" s="20" t="s">
        <v>26</v>
      </c>
      <c r="I91" s="21">
        <v>46299</v>
      </c>
      <c r="J91" s="20" t="s">
        <v>36</v>
      </c>
      <c r="K91" s="20" t="s">
        <v>28</v>
      </c>
      <c r="L91" s="20" t="s">
        <v>4135</v>
      </c>
      <c r="M91" s="20" t="s">
        <v>259</v>
      </c>
      <c r="N91" s="22" t="s">
        <v>250</v>
      </c>
      <c r="O91" s="20" t="s">
        <v>3847</v>
      </c>
      <c r="P91" s="20" t="s">
        <v>613</v>
      </c>
      <c r="Q91" s="20" t="s">
        <v>614</v>
      </c>
      <c r="R91" s="20" t="s">
        <v>335</v>
      </c>
      <c r="S91" s="20" t="s">
        <v>32</v>
      </c>
      <c r="T91" s="20" t="s">
        <v>195</v>
      </c>
      <c r="U91" s="20" t="s">
        <v>4037</v>
      </c>
      <c r="V91" s="21"/>
      <c r="W91" s="21">
        <v>46299</v>
      </c>
      <c r="X91" s="20" t="s">
        <v>3836</v>
      </c>
      <c r="Y91" s="21">
        <v>46300</v>
      </c>
      <c r="Z91" s="20" t="s">
        <v>4032</v>
      </c>
    </row>
    <row r="92" spans="1:26" x14ac:dyDescent="0.25">
      <c r="A92" s="9">
        <f t="shared" si="1"/>
        <v>85</v>
      </c>
      <c r="B92" s="19" t="s">
        <v>4027</v>
      </c>
      <c r="C92" s="20" t="s">
        <v>3829</v>
      </c>
      <c r="D92" s="20" t="s">
        <v>4136</v>
      </c>
      <c r="E92" s="20" t="s">
        <v>26</v>
      </c>
      <c r="F92" s="20" t="s">
        <v>4137</v>
      </c>
      <c r="G92" s="20" t="s">
        <v>25</v>
      </c>
      <c r="H92" s="20" t="s">
        <v>26</v>
      </c>
      <c r="I92" s="21">
        <v>46299</v>
      </c>
      <c r="J92" s="20" t="s">
        <v>82</v>
      </c>
      <c r="K92" s="20" t="s">
        <v>28</v>
      </c>
      <c r="L92" s="20" t="s">
        <v>4138</v>
      </c>
      <c r="M92" s="20" t="s">
        <v>259</v>
      </c>
      <c r="N92" s="22" t="s">
        <v>250</v>
      </c>
      <c r="O92" s="20" t="s">
        <v>3847</v>
      </c>
      <c r="P92" s="20" t="s">
        <v>613</v>
      </c>
      <c r="Q92" s="20" t="s">
        <v>614</v>
      </c>
      <c r="R92" s="20" t="s">
        <v>26</v>
      </c>
      <c r="S92" s="20" t="s">
        <v>32</v>
      </c>
      <c r="T92" s="20" t="s">
        <v>195</v>
      </c>
      <c r="U92" s="20" t="s">
        <v>4037</v>
      </c>
      <c r="V92" s="21"/>
      <c r="W92" s="21">
        <v>46299</v>
      </c>
      <c r="X92" s="20" t="s">
        <v>3836</v>
      </c>
      <c r="Y92" s="21">
        <v>46300</v>
      </c>
      <c r="Z92" s="20" t="s">
        <v>4032</v>
      </c>
    </row>
    <row r="93" spans="1:26" x14ac:dyDescent="0.25">
      <c r="A93" s="9">
        <f t="shared" si="1"/>
        <v>86</v>
      </c>
      <c r="B93" s="19" t="s">
        <v>4027</v>
      </c>
      <c r="C93" s="20" t="s">
        <v>3829</v>
      </c>
      <c r="D93" s="20" t="s">
        <v>4139</v>
      </c>
      <c r="E93" s="20" t="s">
        <v>26</v>
      </c>
      <c r="F93" s="20" t="s">
        <v>4137</v>
      </c>
      <c r="G93" s="20" t="s">
        <v>25</v>
      </c>
      <c r="H93" s="20" t="s">
        <v>26</v>
      </c>
      <c r="I93" s="21">
        <v>46299</v>
      </c>
      <c r="J93" s="20" t="s">
        <v>82</v>
      </c>
      <c r="K93" s="20" t="s">
        <v>58</v>
      </c>
      <c r="L93" s="20" t="s">
        <v>4138</v>
      </c>
      <c r="M93" s="20" t="s">
        <v>259</v>
      </c>
      <c r="N93" s="22" t="s">
        <v>250</v>
      </c>
      <c r="O93" s="20" t="s">
        <v>3847</v>
      </c>
      <c r="P93" s="20" t="s">
        <v>613</v>
      </c>
      <c r="Q93" s="20" t="s">
        <v>614</v>
      </c>
      <c r="R93" s="20" t="s">
        <v>26</v>
      </c>
      <c r="S93" s="20" t="s">
        <v>32</v>
      </c>
      <c r="T93" s="20" t="s">
        <v>195</v>
      </c>
      <c r="U93" s="20" t="s">
        <v>4037</v>
      </c>
      <c r="V93" s="21"/>
      <c r="W93" s="21">
        <v>46299</v>
      </c>
      <c r="X93" s="20" t="s">
        <v>3836</v>
      </c>
      <c r="Y93" s="21">
        <v>46300</v>
      </c>
      <c r="Z93" s="20" t="s">
        <v>4032</v>
      </c>
    </row>
    <row r="94" spans="1:26" x14ac:dyDescent="0.25">
      <c r="A94" s="9">
        <f t="shared" si="1"/>
        <v>87</v>
      </c>
      <c r="B94" s="19" t="s">
        <v>4027</v>
      </c>
      <c r="C94" s="20" t="s">
        <v>3829</v>
      </c>
      <c r="D94" s="20" t="s">
        <v>4140</v>
      </c>
      <c r="E94" s="20" t="s">
        <v>26</v>
      </c>
      <c r="F94" s="20" t="s">
        <v>4137</v>
      </c>
      <c r="G94" s="20" t="s">
        <v>25</v>
      </c>
      <c r="H94" s="20" t="s">
        <v>26</v>
      </c>
      <c r="I94" s="21">
        <v>46299</v>
      </c>
      <c r="J94" s="20" t="s">
        <v>82</v>
      </c>
      <c r="K94" s="20" t="s">
        <v>59</v>
      </c>
      <c r="L94" s="20" t="s">
        <v>4138</v>
      </c>
      <c r="M94" s="20" t="s">
        <v>259</v>
      </c>
      <c r="N94" s="22" t="s">
        <v>250</v>
      </c>
      <c r="O94" s="20" t="s">
        <v>3847</v>
      </c>
      <c r="P94" s="20" t="s">
        <v>613</v>
      </c>
      <c r="Q94" s="20" t="s">
        <v>614</v>
      </c>
      <c r="R94" s="20" t="s">
        <v>26</v>
      </c>
      <c r="S94" s="20" t="s">
        <v>32</v>
      </c>
      <c r="T94" s="20" t="s">
        <v>195</v>
      </c>
      <c r="U94" s="20" t="s">
        <v>4037</v>
      </c>
      <c r="V94" s="21"/>
      <c r="W94" s="21">
        <v>46299</v>
      </c>
      <c r="X94" s="20" t="s">
        <v>3836</v>
      </c>
      <c r="Y94" s="21">
        <v>46300</v>
      </c>
      <c r="Z94" s="20" t="s">
        <v>4032</v>
      </c>
    </row>
    <row r="95" spans="1:26" x14ac:dyDescent="0.25">
      <c r="A95" s="9">
        <f t="shared" si="1"/>
        <v>88</v>
      </c>
      <c r="B95" s="19" t="s">
        <v>4027</v>
      </c>
      <c r="C95" s="20" t="s">
        <v>3829</v>
      </c>
      <c r="D95" s="20" t="s">
        <v>4141</v>
      </c>
      <c r="E95" s="20" t="s">
        <v>26</v>
      </c>
      <c r="F95" s="20" t="s">
        <v>4137</v>
      </c>
      <c r="G95" s="20" t="s">
        <v>25</v>
      </c>
      <c r="H95" s="20" t="s">
        <v>26</v>
      </c>
      <c r="I95" s="21">
        <v>46299</v>
      </c>
      <c r="J95" s="20" t="s">
        <v>82</v>
      </c>
      <c r="K95" s="20" t="s">
        <v>684</v>
      </c>
      <c r="L95" s="20" t="s">
        <v>4138</v>
      </c>
      <c r="M95" s="20" t="s">
        <v>259</v>
      </c>
      <c r="N95" s="22" t="s">
        <v>250</v>
      </c>
      <c r="O95" s="20" t="s">
        <v>3847</v>
      </c>
      <c r="P95" s="20" t="s">
        <v>613</v>
      </c>
      <c r="Q95" s="20" t="s">
        <v>614</v>
      </c>
      <c r="R95" s="20" t="s">
        <v>26</v>
      </c>
      <c r="S95" s="20" t="s">
        <v>32</v>
      </c>
      <c r="T95" s="20" t="s">
        <v>195</v>
      </c>
      <c r="U95" s="20" t="s">
        <v>4037</v>
      </c>
      <c r="V95" s="21"/>
      <c r="W95" s="21">
        <v>46299</v>
      </c>
      <c r="X95" s="20" t="s">
        <v>3836</v>
      </c>
      <c r="Y95" s="21">
        <v>46300</v>
      </c>
      <c r="Z95" s="20" t="s">
        <v>4032</v>
      </c>
    </row>
    <row r="96" spans="1:26" x14ac:dyDescent="0.25">
      <c r="A96" s="9">
        <f t="shared" si="1"/>
        <v>89</v>
      </c>
      <c r="B96" s="19" t="s">
        <v>4027</v>
      </c>
      <c r="C96" s="20" t="s">
        <v>3829</v>
      </c>
      <c r="D96" s="20" t="s">
        <v>4142</v>
      </c>
      <c r="E96" s="20" t="s">
        <v>26</v>
      </c>
      <c r="F96" s="20" t="s">
        <v>4137</v>
      </c>
      <c r="G96" s="20" t="s">
        <v>25</v>
      </c>
      <c r="H96" s="20" t="s">
        <v>26</v>
      </c>
      <c r="I96" s="21">
        <v>46299</v>
      </c>
      <c r="J96" s="20" t="s">
        <v>82</v>
      </c>
      <c r="K96" s="20" t="s">
        <v>557</v>
      </c>
      <c r="L96" s="20" t="s">
        <v>4138</v>
      </c>
      <c r="M96" s="20" t="s">
        <v>259</v>
      </c>
      <c r="N96" s="22" t="s">
        <v>250</v>
      </c>
      <c r="O96" s="20" t="s">
        <v>3847</v>
      </c>
      <c r="P96" s="20" t="s">
        <v>613</v>
      </c>
      <c r="Q96" s="20" t="s">
        <v>614</v>
      </c>
      <c r="R96" s="20" t="s">
        <v>26</v>
      </c>
      <c r="S96" s="20" t="s">
        <v>32</v>
      </c>
      <c r="T96" s="20" t="s">
        <v>195</v>
      </c>
      <c r="U96" s="20" t="s">
        <v>4037</v>
      </c>
      <c r="V96" s="21"/>
      <c r="W96" s="21">
        <v>46299</v>
      </c>
      <c r="X96" s="20" t="s">
        <v>3836</v>
      </c>
      <c r="Y96" s="21">
        <v>46300</v>
      </c>
      <c r="Z96" s="20" t="s">
        <v>4032</v>
      </c>
    </row>
    <row r="97" spans="1:26" x14ac:dyDescent="0.25">
      <c r="A97" s="9">
        <f t="shared" si="1"/>
        <v>90</v>
      </c>
      <c r="B97" s="19" t="s">
        <v>4027</v>
      </c>
      <c r="C97" s="20" t="s">
        <v>3829</v>
      </c>
      <c r="D97" s="20" t="s">
        <v>4143</v>
      </c>
      <c r="E97" s="20" t="s">
        <v>26</v>
      </c>
      <c r="F97" s="20" t="s">
        <v>4144</v>
      </c>
      <c r="G97" s="20" t="s">
        <v>25</v>
      </c>
      <c r="H97" s="20" t="s">
        <v>26</v>
      </c>
      <c r="I97" s="21">
        <v>46299</v>
      </c>
      <c r="J97" s="20" t="s">
        <v>36</v>
      </c>
      <c r="K97" s="20" t="s">
        <v>28</v>
      </c>
      <c r="L97" s="20" t="s">
        <v>4145</v>
      </c>
      <c r="M97" s="20" t="s">
        <v>259</v>
      </c>
      <c r="N97" s="22" t="s">
        <v>250</v>
      </c>
      <c r="O97" s="20" t="s">
        <v>3847</v>
      </c>
      <c r="P97" s="20" t="s">
        <v>613</v>
      </c>
      <c r="Q97" s="20" t="s">
        <v>614</v>
      </c>
      <c r="R97" s="20" t="s">
        <v>285</v>
      </c>
      <c r="S97" s="20" t="s">
        <v>32</v>
      </c>
      <c r="T97" s="20" t="s">
        <v>195</v>
      </c>
      <c r="U97" s="20" t="s">
        <v>4037</v>
      </c>
      <c r="V97" s="21"/>
      <c r="W97" s="21">
        <v>46299</v>
      </c>
      <c r="X97" s="20" t="s">
        <v>3836</v>
      </c>
      <c r="Y97" s="21">
        <v>46300</v>
      </c>
      <c r="Z97" s="20" t="s">
        <v>4032</v>
      </c>
    </row>
    <row r="98" spans="1:26" x14ac:dyDescent="0.25">
      <c r="A98" s="9">
        <f t="shared" si="1"/>
        <v>91</v>
      </c>
      <c r="B98" s="19" t="s">
        <v>4027</v>
      </c>
      <c r="C98" s="20" t="s">
        <v>3829</v>
      </c>
      <c r="D98" s="20" t="s">
        <v>4146</v>
      </c>
      <c r="E98" s="20" t="s">
        <v>26</v>
      </c>
      <c r="F98" s="20" t="s">
        <v>4144</v>
      </c>
      <c r="G98" s="20" t="s">
        <v>25</v>
      </c>
      <c r="H98" s="20" t="s">
        <v>26</v>
      </c>
      <c r="I98" s="21">
        <v>46299</v>
      </c>
      <c r="J98" s="20" t="s">
        <v>36</v>
      </c>
      <c r="K98" s="20" t="s">
        <v>58</v>
      </c>
      <c r="L98" s="20" t="s">
        <v>4145</v>
      </c>
      <c r="M98" s="20" t="s">
        <v>259</v>
      </c>
      <c r="N98" s="22" t="s">
        <v>250</v>
      </c>
      <c r="O98" s="20" t="s">
        <v>3847</v>
      </c>
      <c r="P98" s="20" t="s">
        <v>613</v>
      </c>
      <c r="Q98" s="20" t="s">
        <v>614</v>
      </c>
      <c r="R98" s="20" t="s">
        <v>285</v>
      </c>
      <c r="S98" s="20" t="s">
        <v>32</v>
      </c>
      <c r="T98" s="20" t="s">
        <v>195</v>
      </c>
      <c r="U98" s="20" t="s">
        <v>4037</v>
      </c>
      <c r="V98" s="21"/>
      <c r="W98" s="21">
        <v>46299</v>
      </c>
      <c r="X98" s="20" t="s">
        <v>3836</v>
      </c>
      <c r="Y98" s="21">
        <v>46300</v>
      </c>
      <c r="Z98" s="20" t="s">
        <v>4032</v>
      </c>
    </row>
    <row r="99" spans="1:26" x14ac:dyDescent="0.25">
      <c r="A99" s="9">
        <f t="shared" si="1"/>
        <v>92</v>
      </c>
      <c r="B99" s="19" t="s">
        <v>4027</v>
      </c>
      <c r="C99" s="20" t="s">
        <v>3829</v>
      </c>
      <c r="D99" s="20" t="s">
        <v>4147</v>
      </c>
      <c r="E99" s="20" t="s">
        <v>26</v>
      </c>
      <c r="F99" s="20" t="s">
        <v>4144</v>
      </c>
      <c r="G99" s="20" t="s">
        <v>25</v>
      </c>
      <c r="H99" s="20" t="s">
        <v>26</v>
      </c>
      <c r="I99" s="21">
        <v>46299</v>
      </c>
      <c r="J99" s="20" t="s">
        <v>36</v>
      </c>
      <c r="K99" s="20" t="s">
        <v>59</v>
      </c>
      <c r="L99" s="20" t="s">
        <v>4145</v>
      </c>
      <c r="M99" s="20" t="s">
        <v>259</v>
      </c>
      <c r="N99" s="22" t="s">
        <v>250</v>
      </c>
      <c r="O99" s="20" t="s">
        <v>3847</v>
      </c>
      <c r="P99" s="20" t="s">
        <v>613</v>
      </c>
      <c r="Q99" s="20" t="s">
        <v>614</v>
      </c>
      <c r="R99" s="20" t="s">
        <v>285</v>
      </c>
      <c r="S99" s="20" t="s">
        <v>32</v>
      </c>
      <c r="T99" s="20" t="s">
        <v>195</v>
      </c>
      <c r="U99" s="20" t="s">
        <v>4037</v>
      </c>
      <c r="V99" s="21"/>
      <c r="W99" s="21">
        <v>46299</v>
      </c>
      <c r="X99" s="20" t="s">
        <v>3836</v>
      </c>
      <c r="Y99" s="21">
        <v>46300</v>
      </c>
      <c r="Z99" s="20" t="s">
        <v>4032</v>
      </c>
    </row>
    <row r="100" spans="1:26" x14ac:dyDescent="0.25">
      <c r="A100" s="9">
        <f t="shared" si="1"/>
        <v>93</v>
      </c>
      <c r="B100" s="19" t="s">
        <v>4027</v>
      </c>
      <c r="C100" s="20" t="s">
        <v>3829</v>
      </c>
      <c r="D100" s="20" t="s">
        <v>4148</v>
      </c>
      <c r="E100" s="20" t="s">
        <v>26</v>
      </c>
      <c r="F100" s="20" t="s">
        <v>4149</v>
      </c>
      <c r="G100" s="20" t="s">
        <v>25</v>
      </c>
      <c r="H100" s="20" t="s">
        <v>26</v>
      </c>
      <c r="I100" s="21">
        <v>46299</v>
      </c>
      <c r="J100" s="20" t="s">
        <v>82</v>
      </c>
      <c r="K100" s="20" t="s">
        <v>28</v>
      </c>
      <c r="L100" s="20" t="s">
        <v>4150</v>
      </c>
      <c r="M100" s="20" t="s">
        <v>259</v>
      </c>
      <c r="N100" s="22" t="s">
        <v>250</v>
      </c>
      <c r="O100" s="20" t="s">
        <v>3847</v>
      </c>
      <c r="P100" s="20" t="s">
        <v>613</v>
      </c>
      <c r="Q100" s="20" t="s">
        <v>614</v>
      </c>
      <c r="R100" s="20" t="s">
        <v>118</v>
      </c>
      <c r="S100" s="20" t="s">
        <v>32</v>
      </c>
      <c r="T100" s="20" t="s">
        <v>195</v>
      </c>
      <c r="U100" s="20" t="s">
        <v>4037</v>
      </c>
      <c r="V100" s="21"/>
      <c r="W100" s="21">
        <v>46299</v>
      </c>
      <c r="X100" s="20" t="s">
        <v>3836</v>
      </c>
      <c r="Y100" s="21">
        <v>46300</v>
      </c>
      <c r="Z100" s="20" t="s">
        <v>4032</v>
      </c>
    </row>
    <row r="101" spans="1:26" x14ac:dyDescent="0.25">
      <c r="A101" s="9">
        <f t="shared" si="1"/>
        <v>94</v>
      </c>
      <c r="B101" s="19" t="s">
        <v>4027</v>
      </c>
      <c r="C101" s="20" t="s">
        <v>3829</v>
      </c>
      <c r="D101" s="20" t="s">
        <v>4151</v>
      </c>
      <c r="E101" s="20" t="s">
        <v>26</v>
      </c>
      <c r="F101" s="20" t="s">
        <v>4152</v>
      </c>
      <c r="G101" s="20" t="s">
        <v>25</v>
      </c>
      <c r="H101" s="20" t="s">
        <v>26</v>
      </c>
      <c r="I101" s="21">
        <v>46299</v>
      </c>
      <c r="J101" s="20" t="s">
        <v>82</v>
      </c>
      <c r="K101" s="20" t="s">
        <v>28</v>
      </c>
      <c r="L101" s="20" t="s">
        <v>4153</v>
      </c>
      <c r="M101" s="20" t="s">
        <v>259</v>
      </c>
      <c r="N101" s="22" t="s">
        <v>250</v>
      </c>
      <c r="O101" s="20" t="s">
        <v>3847</v>
      </c>
      <c r="P101" s="20" t="s">
        <v>613</v>
      </c>
      <c r="Q101" s="20" t="s">
        <v>614</v>
      </c>
      <c r="R101" s="20" t="s">
        <v>88</v>
      </c>
      <c r="S101" s="20" t="s">
        <v>32</v>
      </c>
      <c r="T101" s="20" t="s">
        <v>195</v>
      </c>
      <c r="U101" s="20" t="s">
        <v>4037</v>
      </c>
      <c r="V101" s="21"/>
      <c r="W101" s="21">
        <v>46299</v>
      </c>
      <c r="X101" s="20" t="s">
        <v>3836</v>
      </c>
      <c r="Y101" s="21">
        <v>46300</v>
      </c>
      <c r="Z101" s="20" t="s">
        <v>4032</v>
      </c>
    </row>
    <row r="102" spans="1:26" x14ac:dyDescent="0.25">
      <c r="A102" s="9">
        <f t="shared" si="1"/>
        <v>95</v>
      </c>
      <c r="B102" s="19" t="s">
        <v>4027</v>
      </c>
      <c r="C102" s="20" t="s">
        <v>3829</v>
      </c>
      <c r="D102" s="20" t="s">
        <v>4154</v>
      </c>
      <c r="E102" s="20" t="s">
        <v>26</v>
      </c>
      <c r="F102" s="20" t="s">
        <v>4152</v>
      </c>
      <c r="G102" s="20" t="s">
        <v>25</v>
      </c>
      <c r="H102" s="20" t="s">
        <v>26</v>
      </c>
      <c r="I102" s="21">
        <v>46299</v>
      </c>
      <c r="J102" s="20" t="s">
        <v>82</v>
      </c>
      <c r="K102" s="20" t="s">
        <v>58</v>
      </c>
      <c r="L102" s="20" t="s">
        <v>4153</v>
      </c>
      <c r="M102" s="20" t="s">
        <v>259</v>
      </c>
      <c r="N102" s="22" t="s">
        <v>250</v>
      </c>
      <c r="O102" s="20" t="s">
        <v>3847</v>
      </c>
      <c r="P102" s="20" t="s">
        <v>613</v>
      </c>
      <c r="Q102" s="20" t="s">
        <v>614</v>
      </c>
      <c r="R102" s="20" t="s">
        <v>88</v>
      </c>
      <c r="S102" s="20" t="s">
        <v>32</v>
      </c>
      <c r="T102" s="20" t="s">
        <v>195</v>
      </c>
      <c r="U102" s="20" t="s">
        <v>4037</v>
      </c>
      <c r="V102" s="21"/>
      <c r="W102" s="21">
        <v>46299</v>
      </c>
      <c r="X102" s="20" t="s">
        <v>3836</v>
      </c>
      <c r="Y102" s="21">
        <v>46300</v>
      </c>
      <c r="Z102" s="20" t="s">
        <v>4032</v>
      </c>
    </row>
    <row r="103" spans="1:26" x14ac:dyDescent="0.25">
      <c r="A103" s="9">
        <f t="shared" si="1"/>
        <v>96</v>
      </c>
      <c r="B103" s="19" t="s">
        <v>4027</v>
      </c>
      <c r="C103" s="20" t="s">
        <v>3829</v>
      </c>
      <c r="D103" s="20" t="s">
        <v>4155</v>
      </c>
      <c r="E103" s="20" t="s">
        <v>26</v>
      </c>
      <c r="F103" s="20" t="s">
        <v>4156</v>
      </c>
      <c r="G103" s="20" t="s">
        <v>25</v>
      </c>
      <c r="H103" s="20" t="s">
        <v>26</v>
      </c>
      <c r="I103" s="21">
        <v>46299</v>
      </c>
      <c r="J103" s="20" t="s">
        <v>36</v>
      </c>
      <c r="K103" s="20" t="s">
        <v>28</v>
      </c>
      <c r="L103" s="20" t="s">
        <v>4157</v>
      </c>
      <c r="M103" s="20" t="s">
        <v>259</v>
      </c>
      <c r="N103" s="22" t="s">
        <v>250</v>
      </c>
      <c r="O103" s="20" t="s">
        <v>3847</v>
      </c>
      <c r="P103" s="20" t="s">
        <v>148</v>
      </c>
      <c r="Q103" s="20" t="s">
        <v>149</v>
      </c>
      <c r="R103" s="20" t="s">
        <v>26</v>
      </c>
      <c r="S103" s="20" t="s">
        <v>32</v>
      </c>
      <c r="T103" s="20" t="s">
        <v>195</v>
      </c>
      <c r="U103" s="20" t="s">
        <v>4037</v>
      </c>
      <c r="V103" s="21"/>
      <c r="W103" s="21">
        <v>46299</v>
      </c>
      <c r="X103" s="20" t="s">
        <v>3836</v>
      </c>
      <c r="Y103" s="21">
        <v>46300</v>
      </c>
      <c r="Z103" s="20" t="s">
        <v>4032</v>
      </c>
    </row>
    <row r="104" spans="1:26" x14ac:dyDescent="0.25">
      <c r="A104" s="9">
        <f t="shared" si="1"/>
        <v>97</v>
      </c>
      <c r="B104" s="19" t="s">
        <v>4027</v>
      </c>
      <c r="C104" s="20" t="s">
        <v>3829</v>
      </c>
      <c r="D104" s="20" t="s">
        <v>4158</v>
      </c>
      <c r="E104" s="20" t="s">
        <v>26</v>
      </c>
      <c r="F104" s="20" t="s">
        <v>4156</v>
      </c>
      <c r="G104" s="20" t="s">
        <v>25</v>
      </c>
      <c r="H104" s="20" t="s">
        <v>26</v>
      </c>
      <c r="I104" s="21">
        <v>46299</v>
      </c>
      <c r="J104" s="20" t="s">
        <v>36</v>
      </c>
      <c r="K104" s="20" t="s">
        <v>58</v>
      </c>
      <c r="L104" s="20" t="s">
        <v>4157</v>
      </c>
      <c r="M104" s="20" t="s">
        <v>259</v>
      </c>
      <c r="N104" s="22" t="s">
        <v>250</v>
      </c>
      <c r="O104" s="20" t="s">
        <v>3847</v>
      </c>
      <c r="P104" s="20" t="s">
        <v>148</v>
      </c>
      <c r="Q104" s="20" t="s">
        <v>149</v>
      </c>
      <c r="R104" s="20" t="s">
        <v>26</v>
      </c>
      <c r="S104" s="20" t="s">
        <v>32</v>
      </c>
      <c r="T104" s="20" t="s">
        <v>195</v>
      </c>
      <c r="U104" s="20" t="s">
        <v>4037</v>
      </c>
      <c r="V104" s="21"/>
      <c r="W104" s="21">
        <v>46299</v>
      </c>
      <c r="X104" s="20" t="s">
        <v>3836</v>
      </c>
      <c r="Y104" s="21">
        <v>46300</v>
      </c>
      <c r="Z104" s="20" t="s">
        <v>4032</v>
      </c>
    </row>
    <row r="105" spans="1:26" x14ac:dyDescent="0.25">
      <c r="A105" s="9">
        <f t="shared" si="1"/>
        <v>98</v>
      </c>
      <c r="B105" s="19" t="s">
        <v>4027</v>
      </c>
      <c r="C105" s="20" t="s">
        <v>3829</v>
      </c>
      <c r="D105" s="20" t="s">
        <v>4159</v>
      </c>
      <c r="E105" s="20" t="s">
        <v>26</v>
      </c>
      <c r="F105" s="20" t="s">
        <v>4156</v>
      </c>
      <c r="G105" s="20" t="s">
        <v>25</v>
      </c>
      <c r="H105" s="20" t="s">
        <v>26</v>
      </c>
      <c r="I105" s="21">
        <v>46299</v>
      </c>
      <c r="J105" s="20" t="s">
        <v>36</v>
      </c>
      <c r="K105" s="20" t="s">
        <v>59</v>
      </c>
      <c r="L105" s="20" t="s">
        <v>4157</v>
      </c>
      <c r="M105" s="20" t="s">
        <v>259</v>
      </c>
      <c r="N105" s="22" t="s">
        <v>250</v>
      </c>
      <c r="O105" s="20" t="s">
        <v>3847</v>
      </c>
      <c r="P105" s="20" t="s">
        <v>148</v>
      </c>
      <c r="Q105" s="20" t="s">
        <v>149</v>
      </c>
      <c r="R105" s="20" t="s">
        <v>26</v>
      </c>
      <c r="S105" s="20" t="s">
        <v>32</v>
      </c>
      <c r="T105" s="20" t="s">
        <v>195</v>
      </c>
      <c r="U105" s="20" t="s">
        <v>4037</v>
      </c>
      <c r="V105" s="21"/>
      <c r="W105" s="21">
        <v>46299</v>
      </c>
      <c r="X105" s="20" t="s">
        <v>3836</v>
      </c>
      <c r="Y105" s="21">
        <v>46300</v>
      </c>
      <c r="Z105" s="20" t="s">
        <v>4032</v>
      </c>
    </row>
    <row r="106" spans="1:26" x14ac:dyDescent="0.25">
      <c r="A106" s="9">
        <f t="shared" si="1"/>
        <v>99</v>
      </c>
      <c r="B106" s="19" t="s">
        <v>4027</v>
      </c>
      <c r="C106" s="20" t="s">
        <v>3829</v>
      </c>
      <c r="D106" s="20" t="s">
        <v>4160</v>
      </c>
      <c r="E106" s="20" t="s">
        <v>26</v>
      </c>
      <c r="F106" s="20" t="s">
        <v>4156</v>
      </c>
      <c r="G106" s="20" t="s">
        <v>25</v>
      </c>
      <c r="H106" s="20" t="s">
        <v>26</v>
      </c>
      <c r="I106" s="21">
        <v>46299</v>
      </c>
      <c r="J106" s="20" t="s">
        <v>36</v>
      </c>
      <c r="K106" s="20" t="s">
        <v>684</v>
      </c>
      <c r="L106" s="20" t="s">
        <v>4157</v>
      </c>
      <c r="M106" s="20" t="s">
        <v>259</v>
      </c>
      <c r="N106" s="22" t="s">
        <v>250</v>
      </c>
      <c r="O106" s="20" t="s">
        <v>3847</v>
      </c>
      <c r="P106" s="20" t="s">
        <v>148</v>
      </c>
      <c r="Q106" s="20" t="s">
        <v>149</v>
      </c>
      <c r="R106" s="20" t="s">
        <v>26</v>
      </c>
      <c r="S106" s="20" t="s">
        <v>32</v>
      </c>
      <c r="T106" s="20" t="s">
        <v>195</v>
      </c>
      <c r="U106" s="20" t="s">
        <v>4037</v>
      </c>
      <c r="V106" s="21"/>
      <c r="W106" s="21">
        <v>46299</v>
      </c>
      <c r="X106" s="20" t="s">
        <v>3836</v>
      </c>
      <c r="Y106" s="21">
        <v>46300</v>
      </c>
      <c r="Z106" s="20" t="s">
        <v>4032</v>
      </c>
    </row>
    <row r="107" spans="1:26" x14ac:dyDescent="0.25">
      <c r="A107" s="9">
        <f t="shared" si="1"/>
        <v>100</v>
      </c>
      <c r="B107" s="19" t="s">
        <v>4027</v>
      </c>
      <c r="C107" s="20" t="s">
        <v>3829</v>
      </c>
      <c r="D107" s="20" t="s">
        <v>4161</v>
      </c>
      <c r="E107" s="20" t="s">
        <v>26</v>
      </c>
      <c r="F107" s="20" t="s">
        <v>4156</v>
      </c>
      <c r="G107" s="20" t="s">
        <v>25</v>
      </c>
      <c r="H107" s="20" t="s">
        <v>26</v>
      </c>
      <c r="I107" s="21">
        <v>46299</v>
      </c>
      <c r="J107" s="20" t="s">
        <v>36</v>
      </c>
      <c r="K107" s="20" t="s">
        <v>557</v>
      </c>
      <c r="L107" s="20" t="s">
        <v>4157</v>
      </c>
      <c r="M107" s="20" t="s">
        <v>259</v>
      </c>
      <c r="N107" s="22" t="s">
        <v>250</v>
      </c>
      <c r="O107" s="20" t="s">
        <v>3847</v>
      </c>
      <c r="P107" s="20" t="s">
        <v>148</v>
      </c>
      <c r="Q107" s="20" t="s">
        <v>149</v>
      </c>
      <c r="R107" s="20" t="s">
        <v>26</v>
      </c>
      <c r="S107" s="20" t="s">
        <v>32</v>
      </c>
      <c r="T107" s="20" t="s">
        <v>195</v>
      </c>
      <c r="U107" s="20" t="s">
        <v>4037</v>
      </c>
      <c r="V107" s="21"/>
      <c r="W107" s="21">
        <v>46299</v>
      </c>
      <c r="X107" s="20" t="s">
        <v>3836</v>
      </c>
      <c r="Y107" s="21">
        <v>46300</v>
      </c>
      <c r="Z107" s="20" t="s">
        <v>4032</v>
      </c>
    </row>
    <row r="108" spans="1:26" x14ac:dyDescent="0.25">
      <c r="A108" s="9">
        <f t="shared" si="1"/>
        <v>101</v>
      </c>
      <c r="B108" s="19" t="s">
        <v>4027</v>
      </c>
      <c r="C108" s="20" t="s">
        <v>3829</v>
      </c>
      <c r="D108" s="20" t="s">
        <v>4162</v>
      </c>
      <c r="E108" s="20" t="s">
        <v>26</v>
      </c>
      <c r="F108" s="20" t="s">
        <v>4156</v>
      </c>
      <c r="G108" s="20" t="s">
        <v>25</v>
      </c>
      <c r="H108" s="20" t="s">
        <v>26</v>
      </c>
      <c r="I108" s="21">
        <v>46299</v>
      </c>
      <c r="J108" s="20" t="s">
        <v>36</v>
      </c>
      <c r="K108" s="20" t="s">
        <v>1141</v>
      </c>
      <c r="L108" s="20" t="s">
        <v>4157</v>
      </c>
      <c r="M108" s="20" t="s">
        <v>259</v>
      </c>
      <c r="N108" s="22" t="s">
        <v>250</v>
      </c>
      <c r="O108" s="20" t="s">
        <v>3847</v>
      </c>
      <c r="P108" s="20" t="s">
        <v>148</v>
      </c>
      <c r="Q108" s="20" t="s">
        <v>149</v>
      </c>
      <c r="R108" s="20" t="s">
        <v>26</v>
      </c>
      <c r="S108" s="20" t="s">
        <v>32</v>
      </c>
      <c r="T108" s="20" t="s">
        <v>195</v>
      </c>
      <c r="U108" s="20" t="s">
        <v>4037</v>
      </c>
      <c r="V108" s="21"/>
      <c r="W108" s="21">
        <v>46299</v>
      </c>
      <c r="X108" s="20" t="s">
        <v>3836</v>
      </c>
      <c r="Y108" s="21">
        <v>46300</v>
      </c>
      <c r="Z108" s="20" t="s">
        <v>4032</v>
      </c>
    </row>
    <row r="109" spans="1:26" x14ac:dyDescent="0.25">
      <c r="A109" s="9">
        <f t="shared" si="1"/>
        <v>102</v>
      </c>
      <c r="B109" s="19" t="s">
        <v>4027</v>
      </c>
      <c r="C109" s="20" t="s">
        <v>3829</v>
      </c>
      <c r="D109" s="20" t="s">
        <v>4163</v>
      </c>
      <c r="E109" s="20" t="s">
        <v>26</v>
      </c>
      <c r="F109" s="20" t="s">
        <v>4156</v>
      </c>
      <c r="G109" s="20" t="s">
        <v>25</v>
      </c>
      <c r="H109" s="20" t="s">
        <v>26</v>
      </c>
      <c r="I109" s="21">
        <v>46299</v>
      </c>
      <c r="J109" s="20" t="s">
        <v>36</v>
      </c>
      <c r="K109" s="20" t="s">
        <v>1143</v>
      </c>
      <c r="L109" s="20" t="s">
        <v>4157</v>
      </c>
      <c r="M109" s="20" t="s">
        <v>259</v>
      </c>
      <c r="N109" s="22" t="s">
        <v>250</v>
      </c>
      <c r="O109" s="20" t="s">
        <v>3847</v>
      </c>
      <c r="P109" s="20" t="s">
        <v>148</v>
      </c>
      <c r="Q109" s="20" t="s">
        <v>149</v>
      </c>
      <c r="R109" s="20" t="s">
        <v>26</v>
      </c>
      <c r="S109" s="20" t="s">
        <v>32</v>
      </c>
      <c r="T109" s="20" t="s">
        <v>195</v>
      </c>
      <c r="U109" s="20" t="s">
        <v>4037</v>
      </c>
      <c r="V109" s="21"/>
      <c r="W109" s="21">
        <v>46299</v>
      </c>
      <c r="X109" s="20" t="s">
        <v>3836</v>
      </c>
      <c r="Y109" s="21">
        <v>46300</v>
      </c>
      <c r="Z109" s="20" t="s">
        <v>4032</v>
      </c>
    </row>
    <row r="110" spans="1:26" x14ac:dyDescent="0.25">
      <c r="A110" s="9">
        <f t="shared" si="1"/>
        <v>103</v>
      </c>
      <c r="B110" s="19" t="s">
        <v>4027</v>
      </c>
      <c r="C110" s="20" t="s">
        <v>3829</v>
      </c>
      <c r="D110" s="20" t="s">
        <v>4164</v>
      </c>
      <c r="E110" s="20" t="s">
        <v>26</v>
      </c>
      <c r="F110" s="20" t="s">
        <v>4165</v>
      </c>
      <c r="G110" s="20" t="s">
        <v>25</v>
      </c>
      <c r="H110" s="20" t="s">
        <v>26</v>
      </c>
      <c r="I110" s="21">
        <v>46299</v>
      </c>
      <c r="J110" s="20" t="s">
        <v>36</v>
      </c>
      <c r="K110" s="20" t="s">
        <v>28</v>
      </c>
      <c r="L110" s="20" t="s">
        <v>4166</v>
      </c>
      <c r="M110" s="20" t="s">
        <v>259</v>
      </c>
      <c r="N110" s="22" t="s">
        <v>250</v>
      </c>
      <c r="O110" s="20" t="s">
        <v>3847</v>
      </c>
      <c r="P110" s="20" t="s">
        <v>613</v>
      </c>
      <c r="Q110" s="20" t="s">
        <v>614</v>
      </c>
      <c r="R110" s="20" t="s">
        <v>26</v>
      </c>
      <c r="S110" s="20" t="s">
        <v>32</v>
      </c>
      <c r="T110" s="20" t="s">
        <v>195</v>
      </c>
      <c r="U110" s="20" t="s">
        <v>4037</v>
      </c>
      <c r="V110" s="21"/>
      <c r="W110" s="21">
        <v>46299</v>
      </c>
      <c r="X110" s="20" t="s">
        <v>3836</v>
      </c>
      <c r="Y110" s="21">
        <v>46300</v>
      </c>
      <c r="Z110" s="20" t="s">
        <v>4032</v>
      </c>
    </row>
    <row r="111" spans="1:26" x14ac:dyDescent="0.25">
      <c r="A111" s="9">
        <f t="shared" si="1"/>
        <v>104</v>
      </c>
      <c r="B111" s="19" t="s">
        <v>4027</v>
      </c>
      <c r="C111" s="20" t="s">
        <v>3829</v>
      </c>
      <c r="D111" s="20" t="s">
        <v>4167</v>
      </c>
      <c r="E111" s="20" t="s">
        <v>26</v>
      </c>
      <c r="F111" s="20" t="s">
        <v>4165</v>
      </c>
      <c r="G111" s="20" t="s">
        <v>25</v>
      </c>
      <c r="H111" s="20" t="s">
        <v>26</v>
      </c>
      <c r="I111" s="21">
        <v>46299</v>
      </c>
      <c r="J111" s="20" t="s">
        <v>36</v>
      </c>
      <c r="K111" s="20" t="s">
        <v>58</v>
      </c>
      <c r="L111" s="20" t="s">
        <v>4166</v>
      </c>
      <c r="M111" s="20" t="s">
        <v>259</v>
      </c>
      <c r="N111" s="22" t="s">
        <v>250</v>
      </c>
      <c r="O111" s="20" t="s">
        <v>3847</v>
      </c>
      <c r="P111" s="20" t="s">
        <v>613</v>
      </c>
      <c r="Q111" s="20" t="s">
        <v>614</v>
      </c>
      <c r="R111" s="20" t="s">
        <v>26</v>
      </c>
      <c r="S111" s="20" t="s">
        <v>32</v>
      </c>
      <c r="T111" s="20" t="s">
        <v>195</v>
      </c>
      <c r="U111" s="20" t="s">
        <v>4037</v>
      </c>
      <c r="V111" s="21"/>
      <c r="W111" s="21">
        <v>46299</v>
      </c>
      <c r="X111" s="20" t="s">
        <v>3836</v>
      </c>
      <c r="Y111" s="21">
        <v>46300</v>
      </c>
      <c r="Z111" s="20" t="s">
        <v>4032</v>
      </c>
    </row>
    <row r="112" spans="1:26" x14ac:dyDescent="0.25">
      <c r="A112" s="9">
        <f t="shared" si="1"/>
        <v>105</v>
      </c>
      <c r="B112" s="19" t="s">
        <v>4027</v>
      </c>
      <c r="C112" s="20" t="s">
        <v>3829</v>
      </c>
      <c r="D112" s="20" t="s">
        <v>4168</v>
      </c>
      <c r="E112" s="20" t="s">
        <v>26</v>
      </c>
      <c r="F112" s="20" t="s">
        <v>4169</v>
      </c>
      <c r="G112" s="20" t="s">
        <v>25</v>
      </c>
      <c r="H112" s="20" t="s">
        <v>26</v>
      </c>
      <c r="I112" s="21">
        <v>46299</v>
      </c>
      <c r="J112" s="20" t="s">
        <v>36</v>
      </c>
      <c r="K112" s="20" t="s">
        <v>28</v>
      </c>
      <c r="L112" s="20" t="s">
        <v>4170</v>
      </c>
      <c r="M112" s="20" t="s">
        <v>259</v>
      </c>
      <c r="N112" s="22" t="s">
        <v>250</v>
      </c>
      <c r="O112" s="20" t="s">
        <v>3847</v>
      </c>
      <c r="P112" s="20" t="s">
        <v>613</v>
      </c>
      <c r="Q112" s="20" t="s">
        <v>614</v>
      </c>
      <c r="R112" s="20" t="s">
        <v>285</v>
      </c>
      <c r="S112" s="20" t="s">
        <v>32</v>
      </c>
      <c r="T112" s="20" t="s">
        <v>195</v>
      </c>
      <c r="U112" s="20" t="s">
        <v>4037</v>
      </c>
      <c r="V112" s="21"/>
      <c r="W112" s="21">
        <v>46299</v>
      </c>
      <c r="X112" s="20" t="s">
        <v>3836</v>
      </c>
      <c r="Y112" s="21">
        <v>46300</v>
      </c>
      <c r="Z112" s="20" t="s">
        <v>4032</v>
      </c>
    </row>
    <row r="113" spans="1:26" x14ac:dyDescent="0.25">
      <c r="A113" s="9">
        <f t="shared" si="1"/>
        <v>106</v>
      </c>
      <c r="B113" s="19" t="s">
        <v>4027</v>
      </c>
      <c r="C113" s="20" t="s">
        <v>3829</v>
      </c>
      <c r="D113" s="20" t="s">
        <v>4171</v>
      </c>
      <c r="E113" s="20" t="s">
        <v>26</v>
      </c>
      <c r="F113" s="20" t="s">
        <v>4169</v>
      </c>
      <c r="G113" s="20" t="s">
        <v>25</v>
      </c>
      <c r="H113" s="20" t="s">
        <v>26</v>
      </c>
      <c r="I113" s="21">
        <v>46299</v>
      </c>
      <c r="J113" s="20" t="s">
        <v>36</v>
      </c>
      <c r="K113" s="20" t="s">
        <v>58</v>
      </c>
      <c r="L113" s="20" t="s">
        <v>4170</v>
      </c>
      <c r="M113" s="20" t="s">
        <v>259</v>
      </c>
      <c r="N113" s="22" t="s">
        <v>250</v>
      </c>
      <c r="O113" s="20" t="s">
        <v>3847</v>
      </c>
      <c r="P113" s="20" t="s">
        <v>613</v>
      </c>
      <c r="Q113" s="20" t="s">
        <v>614</v>
      </c>
      <c r="R113" s="20" t="s">
        <v>285</v>
      </c>
      <c r="S113" s="20" t="s">
        <v>32</v>
      </c>
      <c r="T113" s="20" t="s">
        <v>195</v>
      </c>
      <c r="U113" s="20" t="s">
        <v>4037</v>
      </c>
      <c r="V113" s="21"/>
      <c r="W113" s="21">
        <v>46299</v>
      </c>
      <c r="X113" s="20" t="s">
        <v>3836</v>
      </c>
      <c r="Y113" s="21">
        <v>46300</v>
      </c>
      <c r="Z113" s="20" t="s">
        <v>4032</v>
      </c>
    </row>
    <row r="114" spans="1:26" x14ac:dyDescent="0.25">
      <c r="A114" s="9">
        <f t="shared" si="1"/>
        <v>107</v>
      </c>
      <c r="B114" s="19" t="s">
        <v>4027</v>
      </c>
      <c r="C114" s="20" t="s">
        <v>3829</v>
      </c>
      <c r="D114" s="20" t="s">
        <v>4172</v>
      </c>
      <c r="E114" s="20" t="s">
        <v>26</v>
      </c>
      <c r="F114" s="20" t="s">
        <v>4173</v>
      </c>
      <c r="G114" s="20" t="s">
        <v>25</v>
      </c>
      <c r="H114" s="20" t="s">
        <v>26</v>
      </c>
      <c r="I114" s="21">
        <v>46299</v>
      </c>
      <c r="J114" s="20" t="s">
        <v>36</v>
      </c>
      <c r="K114" s="20" t="s">
        <v>28</v>
      </c>
      <c r="L114" s="20" t="s">
        <v>4174</v>
      </c>
      <c r="M114" s="20" t="s">
        <v>259</v>
      </c>
      <c r="N114" s="22" t="s">
        <v>250</v>
      </c>
      <c r="O114" s="20" t="s">
        <v>3847</v>
      </c>
      <c r="P114" s="20" t="s">
        <v>148</v>
      </c>
      <c r="Q114" s="20" t="s">
        <v>149</v>
      </c>
      <c r="R114" s="20" t="s">
        <v>26</v>
      </c>
      <c r="S114" s="20" t="s">
        <v>32</v>
      </c>
      <c r="T114" s="20" t="s">
        <v>195</v>
      </c>
      <c r="U114" s="20" t="s">
        <v>4037</v>
      </c>
      <c r="V114" s="21"/>
      <c r="W114" s="21">
        <v>46299</v>
      </c>
      <c r="X114" s="20" t="s">
        <v>3836</v>
      </c>
      <c r="Y114" s="21">
        <v>46300</v>
      </c>
      <c r="Z114" s="20" t="s">
        <v>4032</v>
      </c>
    </row>
    <row r="115" spans="1:26" x14ac:dyDescent="0.25">
      <c r="A115" s="9">
        <f t="shared" si="1"/>
        <v>108</v>
      </c>
      <c r="B115" s="19" t="s">
        <v>4027</v>
      </c>
      <c r="C115" s="20" t="s">
        <v>3829</v>
      </c>
      <c r="D115" s="20" t="s">
        <v>4175</v>
      </c>
      <c r="E115" s="20" t="s">
        <v>26</v>
      </c>
      <c r="F115" s="20" t="s">
        <v>4173</v>
      </c>
      <c r="G115" s="20" t="s">
        <v>25</v>
      </c>
      <c r="H115" s="20" t="s">
        <v>26</v>
      </c>
      <c r="I115" s="21">
        <v>46299</v>
      </c>
      <c r="J115" s="20" t="s">
        <v>36</v>
      </c>
      <c r="K115" s="20" t="s">
        <v>58</v>
      </c>
      <c r="L115" s="20" t="s">
        <v>4174</v>
      </c>
      <c r="M115" s="20" t="s">
        <v>259</v>
      </c>
      <c r="N115" s="22" t="s">
        <v>250</v>
      </c>
      <c r="O115" s="20" t="s">
        <v>3847</v>
      </c>
      <c r="P115" s="20" t="s">
        <v>148</v>
      </c>
      <c r="Q115" s="20" t="s">
        <v>149</v>
      </c>
      <c r="R115" s="20" t="s">
        <v>26</v>
      </c>
      <c r="S115" s="20" t="s">
        <v>32</v>
      </c>
      <c r="T115" s="20" t="s">
        <v>195</v>
      </c>
      <c r="U115" s="20" t="s">
        <v>4037</v>
      </c>
      <c r="V115" s="21"/>
      <c r="W115" s="21">
        <v>46299</v>
      </c>
      <c r="X115" s="20" t="s">
        <v>3836</v>
      </c>
      <c r="Y115" s="21">
        <v>46300</v>
      </c>
      <c r="Z115" s="20" t="s">
        <v>4032</v>
      </c>
    </row>
    <row r="116" spans="1:26" x14ac:dyDescent="0.25">
      <c r="A116" s="9">
        <f t="shared" si="1"/>
        <v>109</v>
      </c>
      <c r="B116" s="19" t="s">
        <v>4027</v>
      </c>
      <c r="C116" s="20" t="s">
        <v>3829</v>
      </c>
      <c r="D116" s="20" t="s">
        <v>4176</v>
      </c>
      <c r="E116" s="20" t="s">
        <v>26</v>
      </c>
      <c r="F116" s="20" t="s">
        <v>4177</v>
      </c>
      <c r="G116" s="20" t="s">
        <v>25</v>
      </c>
      <c r="H116" s="20" t="s">
        <v>26</v>
      </c>
      <c r="I116" s="21">
        <v>46299</v>
      </c>
      <c r="J116" s="20" t="s">
        <v>36</v>
      </c>
      <c r="K116" s="20" t="s">
        <v>28</v>
      </c>
      <c r="L116" s="20" t="s">
        <v>4178</v>
      </c>
      <c r="M116" s="20" t="s">
        <v>259</v>
      </c>
      <c r="N116" s="22" t="s">
        <v>250</v>
      </c>
      <c r="O116" s="20" t="s">
        <v>3847</v>
      </c>
      <c r="P116" s="20" t="s">
        <v>26</v>
      </c>
      <c r="Q116" s="20" t="s">
        <v>26</v>
      </c>
      <c r="R116" s="20" t="s">
        <v>26</v>
      </c>
      <c r="S116" s="20" t="s">
        <v>32</v>
      </c>
      <c r="T116" s="20" t="s">
        <v>195</v>
      </c>
      <c r="U116" s="20" t="s">
        <v>4037</v>
      </c>
      <c r="V116" s="21"/>
      <c r="W116" s="21">
        <v>46299</v>
      </c>
      <c r="X116" s="20" t="s">
        <v>3836</v>
      </c>
      <c r="Y116" s="21">
        <v>46300</v>
      </c>
      <c r="Z116" s="20" t="s">
        <v>4032</v>
      </c>
    </row>
    <row r="117" spans="1:26" x14ac:dyDescent="0.25">
      <c r="A117" s="9">
        <f t="shared" si="1"/>
        <v>110</v>
      </c>
      <c r="B117" s="19" t="s">
        <v>4027</v>
      </c>
      <c r="C117" s="20" t="s">
        <v>3829</v>
      </c>
      <c r="D117" s="20" t="s">
        <v>4179</v>
      </c>
      <c r="E117" s="20" t="s">
        <v>26</v>
      </c>
      <c r="F117" s="20" t="s">
        <v>4177</v>
      </c>
      <c r="G117" s="20" t="s">
        <v>25</v>
      </c>
      <c r="H117" s="20" t="s">
        <v>26</v>
      </c>
      <c r="I117" s="21">
        <v>46299</v>
      </c>
      <c r="J117" s="20" t="s">
        <v>36</v>
      </c>
      <c r="K117" s="20" t="s">
        <v>58</v>
      </c>
      <c r="L117" s="20" t="s">
        <v>4178</v>
      </c>
      <c r="M117" s="20" t="s">
        <v>259</v>
      </c>
      <c r="N117" s="22" t="s">
        <v>250</v>
      </c>
      <c r="O117" s="20" t="s">
        <v>3847</v>
      </c>
      <c r="P117" s="20" t="s">
        <v>26</v>
      </c>
      <c r="Q117" s="20" t="s">
        <v>26</v>
      </c>
      <c r="R117" s="20" t="s">
        <v>26</v>
      </c>
      <c r="S117" s="20" t="s">
        <v>32</v>
      </c>
      <c r="T117" s="20" t="s">
        <v>195</v>
      </c>
      <c r="U117" s="20" t="s">
        <v>4037</v>
      </c>
      <c r="V117" s="21"/>
      <c r="W117" s="21">
        <v>46299</v>
      </c>
      <c r="X117" s="20" t="s">
        <v>3836</v>
      </c>
      <c r="Y117" s="21">
        <v>46300</v>
      </c>
      <c r="Z117" s="20" t="s">
        <v>4032</v>
      </c>
    </row>
    <row r="118" spans="1:26" x14ac:dyDescent="0.25">
      <c r="A118" s="9">
        <f t="shared" si="1"/>
        <v>111</v>
      </c>
      <c r="B118" s="19" t="s">
        <v>4027</v>
      </c>
      <c r="C118" s="20" t="s">
        <v>3829</v>
      </c>
      <c r="D118" s="20" t="s">
        <v>4180</v>
      </c>
      <c r="E118" s="20" t="s">
        <v>26</v>
      </c>
      <c r="F118" s="20" t="s">
        <v>4177</v>
      </c>
      <c r="G118" s="20" t="s">
        <v>25</v>
      </c>
      <c r="H118" s="20" t="s">
        <v>26</v>
      </c>
      <c r="I118" s="21">
        <v>46299</v>
      </c>
      <c r="J118" s="20" t="s">
        <v>36</v>
      </c>
      <c r="K118" s="20" t="s">
        <v>59</v>
      </c>
      <c r="L118" s="20" t="s">
        <v>4178</v>
      </c>
      <c r="M118" s="20" t="s">
        <v>259</v>
      </c>
      <c r="N118" s="22" t="s">
        <v>250</v>
      </c>
      <c r="O118" s="20" t="s">
        <v>3847</v>
      </c>
      <c r="P118" s="20" t="s">
        <v>26</v>
      </c>
      <c r="Q118" s="20" t="s">
        <v>26</v>
      </c>
      <c r="R118" s="20" t="s">
        <v>26</v>
      </c>
      <c r="S118" s="20" t="s">
        <v>32</v>
      </c>
      <c r="T118" s="20" t="s">
        <v>195</v>
      </c>
      <c r="U118" s="20" t="s">
        <v>4037</v>
      </c>
      <c r="V118" s="21"/>
      <c r="W118" s="21">
        <v>46299</v>
      </c>
      <c r="X118" s="20" t="s">
        <v>3836</v>
      </c>
      <c r="Y118" s="21">
        <v>46300</v>
      </c>
      <c r="Z118" s="20" t="s">
        <v>4032</v>
      </c>
    </row>
    <row r="119" spans="1:26" x14ac:dyDescent="0.25">
      <c r="A119" s="9">
        <f t="shared" si="1"/>
        <v>112</v>
      </c>
      <c r="B119" s="19" t="s">
        <v>4027</v>
      </c>
      <c r="C119" s="20" t="s">
        <v>3829</v>
      </c>
      <c r="D119" s="20" t="s">
        <v>4181</v>
      </c>
      <c r="E119" s="20" t="s">
        <v>26</v>
      </c>
      <c r="F119" s="20" t="s">
        <v>4177</v>
      </c>
      <c r="G119" s="20" t="s">
        <v>25</v>
      </c>
      <c r="H119" s="20" t="s">
        <v>26</v>
      </c>
      <c r="I119" s="21">
        <v>46299</v>
      </c>
      <c r="J119" s="20" t="s">
        <v>36</v>
      </c>
      <c r="K119" s="20" t="s">
        <v>684</v>
      </c>
      <c r="L119" s="20" t="s">
        <v>4178</v>
      </c>
      <c r="M119" s="20" t="s">
        <v>259</v>
      </c>
      <c r="N119" s="22" t="s">
        <v>250</v>
      </c>
      <c r="O119" s="20" t="s">
        <v>3847</v>
      </c>
      <c r="P119" s="20" t="s">
        <v>26</v>
      </c>
      <c r="Q119" s="20" t="s">
        <v>26</v>
      </c>
      <c r="R119" s="20" t="s">
        <v>26</v>
      </c>
      <c r="S119" s="20" t="s">
        <v>32</v>
      </c>
      <c r="T119" s="20" t="s">
        <v>195</v>
      </c>
      <c r="U119" s="20" t="s">
        <v>4037</v>
      </c>
      <c r="V119" s="21"/>
      <c r="W119" s="21">
        <v>46299</v>
      </c>
      <c r="X119" s="20" t="s">
        <v>3836</v>
      </c>
      <c r="Y119" s="21">
        <v>46300</v>
      </c>
      <c r="Z119" s="20" t="s">
        <v>4032</v>
      </c>
    </row>
    <row r="120" spans="1:26" x14ac:dyDescent="0.25">
      <c r="A120" s="9">
        <f t="shared" si="1"/>
        <v>113</v>
      </c>
      <c r="B120" s="19" t="s">
        <v>4027</v>
      </c>
      <c r="C120" s="20" t="s">
        <v>3829</v>
      </c>
      <c r="D120" s="20" t="s">
        <v>4182</v>
      </c>
      <c r="E120" s="20" t="s">
        <v>26</v>
      </c>
      <c r="F120" s="20" t="s">
        <v>4177</v>
      </c>
      <c r="G120" s="20" t="s">
        <v>25</v>
      </c>
      <c r="H120" s="20" t="s">
        <v>26</v>
      </c>
      <c r="I120" s="21">
        <v>46299</v>
      </c>
      <c r="J120" s="20" t="s">
        <v>36</v>
      </c>
      <c r="K120" s="20" t="s">
        <v>557</v>
      </c>
      <c r="L120" s="20" t="s">
        <v>4178</v>
      </c>
      <c r="M120" s="20" t="s">
        <v>259</v>
      </c>
      <c r="N120" s="22" t="s">
        <v>250</v>
      </c>
      <c r="O120" s="20" t="s">
        <v>3847</v>
      </c>
      <c r="P120" s="20" t="s">
        <v>26</v>
      </c>
      <c r="Q120" s="20" t="s">
        <v>26</v>
      </c>
      <c r="R120" s="20" t="s">
        <v>26</v>
      </c>
      <c r="S120" s="20" t="s">
        <v>32</v>
      </c>
      <c r="T120" s="20" t="s">
        <v>195</v>
      </c>
      <c r="U120" s="20" t="s">
        <v>4037</v>
      </c>
      <c r="V120" s="21"/>
      <c r="W120" s="21">
        <v>46299</v>
      </c>
      <c r="X120" s="20" t="s">
        <v>3836</v>
      </c>
      <c r="Y120" s="21">
        <v>46300</v>
      </c>
      <c r="Z120" s="20" t="s">
        <v>4032</v>
      </c>
    </row>
    <row r="121" spans="1:26" x14ac:dyDescent="0.25">
      <c r="A121" s="9">
        <f t="shared" si="1"/>
        <v>114</v>
      </c>
      <c r="B121" s="19" t="s">
        <v>4027</v>
      </c>
      <c r="C121" s="20" t="s">
        <v>3829</v>
      </c>
      <c r="D121" s="20" t="s">
        <v>4183</v>
      </c>
      <c r="E121" s="20" t="s">
        <v>26</v>
      </c>
      <c r="F121" s="20" t="s">
        <v>4177</v>
      </c>
      <c r="G121" s="20" t="s">
        <v>25</v>
      </c>
      <c r="H121" s="20" t="s">
        <v>26</v>
      </c>
      <c r="I121" s="21">
        <v>46299</v>
      </c>
      <c r="J121" s="20" t="s">
        <v>36</v>
      </c>
      <c r="K121" s="20" t="s">
        <v>1141</v>
      </c>
      <c r="L121" s="20" t="s">
        <v>4178</v>
      </c>
      <c r="M121" s="20" t="s">
        <v>259</v>
      </c>
      <c r="N121" s="22" t="s">
        <v>250</v>
      </c>
      <c r="O121" s="20" t="s">
        <v>3847</v>
      </c>
      <c r="P121" s="20" t="s">
        <v>26</v>
      </c>
      <c r="Q121" s="20" t="s">
        <v>26</v>
      </c>
      <c r="R121" s="20" t="s">
        <v>26</v>
      </c>
      <c r="S121" s="20" t="s">
        <v>32</v>
      </c>
      <c r="T121" s="20" t="s">
        <v>195</v>
      </c>
      <c r="U121" s="20" t="s">
        <v>4037</v>
      </c>
      <c r="V121" s="21"/>
      <c r="W121" s="21">
        <v>46299</v>
      </c>
      <c r="X121" s="20" t="s">
        <v>3836</v>
      </c>
      <c r="Y121" s="21">
        <v>46300</v>
      </c>
      <c r="Z121" s="20" t="s">
        <v>4032</v>
      </c>
    </row>
    <row r="122" spans="1:26" x14ac:dyDescent="0.25">
      <c r="A122" s="9">
        <f t="shared" si="1"/>
        <v>115</v>
      </c>
      <c r="B122" s="19" t="s">
        <v>4027</v>
      </c>
      <c r="C122" s="20" t="s">
        <v>3829</v>
      </c>
      <c r="D122" s="20" t="s">
        <v>4184</v>
      </c>
      <c r="E122" s="20" t="s">
        <v>26</v>
      </c>
      <c r="F122" s="20" t="s">
        <v>4177</v>
      </c>
      <c r="G122" s="20" t="s">
        <v>25</v>
      </c>
      <c r="H122" s="20" t="s">
        <v>26</v>
      </c>
      <c r="I122" s="21">
        <v>46299</v>
      </c>
      <c r="J122" s="20" t="s">
        <v>36</v>
      </c>
      <c r="K122" s="20" t="s">
        <v>1143</v>
      </c>
      <c r="L122" s="20" t="s">
        <v>4178</v>
      </c>
      <c r="M122" s="20" t="s">
        <v>259</v>
      </c>
      <c r="N122" s="22" t="s">
        <v>250</v>
      </c>
      <c r="O122" s="20" t="s">
        <v>3847</v>
      </c>
      <c r="P122" s="20" t="s">
        <v>26</v>
      </c>
      <c r="Q122" s="20" t="s">
        <v>26</v>
      </c>
      <c r="R122" s="20" t="s">
        <v>26</v>
      </c>
      <c r="S122" s="20" t="s">
        <v>32</v>
      </c>
      <c r="T122" s="20" t="s">
        <v>195</v>
      </c>
      <c r="U122" s="20" t="s">
        <v>4037</v>
      </c>
      <c r="V122" s="21"/>
      <c r="W122" s="21">
        <v>46299</v>
      </c>
      <c r="X122" s="20" t="s">
        <v>3836</v>
      </c>
      <c r="Y122" s="21">
        <v>46300</v>
      </c>
      <c r="Z122" s="20" t="s">
        <v>4032</v>
      </c>
    </row>
    <row r="123" spans="1:26" x14ac:dyDescent="0.25">
      <c r="A123" s="9">
        <f t="shared" si="1"/>
        <v>116</v>
      </c>
      <c r="B123" s="19" t="s">
        <v>4027</v>
      </c>
      <c r="C123" s="20" t="s">
        <v>3829</v>
      </c>
      <c r="D123" s="20" t="s">
        <v>4185</v>
      </c>
      <c r="E123" s="20" t="s">
        <v>26</v>
      </c>
      <c r="F123" s="20" t="s">
        <v>4177</v>
      </c>
      <c r="G123" s="20" t="s">
        <v>25</v>
      </c>
      <c r="H123" s="20" t="s">
        <v>26</v>
      </c>
      <c r="I123" s="21">
        <v>46299</v>
      </c>
      <c r="J123" s="20" t="s">
        <v>36</v>
      </c>
      <c r="K123" s="20" t="s">
        <v>1145</v>
      </c>
      <c r="L123" s="20" t="s">
        <v>4178</v>
      </c>
      <c r="M123" s="20" t="s">
        <v>259</v>
      </c>
      <c r="N123" s="22" t="s">
        <v>250</v>
      </c>
      <c r="O123" s="20" t="s">
        <v>3847</v>
      </c>
      <c r="P123" s="20" t="s">
        <v>26</v>
      </c>
      <c r="Q123" s="20" t="s">
        <v>26</v>
      </c>
      <c r="R123" s="20" t="s">
        <v>26</v>
      </c>
      <c r="S123" s="20" t="s">
        <v>32</v>
      </c>
      <c r="T123" s="20" t="s">
        <v>195</v>
      </c>
      <c r="U123" s="20" t="s">
        <v>4037</v>
      </c>
      <c r="V123" s="21"/>
      <c r="W123" s="21">
        <v>46299</v>
      </c>
      <c r="X123" s="20" t="s">
        <v>3836</v>
      </c>
      <c r="Y123" s="21">
        <v>46300</v>
      </c>
      <c r="Z123" s="20" t="s">
        <v>4032</v>
      </c>
    </row>
    <row r="124" spans="1:26" x14ac:dyDescent="0.25">
      <c r="A124" s="9">
        <f t="shared" si="1"/>
        <v>117</v>
      </c>
      <c r="B124" s="19" t="s">
        <v>4027</v>
      </c>
      <c r="C124" s="20" t="s">
        <v>3829</v>
      </c>
      <c r="D124" s="20" t="s">
        <v>4186</v>
      </c>
      <c r="E124" s="20" t="s">
        <v>26</v>
      </c>
      <c r="F124" s="20" t="s">
        <v>4177</v>
      </c>
      <c r="G124" s="20" t="s">
        <v>25</v>
      </c>
      <c r="H124" s="20" t="s">
        <v>26</v>
      </c>
      <c r="I124" s="21">
        <v>46299</v>
      </c>
      <c r="J124" s="20" t="s">
        <v>36</v>
      </c>
      <c r="K124" s="20" t="s">
        <v>1147</v>
      </c>
      <c r="L124" s="20" t="s">
        <v>4178</v>
      </c>
      <c r="M124" s="20" t="s">
        <v>259</v>
      </c>
      <c r="N124" s="22" t="s">
        <v>250</v>
      </c>
      <c r="O124" s="20" t="s">
        <v>3847</v>
      </c>
      <c r="P124" s="20" t="s">
        <v>26</v>
      </c>
      <c r="Q124" s="20" t="s">
        <v>26</v>
      </c>
      <c r="R124" s="20" t="s">
        <v>26</v>
      </c>
      <c r="S124" s="20" t="s">
        <v>32</v>
      </c>
      <c r="T124" s="20" t="s">
        <v>195</v>
      </c>
      <c r="U124" s="20" t="s">
        <v>4037</v>
      </c>
      <c r="V124" s="21"/>
      <c r="W124" s="21">
        <v>46299</v>
      </c>
      <c r="X124" s="20" t="s">
        <v>3836</v>
      </c>
      <c r="Y124" s="21">
        <v>46300</v>
      </c>
      <c r="Z124" s="20" t="s">
        <v>4032</v>
      </c>
    </row>
    <row r="125" spans="1:26" x14ac:dyDescent="0.25">
      <c r="A125" s="9">
        <f t="shared" si="1"/>
        <v>118</v>
      </c>
      <c r="B125" s="19" t="s">
        <v>4027</v>
      </c>
      <c r="C125" s="20" t="s">
        <v>3829</v>
      </c>
      <c r="D125" s="20" t="s">
        <v>4187</v>
      </c>
      <c r="E125" s="20" t="s">
        <v>26</v>
      </c>
      <c r="F125" s="20" t="s">
        <v>4177</v>
      </c>
      <c r="G125" s="20" t="s">
        <v>25</v>
      </c>
      <c r="H125" s="20" t="s">
        <v>26</v>
      </c>
      <c r="I125" s="21">
        <v>46299</v>
      </c>
      <c r="J125" s="20" t="s">
        <v>36</v>
      </c>
      <c r="K125" s="20" t="s">
        <v>1149</v>
      </c>
      <c r="L125" s="20" t="s">
        <v>4178</v>
      </c>
      <c r="M125" s="20" t="s">
        <v>259</v>
      </c>
      <c r="N125" s="22" t="s">
        <v>250</v>
      </c>
      <c r="O125" s="20" t="s">
        <v>3847</v>
      </c>
      <c r="P125" s="20" t="s">
        <v>26</v>
      </c>
      <c r="Q125" s="20" t="s">
        <v>26</v>
      </c>
      <c r="R125" s="20" t="s">
        <v>26</v>
      </c>
      <c r="S125" s="20" t="s">
        <v>32</v>
      </c>
      <c r="T125" s="20" t="s">
        <v>195</v>
      </c>
      <c r="U125" s="20" t="s">
        <v>4037</v>
      </c>
      <c r="V125" s="21"/>
      <c r="W125" s="21">
        <v>46299</v>
      </c>
      <c r="X125" s="20" t="s">
        <v>3836</v>
      </c>
      <c r="Y125" s="21">
        <v>46300</v>
      </c>
      <c r="Z125" s="20" t="s">
        <v>4032</v>
      </c>
    </row>
    <row r="126" spans="1:26" x14ac:dyDescent="0.25">
      <c r="A126" s="9">
        <f t="shared" si="1"/>
        <v>119</v>
      </c>
      <c r="B126" s="19" t="s">
        <v>4027</v>
      </c>
      <c r="C126" s="20" t="s">
        <v>3829</v>
      </c>
      <c r="D126" s="20" t="s">
        <v>4188</v>
      </c>
      <c r="E126" s="20" t="s">
        <v>26</v>
      </c>
      <c r="F126" s="20" t="s">
        <v>4177</v>
      </c>
      <c r="G126" s="20" t="s">
        <v>25</v>
      </c>
      <c r="H126" s="20" t="s">
        <v>26</v>
      </c>
      <c r="I126" s="21">
        <v>46299</v>
      </c>
      <c r="J126" s="20" t="s">
        <v>36</v>
      </c>
      <c r="K126" s="20" t="s">
        <v>1151</v>
      </c>
      <c r="L126" s="20" t="s">
        <v>4178</v>
      </c>
      <c r="M126" s="20" t="s">
        <v>259</v>
      </c>
      <c r="N126" s="22" t="s">
        <v>250</v>
      </c>
      <c r="O126" s="20" t="s">
        <v>3847</v>
      </c>
      <c r="P126" s="20" t="s">
        <v>26</v>
      </c>
      <c r="Q126" s="20" t="s">
        <v>26</v>
      </c>
      <c r="R126" s="20" t="s">
        <v>26</v>
      </c>
      <c r="S126" s="20" t="s">
        <v>32</v>
      </c>
      <c r="T126" s="20" t="s">
        <v>195</v>
      </c>
      <c r="U126" s="20" t="s">
        <v>4037</v>
      </c>
      <c r="V126" s="21"/>
      <c r="W126" s="21">
        <v>46299</v>
      </c>
      <c r="X126" s="20" t="s">
        <v>3836</v>
      </c>
      <c r="Y126" s="21">
        <v>46300</v>
      </c>
      <c r="Z126" s="20" t="s">
        <v>4032</v>
      </c>
    </row>
    <row r="127" spans="1:26" x14ac:dyDescent="0.25">
      <c r="A127" s="9">
        <f t="shared" si="1"/>
        <v>120</v>
      </c>
      <c r="B127" s="19" t="s">
        <v>4027</v>
      </c>
      <c r="C127" s="20" t="s">
        <v>3829</v>
      </c>
      <c r="D127" s="20" t="s">
        <v>4189</v>
      </c>
      <c r="E127" s="20" t="s">
        <v>26</v>
      </c>
      <c r="F127" s="20" t="s">
        <v>4190</v>
      </c>
      <c r="G127" s="20" t="s">
        <v>25</v>
      </c>
      <c r="H127" s="20" t="s">
        <v>26</v>
      </c>
      <c r="I127" s="21">
        <v>46299</v>
      </c>
      <c r="J127" s="20" t="s">
        <v>36</v>
      </c>
      <c r="K127" s="20" t="s">
        <v>28</v>
      </c>
      <c r="L127" s="20" t="s">
        <v>4191</v>
      </c>
      <c r="M127" s="20" t="s">
        <v>259</v>
      </c>
      <c r="N127" s="22" t="s">
        <v>250</v>
      </c>
      <c r="O127" s="20" t="s">
        <v>3847</v>
      </c>
      <c r="P127" s="20" t="s">
        <v>613</v>
      </c>
      <c r="Q127" s="20" t="s">
        <v>614</v>
      </c>
      <c r="R127" s="20" t="s">
        <v>285</v>
      </c>
      <c r="S127" s="20" t="s">
        <v>32</v>
      </c>
      <c r="T127" s="20" t="s">
        <v>195</v>
      </c>
      <c r="U127" s="20" t="s">
        <v>4037</v>
      </c>
      <c r="V127" s="21"/>
      <c r="W127" s="21">
        <v>46299</v>
      </c>
      <c r="X127" s="20" t="s">
        <v>3836</v>
      </c>
      <c r="Y127" s="21">
        <v>46300</v>
      </c>
      <c r="Z127" s="20" t="s">
        <v>4032</v>
      </c>
    </row>
    <row r="128" spans="1:26" x14ac:dyDescent="0.25">
      <c r="A128" s="9">
        <f t="shared" si="1"/>
        <v>121</v>
      </c>
      <c r="B128" s="19" t="s">
        <v>4027</v>
      </c>
      <c r="C128" s="20" t="s">
        <v>3829</v>
      </c>
      <c r="D128" s="20" t="s">
        <v>4192</v>
      </c>
      <c r="E128" s="20" t="s">
        <v>26</v>
      </c>
      <c r="F128" s="20" t="s">
        <v>4193</v>
      </c>
      <c r="G128" s="20" t="s">
        <v>25</v>
      </c>
      <c r="H128" s="20" t="s">
        <v>26</v>
      </c>
      <c r="I128" s="21">
        <v>46299</v>
      </c>
      <c r="J128" s="20" t="s">
        <v>36</v>
      </c>
      <c r="K128" s="20" t="s">
        <v>28</v>
      </c>
      <c r="L128" s="20" t="s">
        <v>4194</v>
      </c>
      <c r="M128" s="20" t="s">
        <v>259</v>
      </c>
      <c r="N128" s="22" t="s">
        <v>250</v>
      </c>
      <c r="O128" s="20" t="s">
        <v>3847</v>
      </c>
      <c r="P128" s="20" t="s">
        <v>26</v>
      </c>
      <c r="Q128" s="20" t="s">
        <v>26</v>
      </c>
      <c r="R128" s="20" t="s">
        <v>26</v>
      </c>
      <c r="S128" s="20" t="s">
        <v>32</v>
      </c>
      <c r="T128" s="20" t="s">
        <v>195</v>
      </c>
      <c r="U128" s="20" t="s">
        <v>4037</v>
      </c>
      <c r="V128" s="21"/>
      <c r="W128" s="21">
        <v>46299</v>
      </c>
      <c r="X128" s="20" t="s">
        <v>3836</v>
      </c>
      <c r="Y128" s="21">
        <v>46300</v>
      </c>
      <c r="Z128" s="20" t="s">
        <v>4032</v>
      </c>
    </row>
    <row r="129" spans="1:26" x14ac:dyDescent="0.25">
      <c r="A129" s="9">
        <f t="shared" si="1"/>
        <v>122</v>
      </c>
      <c r="B129" s="19" t="s">
        <v>4027</v>
      </c>
      <c r="C129" s="20" t="s">
        <v>3829</v>
      </c>
      <c r="D129" s="20" t="s">
        <v>4195</v>
      </c>
      <c r="E129" s="20" t="s">
        <v>26</v>
      </c>
      <c r="F129" s="20" t="s">
        <v>4193</v>
      </c>
      <c r="G129" s="20" t="s">
        <v>25</v>
      </c>
      <c r="H129" s="20" t="s">
        <v>26</v>
      </c>
      <c r="I129" s="21">
        <v>46299</v>
      </c>
      <c r="J129" s="20" t="s">
        <v>36</v>
      </c>
      <c r="K129" s="20" t="s">
        <v>58</v>
      </c>
      <c r="L129" s="20" t="s">
        <v>4194</v>
      </c>
      <c r="M129" s="20" t="s">
        <v>259</v>
      </c>
      <c r="N129" s="22" t="s">
        <v>250</v>
      </c>
      <c r="O129" s="20" t="s">
        <v>3847</v>
      </c>
      <c r="P129" s="20" t="s">
        <v>26</v>
      </c>
      <c r="Q129" s="20" t="s">
        <v>26</v>
      </c>
      <c r="R129" s="20" t="s">
        <v>26</v>
      </c>
      <c r="S129" s="20" t="s">
        <v>32</v>
      </c>
      <c r="T129" s="20" t="s">
        <v>195</v>
      </c>
      <c r="U129" s="20" t="s">
        <v>4037</v>
      </c>
      <c r="V129" s="21"/>
      <c r="W129" s="21">
        <v>46299</v>
      </c>
      <c r="X129" s="20" t="s">
        <v>3836</v>
      </c>
      <c r="Y129" s="21">
        <v>46300</v>
      </c>
      <c r="Z129" s="20" t="s">
        <v>4032</v>
      </c>
    </row>
    <row r="130" spans="1:26" x14ac:dyDescent="0.25">
      <c r="A130" s="9">
        <f t="shared" si="1"/>
        <v>123</v>
      </c>
      <c r="B130" s="19" t="s">
        <v>4027</v>
      </c>
      <c r="C130" s="20" t="s">
        <v>3829</v>
      </c>
      <c r="D130" s="20" t="s">
        <v>4196</v>
      </c>
      <c r="E130" s="20" t="s">
        <v>26</v>
      </c>
      <c r="F130" s="20" t="s">
        <v>4193</v>
      </c>
      <c r="G130" s="20" t="s">
        <v>25</v>
      </c>
      <c r="H130" s="20" t="s">
        <v>26</v>
      </c>
      <c r="I130" s="21">
        <v>46299</v>
      </c>
      <c r="J130" s="20" t="s">
        <v>36</v>
      </c>
      <c r="K130" s="20" t="s">
        <v>59</v>
      </c>
      <c r="L130" s="20" t="s">
        <v>4194</v>
      </c>
      <c r="M130" s="20" t="s">
        <v>259</v>
      </c>
      <c r="N130" s="22" t="s">
        <v>250</v>
      </c>
      <c r="O130" s="20" t="s">
        <v>3847</v>
      </c>
      <c r="P130" s="20" t="s">
        <v>26</v>
      </c>
      <c r="Q130" s="20" t="s">
        <v>26</v>
      </c>
      <c r="R130" s="20" t="s">
        <v>26</v>
      </c>
      <c r="S130" s="20" t="s">
        <v>32</v>
      </c>
      <c r="T130" s="20" t="s">
        <v>195</v>
      </c>
      <c r="U130" s="20" t="s">
        <v>4037</v>
      </c>
      <c r="V130" s="21"/>
      <c r="W130" s="21">
        <v>46299</v>
      </c>
      <c r="X130" s="20" t="s">
        <v>3836</v>
      </c>
      <c r="Y130" s="21">
        <v>46300</v>
      </c>
      <c r="Z130" s="20" t="s">
        <v>4032</v>
      </c>
    </row>
    <row r="131" spans="1:26" x14ac:dyDescent="0.25">
      <c r="A131" s="9">
        <f t="shared" si="1"/>
        <v>124</v>
      </c>
      <c r="B131" s="19" t="s">
        <v>4027</v>
      </c>
      <c r="C131" s="20" t="s">
        <v>3829</v>
      </c>
      <c r="D131" s="20" t="s">
        <v>4197</v>
      </c>
      <c r="E131" s="20" t="s">
        <v>26</v>
      </c>
      <c r="F131" s="20" t="s">
        <v>4193</v>
      </c>
      <c r="G131" s="20" t="s">
        <v>25</v>
      </c>
      <c r="H131" s="20" t="s">
        <v>26</v>
      </c>
      <c r="I131" s="21">
        <v>46299</v>
      </c>
      <c r="J131" s="20" t="s">
        <v>36</v>
      </c>
      <c r="K131" s="20" t="s">
        <v>684</v>
      </c>
      <c r="L131" s="20" t="s">
        <v>4194</v>
      </c>
      <c r="M131" s="20" t="s">
        <v>259</v>
      </c>
      <c r="N131" s="22" t="s">
        <v>250</v>
      </c>
      <c r="O131" s="20" t="s">
        <v>3847</v>
      </c>
      <c r="P131" s="20" t="s">
        <v>26</v>
      </c>
      <c r="Q131" s="20" t="s">
        <v>26</v>
      </c>
      <c r="R131" s="20" t="s">
        <v>26</v>
      </c>
      <c r="S131" s="20" t="s">
        <v>32</v>
      </c>
      <c r="T131" s="20" t="s">
        <v>195</v>
      </c>
      <c r="U131" s="20" t="s">
        <v>4037</v>
      </c>
      <c r="V131" s="21"/>
      <c r="W131" s="21">
        <v>46299</v>
      </c>
      <c r="X131" s="20" t="s">
        <v>3836</v>
      </c>
      <c r="Y131" s="21">
        <v>46300</v>
      </c>
      <c r="Z131" s="20" t="s">
        <v>4032</v>
      </c>
    </row>
    <row r="132" spans="1:26" x14ac:dyDescent="0.25">
      <c r="A132" s="9">
        <f t="shared" si="1"/>
        <v>125</v>
      </c>
      <c r="B132" s="19" t="s">
        <v>4027</v>
      </c>
      <c r="C132" s="20" t="s">
        <v>3829</v>
      </c>
      <c r="D132" s="20" t="s">
        <v>4198</v>
      </c>
      <c r="E132" s="20" t="s">
        <v>26</v>
      </c>
      <c r="F132" s="20" t="s">
        <v>4199</v>
      </c>
      <c r="G132" s="20" t="s">
        <v>25</v>
      </c>
      <c r="H132" s="20" t="s">
        <v>26</v>
      </c>
      <c r="I132" s="21">
        <v>46299</v>
      </c>
      <c r="J132" s="20" t="s">
        <v>36</v>
      </c>
      <c r="K132" s="20" t="s">
        <v>28</v>
      </c>
      <c r="L132" s="20" t="s">
        <v>4200</v>
      </c>
      <c r="M132" s="20" t="s">
        <v>259</v>
      </c>
      <c r="N132" s="22" t="s">
        <v>250</v>
      </c>
      <c r="O132" s="20" t="s">
        <v>3847</v>
      </c>
      <c r="P132" s="20" t="s">
        <v>613</v>
      </c>
      <c r="Q132" s="20" t="s">
        <v>614</v>
      </c>
      <c r="R132" s="20" t="s">
        <v>285</v>
      </c>
      <c r="S132" s="20" t="s">
        <v>32</v>
      </c>
      <c r="T132" s="20" t="s">
        <v>195</v>
      </c>
      <c r="U132" s="20" t="s">
        <v>4201</v>
      </c>
      <c r="V132" s="21"/>
      <c r="W132" s="21">
        <v>46299</v>
      </c>
      <c r="X132" s="20" t="s">
        <v>3836</v>
      </c>
      <c r="Y132" s="21">
        <v>46300</v>
      </c>
      <c r="Z132" s="20" t="s">
        <v>4032</v>
      </c>
    </row>
    <row r="133" spans="1:26" x14ac:dyDescent="0.25">
      <c r="A133" s="9">
        <f t="shared" si="1"/>
        <v>126</v>
      </c>
      <c r="B133" s="19" t="s">
        <v>4027</v>
      </c>
      <c r="C133" s="20" t="s">
        <v>3829</v>
      </c>
      <c r="D133" s="20" t="s">
        <v>4202</v>
      </c>
      <c r="E133" s="20" t="s">
        <v>26</v>
      </c>
      <c r="F133" s="20" t="s">
        <v>4199</v>
      </c>
      <c r="G133" s="20" t="s">
        <v>25</v>
      </c>
      <c r="H133" s="20" t="s">
        <v>26</v>
      </c>
      <c r="I133" s="21">
        <v>46299</v>
      </c>
      <c r="J133" s="20" t="s">
        <v>36</v>
      </c>
      <c r="K133" s="20" t="s">
        <v>58</v>
      </c>
      <c r="L133" s="20" t="s">
        <v>4200</v>
      </c>
      <c r="M133" s="20" t="s">
        <v>259</v>
      </c>
      <c r="N133" s="22" t="s">
        <v>250</v>
      </c>
      <c r="O133" s="20" t="s">
        <v>3847</v>
      </c>
      <c r="P133" s="20" t="s">
        <v>613</v>
      </c>
      <c r="Q133" s="20" t="s">
        <v>614</v>
      </c>
      <c r="R133" s="20" t="s">
        <v>285</v>
      </c>
      <c r="S133" s="20" t="s">
        <v>32</v>
      </c>
      <c r="T133" s="20" t="s">
        <v>195</v>
      </c>
      <c r="U133" s="20" t="s">
        <v>4201</v>
      </c>
      <c r="V133" s="21"/>
      <c r="W133" s="21">
        <v>46299</v>
      </c>
      <c r="X133" s="20" t="s">
        <v>3836</v>
      </c>
      <c r="Y133" s="21">
        <v>46300</v>
      </c>
      <c r="Z133" s="20" t="s">
        <v>4032</v>
      </c>
    </row>
    <row r="134" spans="1:26" x14ac:dyDescent="0.25">
      <c r="A134" s="9">
        <f t="shared" si="1"/>
        <v>127</v>
      </c>
      <c r="B134" s="19" t="s">
        <v>4027</v>
      </c>
      <c r="C134" s="20" t="s">
        <v>3829</v>
      </c>
      <c r="D134" s="20" t="s">
        <v>4203</v>
      </c>
      <c r="E134" s="20" t="s">
        <v>26</v>
      </c>
      <c r="F134" s="20" t="s">
        <v>4204</v>
      </c>
      <c r="G134" s="20" t="s">
        <v>25</v>
      </c>
      <c r="H134" s="20" t="s">
        <v>26</v>
      </c>
      <c r="I134" s="21">
        <v>46299</v>
      </c>
      <c r="J134" s="20" t="s">
        <v>36</v>
      </c>
      <c r="K134" s="20" t="s">
        <v>28</v>
      </c>
      <c r="L134" s="20" t="s">
        <v>4205</v>
      </c>
      <c r="M134" s="20" t="s">
        <v>259</v>
      </c>
      <c r="N134" s="22" t="s">
        <v>250</v>
      </c>
      <c r="O134" s="20" t="s">
        <v>3847</v>
      </c>
      <c r="P134" s="20" t="s">
        <v>613</v>
      </c>
      <c r="Q134" s="20" t="s">
        <v>614</v>
      </c>
      <c r="R134" s="20" t="s">
        <v>285</v>
      </c>
      <c r="S134" s="20" t="s">
        <v>32</v>
      </c>
      <c r="T134" s="20" t="s">
        <v>195</v>
      </c>
      <c r="U134" s="20" t="s">
        <v>4206</v>
      </c>
      <c r="V134" s="21"/>
      <c r="W134" s="21">
        <v>46299</v>
      </c>
      <c r="X134" s="20" t="s">
        <v>3836</v>
      </c>
      <c r="Y134" s="21">
        <v>46300</v>
      </c>
      <c r="Z134" s="20" t="s">
        <v>4032</v>
      </c>
    </row>
    <row r="135" spans="1:26" x14ac:dyDescent="0.25">
      <c r="A135" s="9">
        <f t="shared" si="1"/>
        <v>128</v>
      </c>
      <c r="B135" s="19" t="s">
        <v>4027</v>
      </c>
      <c r="C135" s="20" t="s">
        <v>3829</v>
      </c>
      <c r="D135" s="20" t="s">
        <v>4207</v>
      </c>
      <c r="E135" s="20" t="s">
        <v>26</v>
      </c>
      <c r="F135" s="20" t="s">
        <v>4204</v>
      </c>
      <c r="G135" s="20" t="s">
        <v>25</v>
      </c>
      <c r="H135" s="20" t="s">
        <v>26</v>
      </c>
      <c r="I135" s="21">
        <v>46299</v>
      </c>
      <c r="J135" s="20" t="s">
        <v>36</v>
      </c>
      <c r="K135" s="20" t="s">
        <v>58</v>
      </c>
      <c r="L135" s="20" t="s">
        <v>4205</v>
      </c>
      <c r="M135" s="20" t="s">
        <v>259</v>
      </c>
      <c r="N135" s="22" t="s">
        <v>250</v>
      </c>
      <c r="O135" s="20" t="s">
        <v>3847</v>
      </c>
      <c r="P135" s="20" t="s">
        <v>613</v>
      </c>
      <c r="Q135" s="20" t="s">
        <v>614</v>
      </c>
      <c r="R135" s="20" t="s">
        <v>285</v>
      </c>
      <c r="S135" s="20" t="s">
        <v>32</v>
      </c>
      <c r="T135" s="20" t="s">
        <v>195</v>
      </c>
      <c r="U135" s="20" t="s">
        <v>4206</v>
      </c>
      <c r="V135" s="21"/>
      <c r="W135" s="21">
        <v>46299</v>
      </c>
      <c r="X135" s="20" t="s">
        <v>3836</v>
      </c>
      <c r="Y135" s="21">
        <v>46300</v>
      </c>
      <c r="Z135" s="20" t="s">
        <v>4032</v>
      </c>
    </row>
    <row r="136" spans="1:26" x14ac:dyDescent="0.25">
      <c r="A136" s="9">
        <f t="shared" si="1"/>
        <v>129</v>
      </c>
      <c r="B136" s="19" t="s">
        <v>4027</v>
      </c>
      <c r="C136" s="20" t="s">
        <v>3829</v>
      </c>
      <c r="D136" s="20" t="s">
        <v>4208</v>
      </c>
      <c r="E136" s="20" t="s">
        <v>26</v>
      </c>
      <c r="F136" s="20" t="s">
        <v>4209</v>
      </c>
      <c r="G136" s="20" t="s">
        <v>25</v>
      </c>
      <c r="H136" s="20" t="s">
        <v>26</v>
      </c>
      <c r="I136" s="21">
        <v>46299</v>
      </c>
      <c r="J136" s="20" t="s">
        <v>36</v>
      </c>
      <c r="K136" s="20" t="s">
        <v>28</v>
      </c>
      <c r="L136" s="20" t="s">
        <v>4210</v>
      </c>
      <c r="M136" s="20" t="s">
        <v>259</v>
      </c>
      <c r="N136" s="22" t="s">
        <v>250</v>
      </c>
      <c r="O136" s="20" t="s">
        <v>3847</v>
      </c>
      <c r="P136" s="20" t="s">
        <v>613</v>
      </c>
      <c r="Q136" s="20" t="s">
        <v>614</v>
      </c>
      <c r="R136" s="20" t="s">
        <v>285</v>
      </c>
      <c r="S136" s="20" t="s">
        <v>32</v>
      </c>
      <c r="T136" s="20" t="s">
        <v>195</v>
      </c>
      <c r="U136" s="20" t="s">
        <v>4037</v>
      </c>
      <c r="V136" s="21"/>
      <c r="W136" s="21">
        <v>46299</v>
      </c>
      <c r="X136" s="20" t="s">
        <v>3836</v>
      </c>
      <c r="Y136" s="21">
        <v>46300</v>
      </c>
      <c r="Z136" s="20" t="s">
        <v>4032</v>
      </c>
    </row>
    <row r="137" spans="1:26" x14ac:dyDescent="0.25">
      <c r="A137" s="9">
        <f t="shared" si="1"/>
        <v>130</v>
      </c>
      <c r="B137" s="19" t="s">
        <v>4027</v>
      </c>
      <c r="C137" s="20" t="s">
        <v>3829</v>
      </c>
      <c r="D137" s="20" t="s">
        <v>4211</v>
      </c>
      <c r="E137" s="20" t="s">
        <v>26</v>
      </c>
      <c r="F137" s="20" t="s">
        <v>4209</v>
      </c>
      <c r="G137" s="20" t="s">
        <v>25</v>
      </c>
      <c r="H137" s="20" t="s">
        <v>26</v>
      </c>
      <c r="I137" s="21">
        <v>46299</v>
      </c>
      <c r="J137" s="20" t="s">
        <v>36</v>
      </c>
      <c r="K137" s="20" t="s">
        <v>58</v>
      </c>
      <c r="L137" s="20" t="s">
        <v>4210</v>
      </c>
      <c r="M137" s="20" t="s">
        <v>259</v>
      </c>
      <c r="N137" s="22" t="s">
        <v>250</v>
      </c>
      <c r="O137" s="20" t="s">
        <v>3847</v>
      </c>
      <c r="P137" s="20" t="s">
        <v>613</v>
      </c>
      <c r="Q137" s="20" t="s">
        <v>614</v>
      </c>
      <c r="R137" s="20" t="s">
        <v>285</v>
      </c>
      <c r="S137" s="20" t="s">
        <v>32</v>
      </c>
      <c r="T137" s="20" t="s">
        <v>195</v>
      </c>
      <c r="U137" s="20" t="s">
        <v>4037</v>
      </c>
      <c r="V137" s="21"/>
      <c r="W137" s="21">
        <v>46299</v>
      </c>
      <c r="X137" s="20" t="s">
        <v>3836</v>
      </c>
      <c r="Y137" s="21">
        <v>46300</v>
      </c>
      <c r="Z137" s="20" t="s">
        <v>4032</v>
      </c>
    </row>
    <row r="138" spans="1:26" x14ac:dyDescent="0.25">
      <c r="A138" s="9">
        <f t="shared" ref="A138:A201" si="2">A137+1</f>
        <v>131</v>
      </c>
      <c r="B138" s="19" t="s">
        <v>4027</v>
      </c>
      <c r="C138" s="20" t="s">
        <v>3829</v>
      </c>
      <c r="D138" s="20" t="s">
        <v>4212</v>
      </c>
      <c r="E138" s="20" t="s">
        <v>26</v>
      </c>
      <c r="F138" s="20" t="s">
        <v>4209</v>
      </c>
      <c r="G138" s="20" t="s">
        <v>25</v>
      </c>
      <c r="H138" s="20" t="s">
        <v>26</v>
      </c>
      <c r="I138" s="21">
        <v>46299</v>
      </c>
      <c r="J138" s="20" t="s">
        <v>36</v>
      </c>
      <c r="K138" s="20" t="s">
        <v>59</v>
      </c>
      <c r="L138" s="20" t="s">
        <v>4210</v>
      </c>
      <c r="M138" s="20" t="s">
        <v>259</v>
      </c>
      <c r="N138" s="22" t="s">
        <v>250</v>
      </c>
      <c r="O138" s="20" t="s">
        <v>3847</v>
      </c>
      <c r="P138" s="20" t="s">
        <v>613</v>
      </c>
      <c r="Q138" s="20" t="s">
        <v>614</v>
      </c>
      <c r="R138" s="20" t="s">
        <v>285</v>
      </c>
      <c r="S138" s="20" t="s">
        <v>32</v>
      </c>
      <c r="T138" s="20" t="s">
        <v>195</v>
      </c>
      <c r="U138" s="20" t="s">
        <v>4037</v>
      </c>
      <c r="V138" s="21"/>
      <c r="W138" s="21">
        <v>46299</v>
      </c>
      <c r="X138" s="20" t="s">
        <v>3836</v>
      </c>
      <c r="Y138" s="21">
        <v>46300</v>
      </c>
      <c r="Z138" s="20" t="s">
        <v>4032</v>
      </c>
    </row>
    <row r="139" spans="1:26" x14ac:dyDescent="0.25">
      <c r="A139" s="9">
        <f t="shared" si="2"/>
        <v>132</v>
      </c>
      <c r="B139" s="19" t="s">
        <v>4027</v>
      </c>
      <c r="C139" s="20" t="s">
        <v>3829</v>
      </c>
      <c r="D139" s="20" t="s">
        <v>4213</v>
      </c>
      <c r="E139" s="20" t="s">
        <v>26</v>
      </c>
      <c r="F139" s="20" t="s">
        <v>4209</v>
      </c>
      <c r="G139" s="20" t="s">
        <v>25</v>
      </c>
      <c r="H139" s="20" t="s">
        <v>26</v>
      </c>
      <c r="I139" s="21">
        <v>46299</v>
      </c>
      <c r="J139" s="20" t="s">
        <v>36</v>
      </c>
      <c r="K139" s="20" t="s">
        <v>684</v>
      </c>
      <c r="L139" s="20" t="s">
        <v>4210</v>
      </c>
      <c r="M139" s="20" t="s">
        <v>259</v>
      </c>
      <c r="N139" s="22" t="s">
        <v>250</v>
      </c>
      <c r="O139" s="20" t="s">
        <v>3847</v>
      </c>
      <c r="P139" s="20" t="s">
        <v>613</v>
      </c>
      <c r="Q139" s="20" t="s">
        <v>614</v>
      </c>
      <c r="R139" s="20" t="s">
        <v>285</v>
      </c>
      <c r="S139" s="20" t="s">
        <v>32</v>
      </c>
      <c r="T139" s="20" t="s">
        <v>195</v>
      </c>
      <c r="U139" s="20" t="s">
        <v>4037</v>
      </c>
      <c r="V139" s="21"/>
      <c r="W139" s="21">
        <v>46299</v>
      </c>
      <c r="X139" s="20" t="s">
        <v>3836</v>
      </c>
      <c r="Y139" s="21">
        <v>46300</v>
      </c>
      <c r="Z139" s="20" t="s">
        <v>4032</v>
      </c>
    </row>
    <row r="140" spans="1:26" x14ac:dyDescent="0.25">
      <c r="A140" s="9">
        <f t="shared" si="2"/>
        <v>133</v>
      </c>
      <c r="B140" s="19" t="s">
        <v>4027</v>
      </c>
      <c r="C140" s="20" t="s">
        <v>3829</v>
      </c>
      <c r="D140" s="20" t="s">
        <v>4214</v>
      </c>
      <c r="E140" s="20" t="s">
        <v>26</v>
      </c>
      <c r="F140" s="20" t="s">
        <v>4209</v>
      </c>
      <c r="G140" s="20" t="s">
        <v>25</v>
      </c>
      <c r="H140" s="20" t="s">
        <v>26</v>
      </c>
      <c r="I140" s="21">
        <v>46299</v>
      </c>
      <c r="J140" s="20" t="s">
        <v>36</v>
      </c>
      <c r="K140" s="20" t="s">
        <v>557</v>
      </c>
      <c r="L140" s="20" t="s">
        <v>4210</v>
      </c>
      <c r="M140" s="20" t="s">
        <v>259</v>
      </c>
      <c r="N140" s="22" t="s">
        <v>250</v>
      </c>
      <c r="O140" s="20" t="s">
        <v>3847</v>
      </c>
      <c r="P140" s="20" t="s">
        <v>613</v>
      </c>
      <c r="Q140" s="20" t="s">
        <v>614</v>
      </c>
      <c r="R140" s="20" t="s">
        <v>285</v>
      </c>
      <c r="S140" s="20" t="s">
        <v>32</v>
      </c>
      <c r="T140" s="20" t="s">
        <v>195</v>
      </c>
      <c r="U140" s="20" t="s">
        <v>4037</v>
      </c>
      <c r="V140" s="21"/>
      <c r="W140" s="21">
        <v>46299</v>
      </c>
      <c r="X140" s="20" t="s">
        <v>3836</v>
      </c>
      <c r="Y140" s="21">
        <v>46300</v>
      </c>
      <c r="Z140" s="20" t="s">
        <v>4032</v>
      </c>
    </row>
    <row r="141" spans="1:26" x14ac:dyDescent="0.25">
      <c r="A141" s="9">
        <f t="shared" si="2"/>
        <v>134</v>
      </c>
      <c r="B141" s="19" t="s">
        <v>4027</v>
      </c>
      <c r="C141" s="20" t="s">
        <v>3829</v>
      </c>
      <c r="D141" s="20" t="s">
        <v>4215</v>
      </c>
      <c r="E141" s="20" t="s">
        <v>26</v>
      </c>
      <c r="F141" s="20" t="s">
        <v>4209</v>
      </c>
      <c r="G141" s="20" t="s">
        <v>25</v>
      </c>
      <c r="H141" s="20" t="s">
        <v>26</v>
      </c>
      <c r="I141" s="21">
        <v>46299</v>
      </c>
      <c r="J141" s="20" t="s">
        <v>36</v>
      </c>
      <c r="K141" s="20" t="s">
        <v>1141</v>
      </c>
      <c r="L141" s="20" t="s">
        <v>4210</v>
      </c>
      <c r="M141" s="20" t="s">
        <v>259</v>
      </c>
      <c r="N141" s="22" t="s">
        <v>250</v>
      </c>
      <c r="O141" s="20" t="s">
        <v>3847</v>
      </c>
      <c r="P141" s="20" t="s">
        <v>613</v>
      </c>
      <c r="Q141" s="20" t="s">
        <v>614</v>
      </c>
      <c r="R141" s="20" t="s">
        <v>285</v>
      </c>
      <c r="S141" s="20" t="s">
        <v>32</v>
      </c>
      <c r="T141" s="20" t="s">
        <v>195</v>
      </c>
      <c r="U141" s="20" t="s">
        <v>4037</v>
      </c>
      <c r="V141" s="21"/>
      <c r="W141" s="21">
        <v>46299</v>
      </c>
      <c r="X141" s="20" t="s">
        <v>3836</v>
      </c>
      <c r="Y141" s="21">
        <v>46300</v>
      </c>
      <c r="Z141" s="20" t="s">
        <v>4032</v>
      </c>
    </row>
    <row r="142" spans="1:26" x14ac:dyDescent="0.25">
      <c r="A142" s="9">
        <f t="shared" si="2"/>
        <v>135</v>
      </c>
      <c r="B142" s="19" t="s">
        <v>4027</v>
      </c>
      <c r="C142" s="20" t="s">
        <v>3829</v>
      </c>
      <c r="D142" s="20" t="s">
        <v>4216</v>
      </c>
      <c r="E142" s="20" t="s">
        <v>26</v>
      </c>
      <c r="F142" s="20" t="s">
        <v>4209</v>
      </c>
      <c r="G142" s="20" t="s">
        <v>25</v>
      </c>
      <c r="H142" s="20" t="s">
        <v>26</v>
      </c>
      <c r="I142" s="21">
        <v>46299</v>
      </c>
      <c r="J142" s="20" t="s">
        <v>36</v>
      </c>
      <c r="K142" s="20" t="s">
        <v>1143</v>
      </c>
      <c r="L142" s="20" t="s">
        <v>4210</v>
      </c>
      <c r="M142" s="20" t="s">
        <v>259</v>
      </c>
      <c r="N142" s="22" t="s">
        <v>250</v>
      </c>
      <c r="O142" s="20" t="s">
        <v>3847</v>
      </c>
      <c r="P142" s="20" t="s">
        <v>613</v>
      </c>
      <c r="Q142" s="20" t="s">
        <v>614</v>
      </c>
      <c r="R142" s="20" t="s">
        <v>285</v>
      </c>
      <c r="S142" s="20" t="s">
        <v>32</v>
      </c>
      <c r="T142" s="20" t="s">
        <v>195</v>
      </c>
      <c r="U142" s="20" t="s">
        <v>4037</v>
      </c>
      <c r="V142" s="21"/>
      <c r="W142" s="21">
        <v>46299</v>
      </c>
      <c r="X142" s="20" t="s">
        <v>3836</v>
      </c>
      <c r="Y142" s="21">
        <v>46300</v>
      </c>
      <c r="Z142" s="20" t="s">
        <v>4032</v>
      </c>
    </row>
    <row r="143" spans="1:26" x14ac:dyDescent="0.25">
      <c r="A143" s="9">
        <f t="shared" si="2"/>
        <v>136</v>
      </c>
      <c r="B143" s="19" t="s">
        <v>4027</v>
      </c>
      <c r="C143" s="20" t="s">
        <v>3829</v>
      </c>
      <c r="D143" s="20" t="s">
        <v>4217</v>
      </c>
      <c r="E143" s="20" t="s">
        <v>26</v>
      </c>
      <c r="F143" s="20" t="s">
        <v>4209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1145</v>
      </c>
      <c r="L143" s="20" t="s">
        <v>4210</v>
      </c>
      <c r="M143" s="20" t="s">
        <v>259</v>
      </c>
      <c r="N143" s="22" t="s">
        <v>250</v>
      </c>
      <c r="O143" s="20" t="s">
        <v>3847</v>
      </c>
      <c r="P143" s="20" t="s">
        <v>613</v>
      </c>
      <c r="Q143" s="20" t="s">
        <v>614</v>
      </c>
      <c r="R143" s="20" t="s">
        <v>285</v>
      </c>
      <c r="S143" s="20" t="s">
        <v>32</v>
      </c>
      <c r="T143" s="20" t="s">
        <v>195</v>
      </c>
      <c r="U143" s="20" t="s">
        <v>4037</v>
      </c>
      <c r="V143" s="21"/>
      <c r="W143" s="21">
        <v>46299</v>
      </c>
      <c r="X143" s="20" t="s">
        <v>3836</v>
      </c>
      <c r="Y143" s="21">
        <v>46300</v>
      </c>
      <c r="Z143" s="20" t="s">
        <v>4032</v>
      </c>
    </row>
    <row r="144" spans="1:26" x14ac:dyDescent="0.25">
      <c r="A144" s="9">
        <f t="shared" si="2"/>
        <v>137</v>
      </c>
      <c r="B144" s="19" t="s">
        <v>4027</v>
      </c>
      <c r="C144" s="20" t="s">
        <v>3829</v>
      </c>
      <c r="D144" s="20" t="s">
        <v>4218</v>
      </c>
      <c r="E144" s="20" t="s">
        <v>26</v>
      </c>
      <c r="F144" s="20" t="s">
        <v>4209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1147</v>
      </c>
      <c r="L144" s="20" t="s">
        <v>4210</v>
      </c>
      <c r="M144" s="20" t="s">
        <v>259</v>
      </c>
      <c r="N144" s="22" t="s">
        <v>250</v>
      </c>
      <c r="O144" s="20" t="s">
        <v>3847</v>
      </c>
      <c r="P144" s="20" t="s">
        <v>613</v>
      </c>
      <c r="Q144" s="20" t="s">
        <v>614</v>
      </c>
      <c r="R144" s="20" t="s">
        <v>285</v>
      </c>
      <c r="S144" s="20" t="s">
        <v>32</v>
      </c>
      <c r="T144" s="20" t="s">
        <v>195</v>
      </c>
      <c r="U144" s="20" t="s">
        <v>4037</v>
      </c>
      <c r="V144" s="21"/>
      <c r="W144" s="21">
        <v>46299</v>
      </c>
      <c r="X144" s="20" t="s">
        <v>3836</v>
      </c>
      <c r="Y144" s="21">
        <v>46300</v>
      </c>
      <c r="Z144" s="20" t="s">
        <v>4032</v>
      </c>
    </row>
    <row r="145" spans="1:26" x14ac:dyDescent="0.25">
      <c r="A145" s="9">
        <f t="shared" si="2"/>
        <v>138</v>
      </c>
      <c r="B145" s="19" t="s">
        <v>4027</v>
      </c>
      <c r="C145" s="20" t="s">
        <v>3829</v>
      </c>
      <c r="D145" s="20" t="s">
        <v>4219</v>
      </c>
      <c r="E145" s="20" t="s">
        <v>26</v>
      </c>
      <c r="F145" s="20" t="s">
        <v>4209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1149</v>
      </c>
      <c r="L145" s="20" t="s">
        <v>4210</v>
      </c>
      <c r="M145" s="20" t="s">
        <v>259</v>
      </c>
      <c r="N145" s="22" t="s">
        <v>250</v>
      </c>
      <c r="O145" s="20" t="s">
        <v>3847</v>
      </c>
      <c r="P145" s="20" t="s">
        <v>613</v>
      </c>
      <c r="Q145" s="20" t="s">
        <v>614</v>
      </c>
      <c r="R145" s="20" t="s">
        <v>285</v>
      </c>
      <c r="S145" s="20" t="s">
        <v>32</v>
      </c>
      <c r="T145" s="20" t="s">
        <v>195</v>
      </c>
      <c r="U145" s="20" t="s">
        <v>4037</v>
      </c>
      <c r="V145" s="21"/>
      <c r="W145" s="21">
        <v>46299</v>
      </c>
      <c r="X145" s="20" t="s">
        <v>3836</v>
      </c>
      <c r="Y145" s="21">
        <v>46300</v>
      </c>
      <c r="Z145" s="20" t="s">
        <v>4032</v>
      </c>
    </row>
    <row r="146" spans="1:26" x14ac:dyDescent="0.25">
      <c r="A146" s="9">
        <f t="shared" si="2"/>
        <v>139</v>
      </c>
      <c r="B146" s="19" t="s">
        <v>4027</v>
      </c>
      <c r="C146" s="20" t="s">
        <v>3829</v>
      </c>
      <c r="D146" s="20" t="s">
        <v>4220</v>
      </c>
      <c r="E146" s="20" t="s">
        <v>26</v>
      </c>
      <c r="F146" s="20" t="s">
        <v>4221</v>
      </c>
      <c r="G146" s="20" t="s">
        <v>25</v>
      </c>
      <c r="H146" s="20" t="s">
        <v>26</v>
      </c>
      <c r="I146" s="21">
        <v>46299</v>
      </c>
      <c r="J146" s="20" t="s">
        <v>82</v>
      </c>
      <c r="K146" s="20" t="s">
        <v>28</v>
      </c>
      <c r="L146" s="20" t="s">
        <v>4222</v>
      </c>
      <c r="M146" s="20" t="s">
        <v>259</v>
      </c>
      <c r="N146" s="22" t="s">
        <v>250</v>
      </c>
      <c r="O146" s="20" t="s">
        <v>3847</v>
      </c>
      <c r="P146" s="20" t="s">
        <v>613</v>
      </c>
      <c r="Q146" s="20" t="s">
        <v>614</v>
      </c>
      <c r="R146" s="20" t="s">
        <v>88</v>
      </c>
      <c r="S146" s="20" t="s">
        <v>32</v>
      </c>
      <c r="T146" s="20" t="s">
        <v>195</v>
      </c>
      <c r="U146" s="20" t="s">
        <v>4037</v>
      </c>
      <c r="V146" s="21"/>
      <c r="W146" s="21">
        <v>46299</v>
      </c>
      <c r="X146" s="20" t="s">
        <v>3836</v>
      </c>
      <c r="Y146" s="21">
        <v>46300</v>
      </c>
      <c r="Z146" s="20" t="s">
        <v>4032</v>
      </c>
    </row>
    <row r="147" spans="1:26" x14ac:dyDescent="0.25">
      <c r="A147" s="9">
        <f t="shared" si="2"/>
        <v>140</v>
      </c>
      <c r="B147" s="19" t="s">
        <v>4027</v>
      </c>
      <c r="C147" s="20" t="s">
        <v>3829</v>
      </c>
      <c r="D147" s="20" t="s">
        <v>4223</v>
      </c>
      <c r="E147" s="20" t="s">
        <v>26</v>
      </c>
      <c r="F147" s="20" t="s">
        <v>4221</v>
      </c>
      <c r="G147" s="20" t="s">
        <v>25</v>
      </c>
      <c r="H147" s="20" t="s">
        <v>26</v>
      </c>
      <c r="I147" s="21">
        <v>46299</v>
      </c>
      <c r="J147" s="20" t="s">
        <v>82</v>
      </c>
      <c r="K147" s="20" t="s">
        <v>58</v>
      </c>
      <c r="L147" s="20" t="s">
        <v>4222</v>
      </c>
      <c r="M147" s="20" t="s">
        <v>259</v>
      </c>
      <c r="N147" s="22" t="s">
        <v>250</v>
      </c>
      <c r="O147" s="20" t="s">
        <v>3847</v>
      </c>
      <c r="P147" s="20" t="s">
        <v>613</v>
      </c>
      <c r="Q147" s="20" t="s">
        <v>614</v>
      </c>
      <c r="R147" s="20" t="s">
        <v>88</v>
      </c>
      <c r="S147" s="20" t="s">
        <v>32</v>
      </c>
      <c r="T147" s="20" t="s">
        <v>195</v>
      </c>
      <c r="U147" s="20" t="s">
        <v>4037</v>
      </c>
      <c r="V147" s="21"/>
      <c r="W147" s="21">
        <v>46299</v>
      </c>
      <c r="X147" s="20" t="s">
        <v>3836</v>
      </c>
      <c r="Y147" s="21">
        <v>46300</v>
      </c>
      <c r="Z147" s="20" t="s">
        <v>4032</v>
      </c>
    </row>
    <row r="148" spans="1:26" x14ac:dyDescent="0.25">
      <c r="A148" s="9">
        <f t="shared" si="2"/>
        <v>141</v>
      </c>
      <c r="B148" s="19" t="s">
        <v>4027</v>
      </c>
      <c r="C148" s="20" t="s">
        <v>3829</v>
      </c>
      <c r="D148" s="20" t="s">
        <v>4224</v>
      </c>
      <c r="E148" s="20" t="s">
        <v>26</v>
      </c>
      <c r="F148" s="20" t="s">
        <v>4221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59</v>
      </c>
      <c r="L148" s="20" t="s">
        <v>4222</v>
      </c>
      <c r="M148" s="20" t="s">
        <v>259</v>
      </c>
      <c r="N148" s="22" t="s">
        <v>250</v>
      </c>
      <c r="O148" s="20" t="s">
        <v>3847</v>
      </c>
      <c r="P148" s="20" t="s">
        <v>613</v>
      </c>
      <c r="Q148" s="20" t="s">
        <v>614</v>
      </c>
      <c r="R148" s="20" t="s">
        <v>88</v>
      </c>
      <c r="S148" s="20" t="s">
        <v>32</v>
      </c>
      <c r="T148" s="20" t="s">
        <v>195</v>
      </c>
      <c r="U148" s="20" t="s">
        <v>4037</v>
      </c>
      <c r="V148" s="21"/>
      <c r="W148" s="21">
        <v>46299</v>
      </c>
      <c r="X148" s="20" t="s">
        <v>3836</v>
      </c>
      <c r="Y148" s="21">
        <v>46300</v>
      </c>
      <c r="Z148" s="20" t="s">
        <v>4032</v>
      </c>
    </row>
    <row r="149" spans="1:26" x14ac:dyDescent="0.25">
      <c r="A149" s="9">
        <f t="shared" si="2"/>
        <v>142</v>
      </c>
      <c r="B149" s="19" t="s">
        <v>4027</v>
      </c>
      <c r="C149" s="20" t="s">
        <v>3829</v>
      </c>
      <c r="D149" s="20" t="s">
        <v>4225</v>
      </c>
      <c r="E149" s="20" t="s">
        <v>26</v>
      </c>
      <c r="F149" s="20" t="s">
        <v>4221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684</v>
      </c>
      <c r="L149" s="20" t="s">
        <v>4222</v>
      </c>
      <c r="M149" s="20" t="s">
        <v>259</v>
      </c>
      <c r="N149" s="22" t="s">
        <v>250</v>
      </c>
      <c r="O149" s="20" t="s">
        <v>3847</v>
      </c>
      <c r="P149" s="20" t="s">
        <v>613</v>
      </c>
      <c r="Q149" s="20" t="s">
        <v>614</v>
      </c>
      <c r="R149" s="20" t="s">
        <v>88</v>
      </c>
      <c r="S149" s="20" t="s">
        <v>32</v>
      </c>
      <c r="T149" s="20" t="s">
        <v>195</v>
      </c>
      <c r="U149" s="20" t="s">
        <v>4037</v>
      </c>
      <c r="V149" s="21"/>
      <c r="W149" s="21">
        <v>46299</v>
      </c>
      <c r="X149" s="20" t="s">
        <v>3836</v>
      </c>
      <c r="Y149" s="21">
        <v>46300</v>
      </c>
      <c r="Z149" s="20" t="s">
        <v>4032</v>
      </c>
    </row>
    <row r="150" spans="1:26" x14ac:dyDescent="0.25">
      <c r="A150" s="9">
        <f t="shared" si="2"/>
        <v>143</v>
      </c>
      <c r="B150" s="19" t="s">
        <v>4027</v>
      </c>
      <c r="C150" s="20" t="s">
        <v>3829</v>
      </c>
      <c r="D150" s="20" t="s">
        <v>4226</v>
      </c>
      <c r="E150" s="20" t="s">
        <v>26</v>
      </c>
      <c r="F150" s="20" t="s">
        <v>4221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557</v>
      </c>
      <c r="L150" s="20" t="s">
        <v>4222</v>
      </c>
      <c r="M150" s="20" t="s">
        <v>259</v>
      </c>
      <c r="N150" s="22" t="s">
        <v>250</v>
      </c>
      <c r="O150" s="20" t="s">
        <v>3847</v>
      </c>
      <c r="P150" s="20" t="s">
        <v>613</v>
      </c>
      <c r="Q150" s="20" t="s">
        <v>614</v>
      </c>
      <c r="R150" s="20" t="s">
        <v>88</v>
      </c>
      <c r="S150" s="20" t="s">
        <v>32</v>
      </c>
      <c r="T150" s="20" t="s">
        <v>195</v>
      </c>
      <c r="U150" s="20" t="s">
        <v>4037</v>
      </c>
      <c r="V150" s="21"/>
      <c r="W150" s="21">
        <v>46299</v>
      </c>
      <c r="X150" s="20" t="s">
        <v>3836</v>
      </c>
      <c r="Y150" s="21">
        <v>46300</v>
      </c>
      <c r="Z150" s="20" t="s">
        <v>4032</v>
      </c>
    </row>
    <row r="151" spans="1:26" x14ac:dyDescent="0.25">
      <c r="A151" s="9">
        <f t="shared" si="2"/>
        <v>144</v>
      </c>
      <c r="B151" s="19" t="s">
        <v>4027</v>
      </c>
      <c r="C151" s="20" t="s">
        <v>3829</v>
      </c>
      <c r="D151" s="20" t="s">
        <v>4227</v>
      </c>
      <c r="E151" s="20" t="s">
        <v>26</v>
      </c>
      <c r="F151" s="20" t="s">
        <v>4221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1141</v>
      </c>
      <c r="L151" s="20" t="s">
        <v>4222</v>
      </c>
      <c r="M151" s="20" t="s">
        <v>259</v>
      </c>
      <c r="N151" s="22" t="s">
        <v>250</v>
      </c>
      <c r="O151" s="20" t="s">
        <v>3847</v>
      </c>
      <c r="P151" s="20" t="s">
        <v>613</v>
      </c>
      <c r="Q151" s="20" t="s">
        <v>614</v>
      </c>
      <c r="R151" s="20" t="s">
        <v>88</v>
      </c>
      <c r="S151" s="20" t="s">
        <v>32</v>
      </c>
      <c r="T151" s="20" t="s">
        <v>195</v>
      </c>
      <c r="U151" s="20" t="s">
        <v>4037</v>
      </c>
      <c r="V151" s="21"/>
      <c r="W151" s="21">
        <v>46299</v>
      </c>
      <c r="X151" s="20" t="s">
        <v>3836</v>
      </c>
      <c r="Y151" s="21">
        <v>46300</v>
      </c>
      <c r="Z151" s="20" t="s">
        <v>4032</v>
      </c>
    </row>
    <row r="152" spans="1:26" x14ac:dyDescent="0.25">
      <c r="A152" s="9">
        <f t="shared" si="2"/>
        <v>145</v>
      </c>
      <c r="B152" s="19" t="s">
        <v>4027</v>
      </c>
      <c r="C152" s="20" t="s">
        <v>3829</v>
      </c>
      <c r="D152" s="20" t="s">
        <v>4228</v>
      </c>
      <c r="E152" s="20" t="s">
        <v>26</v>
      </c>
      <c r="F152" s="20" t="s">
        <v>4221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1143</v>
      </c>
      <c r="L152" s="20" t="s">
        <v>4222</v>
      </c>
      <c r="M152" s="20" t="s">
        <v>259</v>
      </c>
      <c r="N152" s="22" t="s">
        <v>250</v>
      </c>
      <c r="O152" s="20" t="s">
        <v>3847</v>
      </c>
      <c r="P152" s="20" t="s">
        <v>613</v>
      </c>
      <c r="Q152" s="20" t="s">
        <v>614</v>
      </c>
      <c r="R152" s="20" t="s">
        <v>88</v>
      </c>
      <c r="S152" s="20" t="s">
        <v>32</v>
      </c>
      <c r="T152" s="20" t="s">
        <v>195</v>
      </c>
      <c r="U152" s="20" t="s">
        <v>4037</v>
      </c>
      <c r="V152" s="21"/>
      <c r="W152" s="21">
        <v>46299</v>
      </c>
      <c r="X152" s="20" t="s">
        <v>3836</v>
      </c>
      <c r="Y152" s="21">
        <v>46300</v>
      </c>
      <c r="Z152" s="20" t="s">
        <v>4032</v>
      </c>
    </row>
    <row r="153" spans="1:26" x14ac:dyDescent="0.25">
      <c r="A153" s="9">
        <f t="shared" si="2"/>
        <v>146</v>
      </c>
      <c r="B153" s="19" t="s">
        <v>4027</v>
      </c>
      <c r="C153" s="20" t="s">
        <v>3829</v>
      </c>
      <c r="D153" s="20" t="s">
        <v>4229</v>
      </c>
      <c r="E153" s="20" t="s">
        <v>26</v>
      </c>
      <c r="F153" s="20" t="s">
        <v>4230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28</v>
      </c>
      <c r="L153" s="20" t="s">
        <v>4231</v>
      </c>
      <c r="M153" s="20" t="s">
        <v>259</v>
      </c>
      <c r="N153" s="22" t="s">
        <v>250</v>
      </c>
      <c r="O153" s="20" t="s">
        <v>3847</v>
      </c>
      <c r="P153" s="20" t="s">
        <v>613</v>
      </c>
      <c r="Q153" s="20" t="s">
        <v>614</v>
      </c>
      <c r="R153" s="20" t="s">
        <v>337</v>
      </c>
      <c r="S153" s="20" t="s">
        <v>32</v>
      </c>
      <c r="T153" s="20" t="s">
        <v>195</v>
      </c>
      <c r="U153" s="20" t="s">
        <v>4037</v>
      </c>
      <c r="V153" s="21"/>
      <c r="W153" s="21">
        <v>46299</v>
      </c>
      <c r="X153" s="20" t="s">
        <v>3836</v>
      </c>
      <c r="Y153" s="21">
        <v>46300</v>
      </c>
      <c r="Z153" s="20" t="s">
        <v>4032</v>
      </c>
    </row>
    <row r="154" spans="1:26" x14ac:dyDescent="0.25">
      <c r="A154" s="9">
        <f t="shared" si="2"/>
        <v>147</v>
      </c>
      <c r="B154" s="19" t="s">
        <v>4027</v>
      </c>
      <c r="C154" s="20" t="s">
        <v>3829</v>
      </c>
      <c r="D154" s="20" t="s">
        <v>4232</v>
      </c>
      <c r="E154" s="20" t="s">
        <v>26</v>
      </c>
      <c r="F154" s="20" t="s">
        <v>4230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58</v>
      </c>
      <c r="L154" s="20" t="s">
        <v>4231</v>
      </c>
      <c r="M154" s="20" t="s">
        <v>259</v>
      </c>
      <c r="N154" s="22" t="s">
        <v>250</v>
      </c>
      <c r="O154" s="20" t="s">
        <v>3847</v>
      </c>
      <c r="P154" s="20" t="s">
        <v>613</v>
      </c>
      <c r="Q154" s="20" t="s">
        <v>614</v>
      </c>
      <c r="R154" s="20" t="s">
        <v>337</v>
      </c>
      <c r="S154" s="20" t="s">
        <v>32</v>
      </c>
      <c r="T154" s="20" t="s">
        <v>195</v>
      </c>
      <c r="U154" s="20" t="s">
        <v>4037</v>
      </c>
      <c r="V154" s="21"/>
      <c r="W154" s="21">
        <v>46299</v>
      </c>
      <c r="X154" s="20" t="s">
        <v>3836</v>
      </c>
      <c r="Y154" s="21">
        <v>46300</v>
      </c>
      <c r="Z154" s="20" t="s">
        <v>4032</v>
      </c>
    </row>
    <row r="155" spans="1:26" x14ac:dyDescent="0.25">
      <c r="A155" s="9">
        <f t="shared" si="2"/>
        <v>148</v>
      </c>
      <c r="B155" s="19" t="s">
        <v>4027</v>
      </c>
      <c r="C155" s="20" t="s">
        <v>3829</v>
      </c>
      <c r="D155" s="20" t="s">
        <v>4233</v>
      </c>
      <c r="E155" s="20" t="s">
        <v>26</v>
      </c>
      <c r="F155" s="20" t="s">
        <v>4230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59</v>
      </c>
      <c r="L155" s="20" t="s">
        <v>4231</v>
      </c>
      <c r="M155" s="20" t="s">
        <v>259</v>
      </c>
      <c r="N155" s="22" t="s">
        <v>250</v>
      </c>
      <c r="O155" s="20" t="s">
        <v>3847</v>
      </c>
      <c r="P155" s="20" t="s">
        <v>613</v>
      </c>
      <c r="Q155" s="20" t="s">
        <v>614</v>
      </c>
      <c r="R155" s="20" t="s">
        <v>337</v>
      </c>
      <c r="S155" s="20" t="s">
        <v>32</v>
      </c>
      <c r="T155" s="20" t="s">
        <v>195</v>
      </c>
      <c r="U155" s="20" t="s">
        <v>4037</v>
      </c>
      <c r="V155" s="21"/>
      <c r="W155" s="21">
        <v>46299</v>
      </c>
      <c r="X155" s="20" t="s">
        <v>3836</v>
      </c>
      <c r="Y155" s="21">
        <v>46300</v>
      </c>
      <c r="Z155" s="20" t="s">
        <v>4032</v>
      </c>
    </row>
    <row r="156" spans="1:26" x14ac:dyDescent="0.25">
      <c r="A156" s="9">
        <f t="shared" si="2"/>
        <v>149</v>
      </c>
      <c r="B156" s="19" t="s">
        <v>4027</v>
      </c>
      <c r="C156" s="20" t="s">
        <v>3829</v>
      </c>
      <c r="D156" s="20" t="s">
        <v>4234</v>
      </c>
      <c r="E156" s="20" t="s">
        <v>26</v>
      </c>
      <c r="F156" s="20" t="s">
        <v>4235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28</v>
      </c>
      <c r="L156" s="20" t="s">
        <v>4236</v>
      </c>
      <c r="M156" s="20" t="s">
        <v>259</v>
      </c>
      <c r="N156" s="22" t="s">
        <v>250</v>
      </c>
      <c r="O156" s="20" t="s">
        <v>3847</v>
      </c>
      <c r="P156" s="20" t="s">
        <v>613</v>
      </c>
      <c r="Q156" s="20" t="s">
        <v>614</v>
      </c>
      <c r="R156" s="20" t="s">
        <v>337</v>
      </c>
      <c r="S156" s="20" t="s">
        <v>32</v>
      </c>
      <c r="T156" s="20" t="s">
        <v>195</v>
      </c>
      <c r="U156" s="20" t="s">
        <v>4037</v>
      </c>
      <c r="V156" s="21"/>
      <c r="W156" s="21">
        <v>46299</v>
      </c>
      <c r="X156" s="20" t="s">
        <v>3836</v>
      </c>
      <c r="Y156" s="21">
        <v>46300</v>
      </c>
      <c r="Z156" s="20" t="s">
        <v>4032</v>
      </c>
    </row>
    <row r="157" spans="1:26" x14ac:dyDescent="0.25">
      <c r="A157" s="9">
        <f t="shared" si="2"/>
        <v>150</v>
      </c>
      <c r="B157" s="19" t="s">
        <v>4027</v>
      </c>
      <c r="C157" s="20" t="s">
        <v>3829</v>
      </c>
      <c r="D157" s="20" t="s">
        <v>4237</v>
      </c>
      <c r="E157" s="20" t="s">
        <v>26</v>
      </c>
      <c r="F157" s="20" t="s">
        <v>4238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28</v>
      </c>
      <c r="L157" s="20" t="s">
        <v>4239</v>
      </c>
      <c r="M157" s="20" t="s">
        <v>259</v>
      </c>
      <c r="N157" s="22" t="s">
        <v>250</v>
      </c>
      <c r="O157" s="20" t="s">
        <v>3847</v>
      </c>
      <c r="P157" s="20" t="s">
        <v>613</v>
      </c>
      <c r="Q157" s="20" t="s">
        <v>614</v>
      </c>
      <c r="R157" s="20" t="s">
        <v>337</v>
      </c>
      <c r="S157" s="20" t="s">
        <v>32</v>
      </c>
      <c r="T157" s="20" t="s">
        <v>195</v>
      </c>
      <c r="U157" s="20" t="s">
        <v>4037</v>
      </c>
      <c r="V157" s="21"/>
      <c r="W157" s="21">
        <v>46299</v>
      </c>
      <c r="X157" s="20" t="s">
        <v>3836</v>
      </c>
      <c r="Y157" s="21">
        <v>46300</v>
      </c>
      <c r="Z157" s="20" t="s">
        <v>4032</v>
      </c>
    </row>
    <row r="158" spans="1:26" x14ac:dyDescent="0.25">
      <c r="A158" s="9">
        <f t="shared" si="2"/>
        <v>151</v>
      </c>
      <c r="B158" s="19" t="s">
        <v>4027</v>
      </c>
      <c r="C158" s="20" t="s">
        <v>3829</v>
      </c>
      <c r="D158" s="20" t="s">
        <v>4240</v>
      </c>
      <c r="E158" s="20" t="s">
        <v>26</v>
      </c>
      <c r="F158" s="20" t="s">
        <v>4238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58</v>
      </c>
      <c r="L158" s="20" t="s">
        <v>4239</v>
      </c>
      <c r="M158" s="20" t="s">
        <v>259</v>
      </c>
      <c r="N158" s="22" t="s">
        <v>250</v>
      </c>
      <c r="O158" s="20" t="s">
        <v>3847</v>
      </c>
      <c r="P158" s="20" t="s">
        <v>613</v>
      </c>
      <c r="Q158" s="20" t="s">
        <v>614</v>
      </c>
      <c r="R158" s="20" t="s">
        <v>337</v>
      </c>
      <c r="S158" s="20" t="s">
        <v>32</v>
      </c>
      <c r="T158" s="20" t="s">
        <v>195</v>
      </c>
      <c r="U158" s="20" t="s">
        <v>4037</v>
      </c>
      <c r="V158" s="21"/>
      <c r="W158" s="21">
        <v>46299</v>
      </c>
      <c r="X158" s="20" t="s">
        <v>3836</v>
      </c>
      <c r="Y158" s="21">
        <v>46300</v>
      </c>
      <c r="Z158" s="20" t="s">
        <v>4032</v>
      </c>
    </row>
    <row r="159" spans="1:26" x14ac:dyDescent="0.25">
      <c r="A159" s="9">
        <f t="shared" si="2"/>
        <v>152</v>
      </c>
      <c r="B159" s="19" t="s">
        <v>4027</v>
      </c>
      <c r="C159" s="20" t="s">
        <v>3829</v>
      </c>
      <c r="D159" s="20" t="s">
        <v>4241</v>
      </c>
      <c r="E159" s="20" t="s">
        <v>26</v>
      </c>
      <c r="F159" s="20" t="s">
        <v>4242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28</v>
      </c>
      <c r="L159" s="20" t="s">
        <v>4243</v>
      </c>
      <c r="M159" s="20" t="s">
        <v>259</v>
      </c>
      <c r="N159" s="22" t="s">
        <v>250</v>
      </c>
      <c r="O159" s="20" t="s">
        <v>3847</v>
      </c>
      <c r="P159" s="20" t="s">
        <v>613</v>
      </c>
      <c r="Q159" s="20" t="s">
        <v>614</v>
      </c>
      <c r="R159" s="20" t="s">
        <v>337</v>
      </c>
      <c r="S159" s="20" t="s">
        <v>32</v>
      </c>
      <c r="T159" s="20" t="s">
        <v>195</v>
      </c>
      <c r="U159" s="20" t="s">
        <v>4037</v>
      </c>
      <c r="V159" s="21"/>
      <c r="W159" s="21">
        <v>46299</v>
      </c>
      <c r="X159" s="20" t="s">
        <v>3836</v>
      </c>
      <c r="Y159" s="21">
        <v>46300</v>
      </c>
      <c r="Z159" s="20" t="s">
        <v>4032</v>
      </c>
    </row>
    <row r="160" spans="1:26" x14ac:dyDescent="0.25">
      <c r="A160" s="9">
        <f t="shared" si="2"/>
        <v>153</v>
      </c>
      <c r="B160" s="19" t="s">
        <v>4027</v>
      </c>
      <c r="C160" s="20" t="s">
        <v>3829</v>
      </c>
      <c r="D160" s="20" t="s">
        <v>4244</v>
      </c>
      <c r="E160" s="20" t="s">
        <v>26</v>
      </c>
      <c r="F160" s="20" t="s">
        <v>4245</v>
      </c>
      <c r="G160" s="20" t="s">
        <v>25</v>
      </c>
      <c r="H160" s="20" t="s">
        <v>26</v>
      </c>
      <c r="I160" s="21">
        <v>46299</v>
      </c>
      <c r="J160" s="20" t="s">
        <v>36</v>
      </c>
      <c r="K160" s="20" t="s">
        <v>28</v>
      </c>
      <c r="L160" s="20" t="s">
        <v>4246</v>
      </c>
      <c r="M160" s="20" t="s">
        <v>259</v>
      </c>
      <c r="N160" s="22" t="s">
        <v>250</v>
      </c>
      <c r="O160" s="20" t="s">
        <v>3847</v>
      </c>
      <c r="P160" s="20" t="s">
        <v>148</v>
      </c>
      <c r="Q160" s="20" t="s">
        <v>149</v>
      </c>
      <c r="R160" s="20" t="s">
        <v>61</v>
      </c>
      <c r="S160" s="20" t="s">
        <v>32</v>
      </c>
      <c r="T160" s="20" t="s">
        <v>315</v>
      </c>
      <c r="U160" s="20" t="s">
        <v>4247</v>
      </c>
      <c r="V160" s="21"/>
      <c r="W160" s="21">
        <v>46299</v>
      </c>
      <c r="X160" s="20" t="s">
        <v>3836</v>
      </c>
      <c r="Y160" s="21">
        <v>46300</v>
      </c>
      <c r="Z160" s="20" t="s">
        <v>4032</v>
      </c>
    </row>
    <row r="161" spans="1:26" x14ac:dyDescent="0.25">
      <c r="A161" s="9">
        <f t="shared" si="2"/>
        <v>154</v>
      </c>
      <c r="B161" s="19" t="s">
        <v>4027</v>
      </c>
      <c r="C161" s="20" t="s">
        <v>3829</v>
      </c>
      <c r="D161" s="20" t="s">
        <v>4248</v>
      </c>
      <c r="E161" s="20" t="s">
        <v>26</v>
      </c>
      <c r="F161" s="20" t="s">
        <v>4245</v>
      </c>
      <c r="G161" s="20" t="s">
        <v>25</v>
      </c>
      <c r="H161" s="20" t="s">
        <v>26</v>
      </c>
      <c r="I161" s="21">
        <v>46299</v>
      </c>
      <c r="J161" s="20" t="s">
        <v>2903</v>
      </c>
      <c r="K161" s="20" t="s">
        <v>58</v>
      </c>
      <c r="L161" s="20" t="s">
        <v>4246</v>
      </c>
      <c r="M161" s="20" t="s">
        <v>259</v>
      </c>
      <c r="N161" s="22" t="s">
        <v>250</v>
      </c>
      <c r="O161" s="20" t="s">
        <v>3847</v>
      </c>
      <c r="P161" s="20" t="s">
        <v>148</v>
      </c>
      <c r="Q161" s="20" t="s">
        <v>149</v>
      </c>
      <c r="R161" s="20" t="s">
        <v>61</v>
      </c>
      <c r="S161" s="20" t="s">
        <v>32</v>
      </c>
      <c r="T161" s="20" t="s">
        <v>315</v>
      </c>
      <c r="U161" s="20" t="s">
        <v>4247</v>
      </c>
      <c r="V161" s="21"/>
      <c r="W161" s="21">
        <v>46299</v>
      </c>
      <c r="X161" s="20" t="s">
        <v>3836</v>
      </c>
      <c r="Y161" s="21">
        <v>46300</v>
      </c>
      <c r="Z161" s="20" t="s">
        <v>4032</v>
      </c>
    </row>
    <row r="162" spans="1:26" x14ac:dyDescent="0.25">
      <c r="A162" s="9">
        <f t="shared" si="2"/>
        <v>155</v>
      </c>
      <c r="B162" s="19" t="s">
        <v>3828</v>
      </c>
      <c r="C162" s="20" t="s">
        <v>3829</v>
      </c>
      <c r="D162" s="20" t="s">
        <v>3913</v>
      </c>
      <c r="E162" s="20" t="s">
        <v>3914</v>
      </c>
      <c r="F162" s="20" t="s">
        <v>3915</v>
      </c>
      <c r="G162" s="20" t="s">
        <v>273</v>
      </c>
      <c r="H162" s="20" t="s">
        <v>26</v>
      </c>
      <c r="I162" s="21">
        <v>46295</v>
      </c>
      <c r="J162" s="20" t="s">
        <v>82</v>
      </c>
      <c r="K162" s="20" t="s">
        <v>28</v>
      </c>
      <c r="L162" s="20" t="s">
        <v>3916</v>
      </c>
      <c r="M162" s="20" t="s">
        <v>259</v>
      </c>
      <c r="N162" s="22" t="s">
        <v>250</v>
      </c>
      <c r="O162" s="20" t="s">
        <v>3834</v>
      </c>
      <c r="P162" s="20" t="s">
        <v>41</v>
      </c>
      <c r="Q162" s="20" t="s">
        <v>42</v>
      </c>
      <c r="R162" s="20" t="s">
        <v>26</v>
      </c>
      <c r="S162" s="20" t="s">
        <v>32</v>
      </c>
      <c r="T162" s="20" t="s">
        <v>685</v>
      </c>
      <c r="U162" s="20" t="s">
        <v>3917</v>
      </c>
      <c r="V162" s="21"/>
      <c r="W162" s="21">
        <v>46295</v>
      </c>
      <c r="X162" s="20" t="s">
        <v>3836</v>
      </c>
      <c r="Y162" s="21">
        <v>46295</v>
      </c>
      <c r="Z162" s="20" t="s">
        <v>226</v>
      </c>
    </row>
    <row r="163" spans="1:26" x14ac:dyDescent="0.25">
      <c r="A163" s="9">
        <f t="shared" si="2"/>
        <v>156</v>
      </c>
      <c r="B163" s="19" t="s">
        <v>3828</v>
      </c>
      <c r="C163" s="20" t="s">
        <v>3829</v>
      </c>
      <c r="D163" s="20" t="s">
        <v>3918</v>
      </c>
      <c r="E163" s="20" t="s">
        <v>3919</v>
      </c>
      <c r="F163" s="20" t="s">
        <v>3920</v>
      </c>
      <c r="G163" s="20" t="s">
        <v>273</v>
      </c>
      <c r="H163" s="20" t="s">
        <v>26</v>
      </c>
      <c r="I163" s="21">
        <v>46295</v>
      </c>
      <c r="J163" s="20" t="s">
        <v>52</v>
      </c>
      <c r="K163" s="20" t="s">
        <v>28</v>
      </c>
      <c r="L163" s="20" t="s">
        <v>3921</v>
      </c>
      <c r="M163" s="20" t="s">
        <v>259</v>
      </c>
      <c r="N163" s="22" t="s">
        <v>250</v>
      </c>
      <c r="O163" s="20" t="s">
        <v>3834</v>
      </c>
      <c r="P163" s="20" t="s">
        <v>148</v>
      </c>
      <c r="Q163" s="20" t="s">
        <v>149</v>
      </c>
      <c r="R163" s="20" t="s">
        <v>54</v>
      </c>
      <c r="S163" s="20" t="s">
        <v>32</v>
      </c>
      <c r="T163" s="20" t="s">
        <v>685</v>
      </c>
      <c r="U163" s="20" t="s">
        <v>3922</v>
      </c>
      <c r="V163" s="21"/>
      <c r="W163" s="21">
        <v>46295</v>
      </c>
      <c r="X163" s="20" t="s">
        <v>3836</v>
      </c>
      <c r="Y163" s="21">
        <v>46295</v>
      </c>
      <c r="Z163" s="20" t="s">
        <v>226</v>
      </c>
    </row>
    <row r="164" spans="1:26" x14ac:dyDescent="0.25">
      <c r="A164" s="9">
        <f t="shared" si="2"/>
        <v>157</v>
      </c>
      <c r="B164" s="19" t="s">
        <v>4249</v>
      </c>
      <c r="C164" s="20" t="s">
        <v>3829</v>
      </c>
      <c r="D164" s="20" t="s">
        <v>4250</v>
      </c>
      <c r="E164" s="20" t="s">
        <v>4251</v>
      </c>
      <c r="F164" s="20" t="s">
        <v>4252</v>
      </c>
      <c r="G164" s="20" t="s">
        <v>25</v>
      </c>
      <c r="H164" s="20" t="s">
        <v>26</v>
      </c>
      <c r="I164" s="21">
        <v>46297</v>
      </c>
      <c r="J164" s="20" t="s">
        <v>116</v>
      </c>
      <c r="K164" s="20" t="s">
        <v>28</v>
      </c>
      <c r="L164" s="20" t="s">
        <v>4253</v>
      </c>
      <c r="M164" s="20" t="s">
        <v>259</v>
      </c>
      <c r="N164" s="22" t="s">
        <v>250</v>
      </c>
      <c r="O164" s="20" t="s">
        <v>3847</v>
      </c>
      <c r="P164" s="20" t="s">
        <v>148</v>
      </c>
      <c r="Q164" s="20" t="s">
        <v>149</v>
      </c>
      <c r="R164" s="20" t="s">
        <v>49</v>
      </c>
      <c r="S164" s="20" t="s">
        <v>32</v>
      </c>
      <c r="T164" s="20" t="s">
        <v>195</v>
      </c>
      <c r="U164" s="20" t="s">
        <v>4254</v>
      </c>
      <c r="V164" s="21"/>
      <c r="W164" s="21">
        <v>46297</v>
      </c>
      <c r="X164" s="20" t="s">
        <v>3836</v>
      </c>
      <c r="Y164" s="21">
        <v>46297</v>
      </c>
      <c r="Z164" s="20" t="s">
        <v>226</v>
      </c>
    </row>
    <row r="165" spans="1:26" x14ac:dyDescent="0.25">
      <c r="A165" s="9">
        <f t="shared" si="2"/>
        <v>158</v>
      </c>
      <c r="B165" s="19" t="s">
        <v>4249</v>
      </c>
      <c r="C165" s="20" t="s">
        <v>3829</v>
      </c>
      <c r="D165" s="20" t="s">
        <v>4255</v>
      </c>
      <c r="E165" s="20" t="s">
        <v>4256</v>
      </c>
      <c r="F165" s="20" t="s">
        <v>4257</v>
      </c>
      <c r="G165" s="20" t="s">
        <v>25</v>
      </c>
      <c r="H165" s="20" t="s">
        <v>26</v>
      </c>
      <c r="I165" s="21">
        <v>46297</v>
      </c>
      <c r="J165" s="20" t="s">
        <v>52</v>
      </c>
      <c r="K165" s="20" t="s">
        <v>28</v>
      </c>
      <c r="L165" s="20" t="s">
        <v>4258</v>
      </c>
      <c r="M165" s="20" t="s">
        <v>259</v>
      </c>
      <c r="N165" s="22" t="s">
        <v>250</v>
      </c>
      <c r="O165" s="20" t="s">
        <v>3847</v>
      </c>
      <c r="P165" s="20" t="s">
        <v>148</v>
      </c>
      <c r="Q165" s="20" t="s">
        <v>149</v>
      </c>
      <c r="R165" s="20" t="s">
        <v>26</v>
      </c>
      <c r="S165" s="20" t="s">
        <v>32</v>
      </c>
      <c r="T165" s="20" t="s">
        <v>195</v>
      </c>
      <c r="U165" s="20" t="s">
        <v>4259</v>
      </c>
      <c r="V165" s="21"/>
      <c r="W165" s="21">
        <v>46297</v>
      </c>
      <c r="X165" s="20" t="s">
        <v>3836</v>
      </c>
      <c r="Y165" s="21">
        <v>46297</v>
      </c>
      <c r="Z165" s="20" t="s">
        <v>226</v>
      </c>
    </row>
    <row r="166" spans="1:26" x14ac:dyDescent="0.25">
      <c r="A166" s="9">
        <f t="shared" si="2"/>
        <v>159</v>
      </c>
      <c r="B166" s="19" t="s">
        <v>4249</v>
      </c>
      <c r="C166" s="20" t="s">
        <v>3829</v>
      </c>
      <c r="D166" s="20" t="s">
        <v>4260</v>
      </c>
      <c r="E166" s="20" t="s">
        <v>4261</v>
      </c>
      <c r="F166" s="20" t="s">
        <v>4262</v>
      </c>
      <c r="G166" s="20" t="s">
        <v>25</v>
      </c>
      <c r="H166" s="20" t="s">
        <v>26</v>
      </c>
      <c r="I166" s="21">
        <v>46297</v>
      </c>
      <c r="J166" s="20" t="s">
        <v>82</v>
      </c>
      <c r="K166" s="20" t="s">
        <v>28</v>
      </c>
      <c r="L166" s="20" t="s">
        <v>4263</v>
      </c>
      <c r="M166" s="20" t="s">
        <v>259</v>
      </c>
      <c r="N166" s="22" t="s">
        <v>250</v>
      </c>
      <c r="O166" s="20" t="s">
        <v>3847</v>
      </c>
      <c r="P166" s="20" t="s">
        <v>148</v>
      </c>
      <c r="Q166" s="20" t="s">
        <v>149</v>
      </c>
      <c r="R166" s="20" t="s">
        <v>150</v>
      </c>
      <c r="S166" s="20" t="s">
        <v>32</v>
      </c>
      <c r="T166" s="20" t="s">
        <v>367</v>
      </c>
      <c r="U166" s="20" t="s">
        <v>4264</v>
      </c>
      <c r="V166" s="21"/>
      <c r="W166" s="21">
        <v>46297</v>
      </c>
      <c r="X166" s="20" t="s">
        <v>3836</v>
      </c>
      <c r="Y166" s="21">
        <v>46297</v>
      </c>
      <c r="Z166" s="20" t="s">
        <v>226</v>
      </c>
    </row>
    <row r="167" spans="1:26" x14ac:dyDescent="0.25">
      <c r="A167" s="9">
        <f t="shared" si="2"/>
        <v>160</v>
      </c>
      <c r="B167" s="19" t="s">
        <v>4249</v>
      </c>
      <c r="C167" s="20" t="s">
        <v>3829</v>
      </c>
      <c r="D167" s="20" t="s">
        <v>4265</v>
      </c>
      <c r="E167" s="20" t="s">
        <v>4266</v>
      </c>
      <c r="F167" s="20" t="s">
        <v>4267</v>
      </c>
      <c r="G167" s="20" t="s">
        <v>25</v>
      </c>
      <c r="H167" s="20" t="s">
        <v>26</v>
      </c>
      <c r="I167" s="21">
        <v>46297</v>
      </c>
      <c r="J167" s="20" t="s">
        <v>52</v>
      </c>
      <c r="K167" s="20" t="s">
        <v>28</v>
      </c>
      <c r="L167" s="20" t="s">
        <v>4268</v>
      </c>
      <c r="M167" s="20" t="s">
        <v>259</v>
      </c>
      <c r="N167" s="22" t="s">
        <v>250</v>
      </c>
      <c r="O167" s="20" t="s">
        <v>3847</v>
      </c>
      <c r="P167" s="20" t="s">
        <v>148</v>
      </c>
      <c r="Q167" s="20" t="s">
        <v>149</v>
      </c>
      <c r="R167" s="20" t="s">
        <v>26</v>
      </c>
      <c r="S167" s="20" t="s">
        <v>32</v>
      </c>
      <c r="T167" s="20" t="s">
        <v>195</v>
      </c>
      <c r="U167" s="20" t="s">
        <v>4269</v>
      </c>
      <c r="V167" s="21"/>
      <c r="W167" s="21">
        <v>46297</v>
      </c>
      <c r="X167" s="20" t="s">
        <v>3836</v>
      </c>
      <c r="Y167" s="21">
        <v>46297</v>
      </c>
      <c r="Z167" s="20" t="s">
        <v>226</v>
      </c>
    </row>
    <row r="168" spans="1:26" x14ac:dyDescent="0.25">
      <c r="A168" s="9">
        <f t="shared" si="2"/>
        <v>161</v>
      </c>
      <c r="B168" s="19" t="s">
        <v>3828</v>
      </c>
      <c r="C168" s="20" t="s">
        <v>3829</v>
      </c>
      <c r="D168" s="20" t="s">
        <v>3923</v>
      </c>
      <c r="E168" s="20" t="s">
        <v>3924</v>
      </c>
      <c r="F168" s="20" t="s">
        <v>3925</v>
      </c>
      <c r="G168" s="20" t="s">
        <v>273</v>
      </c>
      <c r="H168" s="20" t="s">
        <v>26</v>
      </c>
      <c r="I168" s="21">
        <v>46295</v>
      </c>
      <c r="J168" s="20" t="s">
        <v>82</v>
      </c>
      <c r="K168" s="20" t="s">
        <v>28</v>
      </c>
      <c r="L168" s="20" t="s">
        <v>3926</v>
      </c>
      <c r="M168" s="20" t="s">
        <v>263</v>
      </c>
      <c r="N168" s="22" t="s">
        <v>250</v>
      </c>
      <c r="O168" s="20" t="s">
        <v>3834</v>
      </c>
      <c r="P168" s="20" t="s">
        <v>41</v>
      </c>
      <c r="Q168" s="20" t="s">
        <v>42</v>
      </c>
      <c r="R168" s="20" t="s">
        <v>26</v>
      </c>
      <c r="S168" s="20" t="s">
        <v>32</v>
      </c>
      <c r="T168" s="20" t="s">
        <v>685</v>
      </c>
      <c r="U168" s="20" t="s">
        <v>3927</v>
      </c>
      <c r="V168" s="21"/>
      <c r="W168" s="21">
        <v>46295</v>
      </c>
      <c r="X168" s="20" t="s">
        <v>3836</v>
      </c>
      <c r="Y168" s="21">
        <v>46295</v>
      </c>
      <c r="Z168" s="20" t="s">
        <v>226</v>
      </c>
    </row>
    <row r="169" spans="1:26" x14ac:dyDescent="0.25">
      <c r="A169" s="9">
        <f t="shared" si="2"/>
        <v>162</v>
      </c>
      <c r="B169" s="19" t="s">
        <v>4270</v>
      </c>
      <c r="C169" s="20" t="s">
        <v>4271</v>
      </c>
      <c r="D169" s="20" t="s">
        <v>4272</v>
      </c>
      <c r="E169" s="20" t="s">
        <v>4273</v>
      </c>
      <c r="F169" s="20" t="s">
        <v>4274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28</v>
      </c>
      <c r="L169" s="20" t="s">
        <v>4275</v>
      </c>
      <c r="M169" s="20" t="s">
        <v>263</v>
      </c>
      <c r="N169" s="22" t="s">
        <v>250</v>
      </c>
      <c r="O169" s="20" t="s">
        <v>3847</v>
      </c>
      <c r="P169" s="20" t="s">
        <v>148</v>
      </c>
      <c r="Q169" s="20" t="s">
        <v>149</v>
      </c>
      <c r="R169" s="20" t="s">
        <v>26</v>
      </c>
      <c r="S169" s="20" t="s">
        <v>32</v>
      </c>
      <c r="T169" s="20" t="s">
        <v>195</v>
      </c>
      <c r="U169" s="20" t="s">
        <v>4276</v>
      </c>
      <c r="V169" s="21"/>
      <c r="W169" s="21">
        <v>46299</v>
      </c>
      <c r="X169" s="20" t="s">
        <v>3836</v>
      </c>
      <c r="Y169" s="21">
        <v>46300</v>
      </c>
      <c r="Z169" s="20" t="s">
        <v>4032</v>
      </c>
    </row>
    <row r="170" spans="1:26" x14ac:dyDescent="0.25">
      <c r="A170" s="9">
        <f t="shared" si="2"/>
        <v>163</v>
      </c>
      <c r="B170" s="19" t="s">
        <v>4270</v>
      </c>
      <c r="C170" s="20" t="s">
        <v>4271</v>
      </c>
      <c r="D170" s="20" t="s">
        <v>4277</v>
      </c>
      <c r="E170" s="20" t="s">
        <v>4278</v>
      </c>
      <c r="F170" s="20" t="s">
        <v>4279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4280</v>
      </c>
      <c r="M170" s="20" t="s">
        <v>263</v>
      </c>
      <c r="N170" s="22" t="s">
        <v>250</v>
      </c>
      <c r="O170" s="20" t="s">
        <v>3847</v>
      </c>
      <c r="P170" s="20" t="s">
        <v>613</v>
      </c>
      <c r="Q170" s="20" t="s">
        <v>614</v>
      </c>
      <c r="R170" s="20" t="s">
        <v>26</v>
      </c>
      <c r="S170" s="20" t="s">
        <v>32</v>
      </c>
      <c r="T170" s="20" t="s">
        <v>195</v>
      </c>
      <c r="U170" s="20" t="s">
        <v>4281</v>
      </c>
      <c r="V170" s="21"/>
      <c r="W170" s="21">
        <v>46299</v>
      </c>
      <c r="X170" s="20" t="s">
        <v>3836</v>
      </c>
      <c r="Y170" s="21">
        <v>46300</v>
      </c>
      <c r="Z170" s="20" t="s">
        <v>4032</v>
      </c>
    </row>
    <row r="171" spans="1:26" x14ac:dyDescent="0.25">
      <c r="A171" s="9">
        <f t="shared" si="2"/>
        <v>164</v>
      </c>
      <c r="B171" s="19" t="s">
        <v>4270</v>
      </c>
      <c r="C171" s="20" t="s">
        <v>4271</v>
      </c>
      <c r="D171" s="20" t="s">
        <v>4282</v>
      </c>
      <c r="E171" s="20" t="s">
        <v>4278</v>
      </c>
      <c r="F171" s="20" t="s">
        <v>4279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4280</v>
      </c>
      <c r="M171" s="20" t="s">
        <v>263</v>
      </c>
      <c r="N171" s="22" t="s">
        <v>250</v>
      </c>
      <c r="O171" s="20" t="s">
        <v>3847</v>
      </c>
      <c r="P171" s="20" t="s">
        <v>613</v>
      </c>
      <c r="Q171" s="20" t="s">
        <v>614</v>
      </c>
      <c r="R171" s="20" t="s">
        <v>26</v>
      </c>
      <c r="S171" s="20" t="s">
        <v>32</v>
      </c>
      <c r="T171" s="20" t="s">
        <v>195</v>
      </c>
      <c r="U171" s="20" t="s">
        <v>4281</v>
      </c>
      <c r="V171" s="21"/>
      <c r="W171" s="21">
        <v>46299</v>
      </c>
      <c r="X171" s="20" t="s">
        <v>3836</v>
      </c>
      <c r="Y171" s="21">
        <v>46300</v>
      </c>
      <c r="Z171" s="20" t="s">
        <v>4032</v>
      </c>
    </row>
    <row r="172" spans="1:26" x14ac:dyDescent="0.25">
      <c r="A172" s="9">
        <f t="shared" si="2"/>
        <v>165</v>
      </c>
      <c r="B172" s="19" t="s">
        <v>4270</v>
      </c>
      <c r="C172" s="20" t="s">
        <v>4283</v>
      </c>
      <c r="D172" s="20" t="s">
        <v>4284</v>
      </c>
      <c r="E172" s="20" t="s">
        <v>4285</v>
      </c>
      <c r="F172" s="20" t="s">
        <v>4286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4275</v>
      </c>
      <c r="M172" s="20" t="s">
        <v>263</v>
      </c>
      <c r="N172" s="22" t="s">
        <v>250</v>
      </c>
      <c r="O172" s="20" t="s">
        <v>3847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4287</v>
      </c>
      <c r="V172" s="21"/>
      <c r="W172" s="21">
        <v>46299</v>
      </c>
      <c r="X172" s="20" t="s">
        <v>3836</v>
      </c>
      <c r="Y172" s="21">
        <v>46300</v>
      </c>
      <c r="Z172" s="20" t="s">
        <v>4032</v>
      </c>
    </row>
    <row r="173" spans="1:26" x14ac:dyDescent="0.25">
      <c r="A173" s="9">
        <f t="shared" si="2"/>
        <v>166</v>
      </c>
      <c r="B173" s="19" t="s">
        <v>4270</v>
      </c>
      <c r="C173" s="20" t="s">
        <v>4283</v>
      </c>
      <c r="D173" s="20" t="s">
        <v>4288</v>
      </c>
      <c r="E173" s="20" t="s">
        <v>4289</v>
      </c>
      <c r="F173" s="20" t="s">
        <v>4290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28</v>
      </c>
      <c r="L173" s="20" t="s">
        <v>4280</v>
      </c>
      <c r="M173" s="20" t="s">
        <v>263</v>
      </c>
      <c r="N173" s="22" t="s">
        <v>250</v>
      </c>
      <c r="O173" s="20" t="s">
        <v>3847</v>
      </c>
      <c r="P173" s="20" t="s">
        <v>613</v>
      </c>
      <c r="Q173" s="20" t="s">
        <v>614</v>
      </c>
      <c r="R173" s="20" t="s">
        <v>26</v>
      </c>
      <c r="S173" s="20" t="s">
        <v>32</v>
      </c>
      <c r="T173" s="20" t="s">
        <v>195</v>
      </c>
      <c r="U173" s="20" t="s">
        <v>4281</v>
      </c>
      <c r="V173" s="21"/>
      <c r="W173" s="21">
        <v>46299</v>
      </c>
      <c r="X173" s="20" t="s">
        <v>3836</v>
      </c>
      <c r="Y173" s="21">
        <v>46300</v>
      </c>
      <c r="Z173" s="20" t="s">
        <v>4032</v>
      </c>
    </row>
    <row r="174" spans="1:26" x14ac:dyDescent="0.25">
      <c r="A174" s="9">
        <f t="shared" si="2"/>
        <v>167</v>
      </c>
      <c r="B174" s="19" t="s">
        <v>4270</v>
      </c>
      <c r="C174" s="20" t="s">
        <v>4283</v>
      </c>
      <c r="D174" s="20" t="s">
        <v>4291</v>
      </c>
      <c r="E174" s="20" t="s">
        <v>4289</v>
      </c>
      <c r="F174" s="20" t="s">
        <v>4290</v>
      </c>
      <c r="G174" s="20" t="s">
        <v>25</v>
      </c>
      <c r="H174" s="20" t="s">
        <v>26</v>
      </c>
      <c r="I174" s="21">
        <v>46299</v>
      </c>
      <c r="J174" s="20" t="s">
        <v>36</v>
      </c>
      <c r="K174" s="20" t="s">
        <v>58</v>
      </c>
      <c r="L174" s="20" t="s">
        <v>4280</v>
      </c>
      <c r="M174" s="20" t="s">
        <v>263</v>
      </c>
      <c r="N174" s="22" t="s">
        <v>250</v>
      </c>
      <c r="O174" s="20" t="s">
        <v>3847</v>
      </c>
      <c r="P174" s="20" t="s">
        <v>613</v>
      </c>
      <c r="Q174" s="20" t="s">
        <v>614</v>
      </c>
      <c r="R174" s="20" t="s">
        <v>26</v>
      </c>
      <c r="S174" s="20" t="s">
        <v>32</v>
      </c>
      <c r="T174" s="20" t="s">
        <v>195</v>
      </c>
      <c r="U174" s="20" t="s">
        <v>4281</v>
      </c>
      <c r="V174" s="21"/>
      <c r="W174" s="21">
        <v>46299</v>
      </c>
      <c r="X174" s="20" t="s">
        <v>3836</v>
      </c>
      <c r="Y174" s="21">
        <v>46300</v>
      </c>
      <c r="Z174" s="20" t="s">
        <v>4032</v>
      </c>
    </row>
    <row r="175" spans="1:26" x14ac:dyDescent="0.25">
      <c r="A175" s="9">
        <f t="shared" si="2"/>
        <v>168</v>
      </c>
      <c r="B175" s="19" t="s">
        <v>3893</v>
      </c>
      <c r="C175" s="20" t="s">
        <v>3829</v>
      </c>
      <c r="D175" s="20" t="s">
        <v>3933</v>
      </c>
      <c r="E175" s="20" t="s">
        <v>3934</v>
      </c>
      <c r="F175" s="20" t="s">
        <v>3934</v>
      </c>
      <c r="G175" s="20" t="s">
        <v>194</v>
      </c>
      <c r="H175" s="20" t="s">
        <v>26</v>
      </c>
      <c r="I175" s="21">
        <v>46290</v>
      </c>
      <c r="J175" s="20" t="s">
        <v>82</v>
      </c>
      <c r="K175" s="20" t="s">
        <v>28</v>
      </c>
      <c r="L175" s="20" t="s">
        <v>3935</v>
      </c>
      <c r="M175" s="20" t="s">
        <v>278</v>
      </c>
      <c r="N175" s="22" t="s">
        <v>250</v>
      </c>
      <c r="O175" s="20" t="s">
        <v>3847</v>
      </c>
      <c r="P175" s="20" t="s">
        <v>26</v>
      </c>
      <c r="Q175" s="20" t="s">
        <v>26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/>
      <c r="W175" s="21">
        <v>46290</v>
      </c>
      <c r="X175" s="20" t="s">
        <v>3836</v>
      </c>
      <c r="Y175" s="21">
        <v>46290</v>
      </c>
      <c r="Z175" s="20" t="s">
        <v>226</v>
      </c>
    </row>
    <row r="176" spans="1:26" x14ac:dyDescent="0.25">
      <c r="A176" s="9">
        <f t="shared" si="2"/>
        <v>169</v>
      </c>
      <c r="B176" s="19" t="s">
        <v>4270</v>
      </c>
      <c r="C176" s="20" t="s">
        <v>4271</v>
      </c>
      <c r="D176" s="20" t="s">
        <v>4292</v>
      </c>
      <c r="E176" s="20" t="s">
        <v>4293</v>
      </c>
      <c r="F176" s="20" t="s">
        <v>4294</v>
      </c>
      <c r="G176" s="20" t="s">
        <v>25</v>
      </c>
      <c r="H176" s="20" t="s">
        <v>26</v>
      </c>
      <c r="I176" s="21">
        <v>46299</v>
      </c>
      <c r="J176" s="20" t="s">
        <v>36</v>
      </c>
      <c r="K176" s="20" t="s">
        <v>28</v>
      </c>
      <c r="L176" s="20" t="s">
        <v>4295</v>
      </c>
      <c r="M176" s="20" t="s">
        <v>278</v>
      </c>
      <c r="N176" s="22" t="s">
        <v>250</v>
      </c>
      <c r="O176" s="20" t="s">
        <v>3847</v>
      </c>
      <c r="P176" s="20" t="s">
        <v>148</v>
      </c>
      <c r="Q176" s="20" t="s">
        <v>149</v>
      </c>
      <c r="R176" s="20" t="s">
        <v>1235</v>
      </c>
      <c r="S176" s="20" t="s">
        <v>32</v>
      </c>
      <c r="T176" s="20" t="s">
        <v>73</v>
      </c>
      <c r="U176" s="20" t="s">
        <v>4296</v>
      </c>
      <c r="V176" s="21"/>
      <c r="W176" s="21">
        <v>46299</v>
      </c>
      <c r="X176" s="20" t="s">
        <v>3836</v>
      </c>
      <c r="Y176" s="21">
        <v>46300</v>
      </c>
      <c r="Z176" s="20" t="s">
        <v>4032</v>
      </c>
    </row>
    <row r="177" spans="1:26" x14ac:dyDescent="0.25">
      <c r="A177" s="9">
        <f t="shared" si="2"/>
        <v>170</v>
      </c>
      <c r="B177" s="19" t="s">
        <v>4270</v>
      </c>
      <c r="C177" s="20" t="s">
        <v>4283</v>
      </c>
      <c r="D177" s="20" t="s">
        <v>4297</v>
      </c>
      <c r="E177" s="20" t="s">
        <v>4298</v>
      </c>
      <c r="F177" s="20" t="s">
        <v>4299</v>
      </c>
      <c r="G177" s="20" t="s">
        <v>25</v>
      </c>
      <c r="H177" s="20" t="s">
        <v>26</v>
      </c>
      <c r="I177" s="21">
        <v>46299</v>
      </c>
      <c r="J177" s="20" t="s">
        <v>36</v>
      </c>
      <c r="K177" s="20" t="s">
        <v>28</v>
      </c>
      <c r="L177" s="20" t="s">
        <v>4295</v>
      </c>
      <c r="M177" s="20" t="s">
        <v>278</v>
      </c>
      <c r="N177" s="22" t="s">
        <v>250</v>
      </c>
      <c r="O177" s="20" t="s">
        <v>3847</v>
      </c>
      <c r="P177" s="20" t="s">
        <v>148</v>
      </c>
      <c r="Q177" s="20" t="s">
        <v>149</v>
      </c>
      <c r="R177" s="20" t="s">
        <v>1235</v>
      </c>
      <c r="S177" s="20" t="s">
        <v>32</v>
      </c>
      <c r="T177" s="20" t="s">
        <v>73</v>
      </c>
      <c r="U177" s="20" t="s">
        <v>4300</v>
      </c>
      <c r="V177" s="21"/>
      <c r="W177" s="21">
        <v>46299</v>
      </c>
      <c r="X177" s="20" t="s">
        <v>3836</v>
      </c>
      <c r="Y177" s="21">
        <v>46300</v>
      </c>
      <c r="Z177" s="20" t="s">
        <v>4032</v>
      </c>
    </row>
    <row r="178" spans="1:26" x14ac:dyDescent="0.25">
      <c r="A178" s="9">
        <f t="shared" si="2"/>
        <v>171</v>
      </c>
      <c r="B178" s="19" t="s">
        <v>4249</v>
      </c>
      <c r="C178" s="20" t="s">
        <v>3829</v>
      </c>
      <c r="D178" s="20" t="s">
        <v>4301</v>
      </c>
      <c r="E178" s="20" t="s">
        <v>4302</v>
      </c>
      <c r="F178" s="20" t="s">
        <v>4303</v>
      </c>
      <c r="G178" s="20" t="s">
        <v>25</v>
      </c>
      <c r="H178" s="20" t="s">
        <v>26</v>
      </c>
      <c r="I178" s="21">
        <v>46297</v>
      </c>
      <c r="J178" s="20" t="s">
        <v>36</v>
      </c>
      <c r="K178" s="20" t="s">
        <v>28</v>
      </c>
      <c r="L178" s="20" t="s">
        <v>4304</v>
      </c>
      <c r="M178" s="20" t="s">
        <v>269</v>
      </c>
      <c r="N178" s="22" t="s">
        <v>250</v>
      </c>
      <c r="O178" s="20" t="s">
        <v>3847</v>
      </c>
      <c r="P178" s="20" t="s">
        <v>148</v>
      </c>
      <c r="Q178" s="20" t="s">
        <v>149</v>
      </c>
      <c r="R178" s="20" t="s">
        <v>69</v>
      </c>
      <c r="S178" s="20" t="s">
        <v>32</v>
      </c>
      <c r="T178" s="20" t="s">
        <v>195</v>
      </c>
      <c r="U178" s="20" t="s">
        <v>4305</v>
      </c>
      <c r="V178" s="21"/>
      <c r="W178" s="21">
        <v>46297</v>
      </c>
      <c r="X178" s="20" t="s">
        <v>3836</v>
      </c>
      <c r="Y178" s="21">
        <v>46297</v>
      </c>
      <c r="Z178" s="20" t="s">
        <v>226</v>
      </c>
    </row>
    <row r="179" spans="1:26" x14ac:dyDescent="0.25">
      <c r="A179" s="9">
        <f t="shared" si="2"/>
        <v>172</v>
      </c>
      <c r="B179" s="19" t="s">
        <v>4306</v>
      </c>
      <c r="C179" s="20" t="s">
        <v>3829</v>
      </c>
      <c r="D179" s="20" t="s">
        <v>4307</v>
      </c>
      <c r="E179" s="20" t="s">
        <v>4308</v>
      </c>
      <c r="F179" s="20" t="s">
        <v>4309</v>
      </c>
      <c r="G179" s="20" t="s">
        <v>25</v>
      </c>
      <c r="H179" s="20" t="s">
        <v>26</v>
      </c>
      <c r="I179" s="21">
        <v>46272</v>
      </c>
      <c r="J179" s="20" t="s">
        <v>82</v>
      </c>
      <c r="K179" s="20" t="s">
        <v>28</v>
      </c>
      <c r="L179" s="20" t="s">
        <v>4310</v>
      </c>
      <c r="M179" s="20" t="s">
        <v>279</v>
      </c>
      <c r="N179" s="22" t="s">
        <v>250</v>
      </c>
      <c r="O179" s="20" t="s">
        <v>3847</v>
      </c>
      <c r="P179" s="20" t="s">
        <v>148</v>
      </c>
      <c r="Q179" s="20" t="s">
        <v>149</v>
      </c>
      <c r="R179" s="20" t="s">
        <v>126</v>
      </c>
      <c r="S179" s="20" t="s">
        <v>32</v>
      </c>
      <c r="T179" s="20" t="s">
        <v>281</v>
      </c>
      <c r="U179" s="20" t="s">
        <v>4311</v>
      </c>
      <c r="V179" s="21"/>
      <c r="W179" s="21">
        <v>46272</v>
      </c>
      <c r="X179" s="20" t="s">
        <v>4312</v>
      </c>
      <c r="Y179" s="21">
        <v>46272</v>
      </c>
      <c r="Z179" s="20" t="s">
        <v>226</v>
      </c>
    </row>
    <row r="180" spans="1:26" x14ac:dyDescent="0.25">
      <c r="A180" s="9">
        <f t="shared" si="2"/>
        <v>173</v>
      </c>
      <c r="B180" s="19" t="s">
        <v>3893</v>
      </c>
      <c r="C180" s="20" t="s">
        <v>3829</v>
      </c>
      <c r="D180" s="20" t="s">
        <v>3936</v>
      </c>
      <c r="E180" s="20" t="s">
        <v>3937</v>
      </c>
      <c r="F180" s="20" t="s">
        <v>3937</v>
      </c>
      <c r="G180" s="20" t="s">
        <v>194</v>
      </c>
      <c r="H180" s="20" t="s">
        <v>26</v>
      </c>
      <c r="I180" s="21">
        <v>46290</v>
      </c>
      <c r="J180" s="20" t="s">
        <v>82</v>
      </c>
      <c r="K180" s="20" t="s">
        <v>28</v>
      </c>
      <c r="L180" s="20" t="s">
        <v>3906</v>
      </c>
      <c r="M180" s="20" t="s">
        <v>279</v>
      </c>
      <c r="N180" s="22" t="s">
        <v>250</v>
      </c>
      <c r="O180" s="20" t="s">
        <v>3847</v>
      </c>
      <c r="P180" s="20" t="s">
        <v>26</v>
      </c>
      <c r="Q180" s="20" t="s">
        <v>26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/>
      <c r="W180" s="21">
        <v>46290</v>
      </c>
      <c r="X180" s="20" t="s">
        <v>3836</v>
      </c>
      <c r="Y180" s="21">
        <v>46290</v>
      </c>
      <c r="Z180" s="20" t="s">
        <v>226</v>
      </c>
    </row>
    <row r="181" spans="1:26" x14ac:dyDescent="0.25">
      <c r="A181" s="9">
        <f t="shared" si="2"/>
        <v>174</v>
      </c>
      <c r="B181" s="19" t="s">
        <v>3828</v>
      </c>
      <c r="C181" s="20" t="s">
        <v>3829</v>
      </c>
      <c r="D181" s="20" t="s">
        <v>3938</v>
      </c>
      <c r="E181" s="20" t="s">
        <v>3939</v>
      </c>
      <c r="F181" s="20" t="s">
        <v>3940</v>
      </c>
      <c r="G181" s="20" t="s">
        <v>25</v>
      </c>
      <c r="H181" s="20" t="s">
        <v>26</v>
      </c>
      <c r="I181" s="21">
        <v>46295</v>
      </c>
      <c r="J181" s="20" t="s">
        <v>82</v>
      </c>
      <c r="K181" s="20" t="s">
        <v>28</v>
      </c>
      <c r="L181" s="20" t="s">
        <v>3941</v>
      </c>
      <c r="M181" s="20" t="s">
        <v>279</v>
      </c>
      <c r="N181" s="22" t="s">
        <v>250</v>
      </c>
      <c r="O181" s="20" t="s">
        <v>3847</v>
      </c>
      <c r="P181" s="20" t="s">
        <v>148</v>
      </c>
      <c r="Q181" s="20" t="s">
        <v>149</v>
      </c>
      <c r="R181" s="20" t="s">
        <v>26</v>
      </c>
      <c r="S181" s="20" t="s">
        <v>32</v>
      </c>
      <c r="T181" s="20" t="s">
        <v>66</v>
      </c>
      <c r="U181" s="20" t="s">
        <v>3942</v>
      </c>
      <c r="V181" s="21"/>
      <c r="W181" s="21">
        <v>46295</v>
      </c>
      <c r="X181" s="20" t="s">
        <v>3836</v>
      </c>
      <c r="Y181" s="21">
        <v>46295</v>
      </c>
      <c r="Z181" s="20" t="s">
        <v>226</v>
      </c>
    </row>
    <row r="182" spans="1:26" x14ac:dyDescent="0.25">
      <c r="A182" s="9">
        <f t="shared" si="2"/>
        <v>175</v>
      </c>
      <c r="B182" s="19" t="s">
        <v>3842</v>
      </c>
      <c r="C182" s="20" t="s">
        <v>3829</v>
      </c>
      <c r="D182" s="20" t="s">
        <v>3943</v>
      </c>
      <c r="E182" s="20" t="s">
        <v>3944</v>
      </c>
      <c r="F182" s="20" t="s">
        <v>3945</v>
      </c>
      <c r="G182" s="20" t="s">
        <v>273</v>
      </c>
      <c r="H182" s="20" t="s">
        <v>26</v>
      </c>
      <c r="I182" s="21">
        <v>46268</v>
      </c>
      <c r="J182" s="20" t="s">
        <v>82</v>
      </c>
      <c r="K182" s="20" t="s">
        <v>28</v>
      </c>
      <c r="L182" s="20" t="s">
        <v>3946</v>
      </c>
      <c r="M182" s="20" t="s">
        <v>261</v>
      </c>
      <c r="N182" s="22" t="s">
        <v>250</v>
      </c>
      <c r="O182" s="20" t="s">
        <v>3834</v>
      </c>
      <c r="P182" s="20" t="s">
        <v>148</v>
      </c>
      <c r="Q182" s="20" t="s">
        <v>149</v>
      </c>
      <c r="R182" s="20" t="s">
        <v>337</v>
      </c>
      <c r="S182" s="20" t="s">
        <v>32</v>
      </c>
      <c r="T182" s="20" t="s">
        <v>281</v>
      </c>
      <c r="U182" s="20" t="s">
        <v>3947</v>
      </c>
      <c r="V182" s="21"/>
      <c r="W182" s="21">
        <v>46268</v>
      </c>
      <c r="X182" s="20" t="s">
        <v>3836</v>
      </c>
      <c r="Y182" s="21">
        <v>46268</v>
      </c>
      <c r="Z182" s="20" t="s">
        <v>226</v>
      </c>
    </row>
    <row r="183" spans="1:26" x14ac:dyDescent="0.25">
      <c r="A183" s="9">
        <f t="shared" si="2"/>
        <v>176</v>
      </c>
      <c r="B183" s="19" t="s">
        <v>3842</v>
      </c>
      <c r="C183" s="20" t="s">
        <v>3829</v>
      </c>
      <c r="D183" s="20" t="s">
        <v>3948</v>
      </c>
      <c r="E183" s="20" t="s">
        <v>3949</v>
      </c>
      <c r="F183" s="20" t="s">
        <v>3949</v>
      </c>
      <c r="G183" s="20" t="s">
        <v>194</v>
      </c>
      <c r="H183" s="20" t="s">
        <v>26</v>
      </c>
      <c r="I183" s="21">
        <v>46023</v>
      </c>
      <c r="J183" s="20" t="s">
        <v>52</v>
      </c>
      <c r="K183" s="20" t="s">
        <v>28</v>
      </c>
      <c r="L183" s="20" t="s">
        <v>3950</v>
      </c>
      <c r="M183" s="20" t="s">
        <v>261</v>
      </c>
      <c r="N183" s="22" t="s">
        <v>250</v>
      </c>
      <c r="O183" s="20" t="s">
        <v>3847</v>
      </c>
      <c r="P183" s="20" t="s">
        <v>26</v>
      </c>
      <c r="Q183" s="20" t="s">
        <v>26</v>
      </c>
      <c r="R183" s="20" t="s">
        <v>26</v>
      </c>
      <c r="S183" s="20" t="s">
        <v>32</v>
      </c>
      <c r="T183" s="20" t="s">
        <v>195</v>
      </c>
      <c r="U183" s="20" t="s">
        <v>26</v>
      </c>
      <c r="V183" s="21"/>
      <c r="W183" s="21">
        <v>46023</v>
      </c>
      <c r="X183" s="20" t="s">
        <v>3951</v>
      </c>
      <c r="Y183" s="21">
        <v>46387</v>
      </c>
      <c r="Z183" s="20" t="s">
        <v>226</v>
      </c>
    </row>
    <row r="184" spans="1:26" x14ac:dyDescent="0.25">
      <c r="A184" s="9">
        <f t="shared" si="2"/>
        <v>177</v>
      </c>
      <c r="B184" s="19" t="s">
        <v>4270</v>
      </c>
      <c r="C184" s="20" t="s">
        <v>4283</v>
      </c>
      <c r="D184" s="20" t="s">
        <v>4313</v>
      </c>
      <c r="E184" s="20" t="s">
        <v>4314</v>
      </c>
      <c r="F184" s="20" t="s">
        <v>4315</v>
      </c>
      <c r="G184" s="20" t="s">
        <v>25</v>
      </c>
      <c r="H184" s="20" t="s">
        <v>26</v>
      </c>
      <c r="I184" s="21">
        <v>46299</v>
      </c>
      <c r="J184" s="20" t="s">
        <v>36</v>
      </c>
      <c r="K184" s="20" t="s">
        <v>28</v>
      </c>
      <c r="L184" s="20" t="s">
        <v>4316</v>
      </c>
      <c r="M184" s="20" t="s">
        <v>261</v>
      </c>
      <c r="N184" s="22" t="s">
        <v>250</v>
      </c>
      <c r="O184" s="20" t="s">
        <v>3847</v>
      </c>
      <c r="P184" s="20" t="s">
        <v>148</v>
      </c>
      <c r="Q184" s="20" t="s">
        <v>149</v>
      </c>
      <c r="R184" s="20" t="s">
        <v>26</v>
      </c>
      <c r="S184" s="20" t="s">
        <v>32</v>
      </c>
      <c r="T184" s="20" t="s">
        <v>195</v>
      </c>
      <c r="U184" s="20" t="s">
        <v>4317</v>
      </c>
      <c r="V184" s="21"/>
      <c r="W184" s="21">
        <v>46299</v>
      </c>
      <c r="X184" s="20" t="s">
        <v>3836</v>
      </c>
      <c r="Y184" s="21">
        <v>46300</v>
      </c>
      <c r="Z184" s="20" t="s">
        <v>4032</v>
      </c>
    </row>
    <row r="185" spans="1:26" x14ac:dyDescent="0.25">
      <c r="A185" s="9">
        <f t="shared" si="2"/>
        <v>178</v>
      </c>
      <c r="B185" s="19" t="s">
        <v>4270</v>
      </c>
      <c r="C185" s="20" t="s">
        <v>4283</v>
      </c>
      <c r="D185" s="20" t="s">
        <v>4318</v>
      </c>
      <c r="E185" s="20" t="s">
        <v>4314</v>
      </c>
      <c r="F185" s="20" t="s">
        <v>4315</v>
      </c>
      <c r="G185" s="20" t="s">
        <v>25</v>
      </c>
      <c r="H185" s="20" t="s">
        <v>26</v>
      </c>
      <c r="I185" s="21">
        <v>46299</v>
      </c>
      <c r="J185" s="20" t="s">
        <v>2903</v>
      </c>
      <c r="K185" s="20" t="s">
        <v>58</v>
      </c>
      <c r="L185" s="20" t="s">
        <v>4316</v>
      </c>
      <c r="M185" s="20" t="s">
        <v>261</v>
      </c>
      <c r="N185" s="22" t="s">
        <v>250</v>
      </c>
      <c r="O185" s="20" t="s">
        <v>3847</v>
      </c>
      <c r="P185" s="20" t="s">
        <v>148</v>
      </c>
      <c r="Q185" s="20" t="s">
        <v>149</v>
      </c>
      <c r="R185" s="20" t="s">
        <v>26</v>
      </c>
      <c r="S185" s="20" t="s">
        <v>32</v>
      </c>
      <c r="T185" s="20" t="s">
        <v>195</v>
      </c>
      <c r="U185" s="20" t="s">
        <v>4317</v>
      </c>
      <c r="V185" s="21"/>
      <c r="W185" s="21">
        <v>46299</v>
      </c>
      <c r="X185" s="20" t="s">
        <v>3836</v>
      </c>
      <c r="Y185" s="21">
        <v>46300</v>
      </c>
      <c r="Z185" s="20" t="s">
        <v>4032</v>
      </c>
    </row>
    <row r="186" spans="1:26" x14ac:dyDescent="0.25">
      <c r="A186" s="9">
        <f t="shared" si="2"/>
        <v>179</v>
      </c>
      <c r="B186" s="19" t="s">
        <v>3842</v>
      </c>
      <c r="C186" s="20" t="s">
        <v>3829</v>
      </c>
      <c r="D186" s="20" t="s">
        <v>3952</v>
      </c>
      <c r="E186" s="20" t="s">
        <v>3953</v>
      </c>
      <c r="F186" s="20" t="s">
        <v>3953</v>
      </c>
      <c r="G186" s="20" t="s">
        <v>194</v>
      </c>
      <c r="H186" s="20" t="s">
        <v>26</v>
      </c>
      <c r="I186" s="21">
        <v>46023</v>
      </c>
      <c r="J186" s="20" t="s">
        <v>36</v>
      </c>
      <c r="K186" s="20" t="s">
        <v>28</v>
      </c>
      <c r="L186" s="20" t="s">
        <v>3954</v>
      </c>
      <c r="M186" s="20" t="s">
        <v>681</v>
      </c>
      <c r="N186" s="22" t="s">
        <v>250</v>
      </c>
      <c r="O186" s="20" t="s">
        <v>3847</v>
      </c>
      <c r="P186" s="20" t="s">
        <v>26</v>
      </c>
      <c r="Q186" s="20" t="s">
        <v>26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46023</v>
      </c>
      <c r="X186" s="20" t="s">
        <v>3955</v>
      </c>
      <c r="Y186" s="21">
        <v>46387</v>
      </c>
      <c r="Z186" s="20" t="s">
        <v>226</v>
      </c>
    </row>
    <row r="187" spans="1:26" x14ac:dyDescent="0.25">
      <c r="A187" s="9">
        <f t="shared" si="2"/>
        <v>180</v>
      </c>
      <c r="B187" s="19" t="s">
        <v>3893</v>
      </c>
      <c r="C187" s="20" t="s">
        <v>3829</v>
      </c>
      <c r="D187" s="20" t="s">
        <v>3956</v>
      </c>
      <c r="E187" s="20" t="s">
        <v>3957</v>
      </c>
      <c r="F187" s="20" t="s">
        <v>3957</v>
      </c>
      <c r="G187" s="20" t="s">
        <v>194</v>
      </c>
      <c r="H187" s="20" t="s">
        <v>26</v>
      </c>
      <c r="I187" s="21">
        <v>46290</v>
      </c>
      <c r="J187" s="20" t="s">
        <v>52</v>
      </c>
      <c r="K187" s="20" t="s">
        <v>28</v>
      </c>
      <c r="L187" s="20" t="s">
        <v>3958</v>
      </c>
      <c r="M187" s="20" t="s">
        <v>681</v>
      </c>
      <c r="N187" s="22" t="s">
        <v>250</v>
      </c>
      <c r="O187" s="20" t="s">
        <v>3847</v>
      </c>
      <c r="P187" s="20" t="s">
        <v>26</v>
      </c>
      <c r="Q187" s="20" t="s">
        <v>26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/>
      <c r="W187" s="21">
        <v>46290</v>
      </c>
      <c r="X187" s="20" t="s">
        <v>3836</v>
      </c>
      <c r="Y187" s="21">
        <v>46290</v>
      </c>
      <c r="Z187" s="20" t="s">
        <v>226</v>
      </c>
    </row>
    <row r="188" spans="1:26" x14ac:dyDescent="0.25">
      <c r="A188" s="9">
        <f t="shared" si="2"/>
        <v>181</v>
      </c>
      <c r="B188" s="19" t="s">
        <v>3893</v>
      </c>
      <c r="C188" s="20" t="s">
        <v>3829</v>
      </c>
      <c r="D188" s="20" t="s">
        <v>3959</v>
      </c>
      <c r="E188" s="20" t="s">
        <v>3960</v>
      </c>
      <c r="F188" s="20" t="s">
        <v>3960</v>
      </c>
      <c r="G188" s="20" t="s">
        <v>194</v>
      </c>
      <c r="H188" s="20" t="s">
        <v>26</v>
      </c>
      <c r="I188" s="21">
        <v>46290</v>
      </c>
      <c r="J188" s="20" t="s">
        <v>52</v>
      </c>
      <c r="K188" s="20" t="s">
        <v>28</v>
      </c>
      <c r="L188" s="20" t="s">
        <v>3958</v>
      </c>
      <c r="M188" s="20" t="s">
        <v>681</v>
      </c>
      <c r="N188" s="22" t="s">
        <v>250</v>
      </c>
      <c r="O188" s="20" t="s">
        <v>3847</v>
      </c>
      <c r="P188" s="20" t="s">
        <v>26</v>
      </c>
      <c r="Q188" s="20" t="s">
        <v>26</v>
      </c>
      <c r="R188" s="20" t="s">
        <v>26</v>
      </c>
      <c r="S188" s="20" t="s">
        <v>32</v>
      </c>
      <c r="T188" s="20" t="s">
        <v>195</v>
      </c>
      <c r="U188" s="20" t="s">
        <v>26</v>
      </c>
      <c r="V188" s="21"/>
      <c r="W188" s="21">
        <v>46290</v>
      </c>
      <c r="X188" s="20" t="s">
        <v>3836</v>
      </c>
      <c r="Y188" s="21">
        <v>46290</v>
      </c>
      <c r="Z188" s="20" t="s">
        <v>226</v>
      </c>
    </row>
    <row r="189" spans="1:26" x14ac:dyDescent="0.25">
      <c r="A189" s="9">
        <f t="shared" si="2"/>
        <v>182</v>
      </c>
      <c r="B189" s="19" t="s">
        <v>4249</v>
      </c>
      <c r="C189" s="20" t="s">
        <v>3829</v>
      </c>
      <c r="D189" s="20" t="s">
        <v>4319</v>
      </c>
      <c r="E189" s="20" t="s">
        <v>4320</v>
      </c>
      <c r="F189" s="20" t="s">
        <v>4321</v>
      </c>
      <c r="G189" s="20" t="s">
        <v>25</v>
      </c>
      <c r="H189" s="20" t="s">
        <v>26</v>
      </c>
      <c r="I189" s="21">
        <v>46297</v>
      </c>
      <c r="J189" s="20" t="s">
        <v>52</v>
      </c>
      <c r="K189" s="20" t="s">
        <v>28</v>
      </c>
      <c r="L189" s="20" t="s">
        <v>4322</v>
      </c>
      <c r="M189" s="20" t="s">
        <v>681</v>
      </c>
      <c r="N189" s="22" t="s">
        <v>250</v>
      </c>
      <c r="O189" s="20" t="s">
        <v>3847</v>
      </c>
      <c r="P189" s="20" t="s">
        <v>148</v>
      </c>
      <c r="Q189" s="20" t="s">
        <v>149</v>
      </c>
      <c r="R189" s="20" t="s">
        <v>4323</v>
      </c>
      <c r="S189" s="20" t="s">
        <v>32</v>
      </c>
      <c r="T189" s="20" t="s">
        <v>195</v>
      </c>
      <c r="U189" s="20" t="s">
        <v>4324</v>
      </c>
      <c r="V189" s="21"/>
      <c r="W189" s="21">
        <v>46297</v>
      </c>
      <c r="X189" s="20" t="s">
        <v>3836</v>
      </c>
      <c r="Y189" s="21">
        <v>46297</v>
      </c>
      <c r="Z189" s="20" t="s">
        <v>226</v>
      </c>
    </row>
    <row r="190" spans="1:26" x14ac:dyDescent="0.25">
      <c r="A190" s="9">
        <f t="shared" si="2"/>
        <v>183</v>
      </c>
      <c r="B190" s="19" t="s">
        <v>4249</v>
      </c>
      <c r="C190" s="20" t="s">
        <v>3829</v>
      </c>
      <c r="D190" s="20" t="s">
        <v>4325</v>
      </c>
      <c r="E190" s="20" t="s">
        <v>4326</v>
      </c>
      <c r="F190" s="20" t="s">
        <v>4327</v>
      </c>
      <c r="G190" s="20" t="s">
        <v>273</v>
      </c>
      <c r="H190" s="20" t="s">
        <v>26</v>
      </c>
      <c r="I190" s="21">
        <v>46297</v>
      </c>
      <c r="J190" s="20" t="s">
        <v>82</v>
      </c>
      <c r="K190" s="20" t="s">
        <v>28</v>
      </c>
      <c r="L190" s="20" t="s">
        <v>4328</v>
      </c>
      <c r="M190" s="20" t="s">
        <v>681</v>
      </c>
      <c r="N190" s="22" t="s">
        <v>250</v>
      </c>
      <c r="O190" s="20" t="s">
        <v>3834</v>
      </c>
      <c r="P190" s="20" t="s">
        <v>41</v>
      </c>
      <c r="Q190" s="20" t="s">
        <v>42</v>
      </c>
      <c r="R190" s="20" t="s">
        <v>26</v>
      </c>
      <c r="S190" s="20" t="s">
        <v>32</v>
      </c>
      <c r="T190" s="20" t="s">
        <v>685</v>
      </c>
      <c r="U190" s="20" t="s">
        <v>4329</v>
      </c>
      <c r="V190" s="21"/>
      <c r="W190" s="21">
        <v>46297</v>
      </c>
      <c r="X190" s="20" t="s">
        <v>3836</v>
      </c>
      <c r="Y190" s="21">
        <v>46297</v>
      </c>
      <c r="Z190" s="20" t="s">
        <v>226</v>
      </c>
    </row>
    <row r="191" spans="1:26" x14ac:dyDescent="0.25">
      <c r="A191" s="9">
        <f t="shared" si="2"/>
        <v>184</v>
      </c>
      <c r="B191" s="19" t="s">
        <v>4249</v>
      </c>
      <c r="C191" s="20" t="s">
        <v>3829</v>
      </c>
      <c r="D191" s="20" t="s">
        <v>4330</v>
      </c>
      <c r="E191" s="20" t="s">
        <v>4331</v>
      </c>
      <c r="F191" s="20" t="s">
        <v>4332</v>
      </c>
      <c r="G191" s="20" t="s">
        <v>25</v>
      </c>
      <c r="H191" s="20" t="s">
        <v>26</v>
      </c>
      <c r="I191" s="21">
        <v>46297</v>
      </c>
      <c r="J191" s="20" t="s">
        <v>52</v>
      </c>
      <c r="K191" s="20" t="s">
        <v>28</v>
      </c>
      <c r="L191" s="20" t="s">
        <v>4333</v>
      </c>
      <c r="M191" s="20" t="s">
        <v>681</v>
      </c>
      <c r="N191" s="22" t="s">
        <v>250</v>
      </c>
      <c r="O191" s="20" t="s">
        <v>3847</v>
      </c>
      <c r="P191" s="20" t="s">
        <v>148</v>
      </c>
      <c r="Q191" s="20" t="s">
        <v>149</v>
      </c>
      <c r="R191" s="20" t="s">
        <v>4323</v>
      </c>
      <c r="S191" s="20" t="s">
        <v>32</v>
      </c>
      <c r="T191" s="20" t="s">
        <v>195</v>
      </c>
      <c r="U191" s="20" t="s">
        <v>4334</v>
      </c>
      <c r="V191" s="21"/>
      <c r="W191" s="21">
        <v>46297</v>
      </c>
      <c r="X191" s="20" t="s">
        <v>3836</v>
      </c>
      <c r="Y191" s="21">
        <v>46297</v>
      </c>
      <c r="Z191" s="20" t="s">
        <v>226</v>
      </c>
    </row>
    <row r="192" spans="1:26" x14ac:dyDescent="0.25">
      <c r="A192" s="9">
        <f t="shared" si="2"/>
        <v>185</v>
      </c>
      <c r="B192" s="19" t="s">
        <v>3842</v>
      </c>
      <c r="C192" s="20" t="s">
        <v>3829</v>
      </c>
      <c r="D192" s="20" t="s">
        <v>3961</v>
      </c>
      <c r="E192" s="20" t="s">
        <v>3962</v>
      </c>
      <c r="F192" s="20" t="s">
        <v>3963</v>
      </c>
      <c r="G192" s="20" t="s">
        <v>273</v>
      </c>
      <c r="H192" s="20" t="s">
        <v>26</v>
      </c>
      <c r="I192" s="21">
        <v>46268</v>
      </c>
      <c r="J192" s="20" t="s">
        <v>82</v>
      </c>
      <c r="K192" s="20" t="s">
        <v>28</v>
      </c>
      <c r="L192" s="20" t="s">
        <v>3964</v>
      </c>
      <c r="M192" s="20" t="s">
        <v>270</v>
      </c>
      <c r="N192" s="22" t="s">
        <v>250</v>
      </c>
      <c r="O192" s="20" t="s">
        <v>3834</v>
      </c>
      <c r="P192" s="20" t="s">
        <v>148</v>
      </c>
      <c r="Q192" s="20" t="s">
        <v>149</v>
      </c>
      <c r="R192" s="20" t="s">
        <v>26</v>
      </c>
      <c r="S192" s="20" t="s">
        <v>32</v>
      </c>
      <c r="T192" s="20" t="s">
        <v>281</v>
      </c>
      <c r="U192" s="20" t="s">
        <v>3965</v>
      </c>
      <c r="V192" s="21"/>
      <c r="W192" s="21">
        <v>46268</v>
      </c>
      <c r="X192" s="20" t="s">
        <v>3836</v>
      </c>
      <c r="Y192" s="21">
        <v>46268</v>
      </c>
      <c r="Z192" s="20" t="s">
        <v>226</v>
      </c>
    </row>
    <row r="193" spans="1:26" x14ac:dyDescent="0.25">
      <c r="A193" s="9">
        <f t="shared" si="2"/>
        <v>186</v>
      </c>
      <c r="B193" s="19" t="s">
        <v>3842</v>
      </c>
      <c r="C193" s="20" t="s">
        <v>3829</v>
      </c>
      <c r="D193" s="20" t="s">
        <v>3966</v>
      </c>
      <c r="E193" s="20" t="s">
        <v>3962</v>
      </c>
      <c r="F193" s="20" t="s">
        <v>3963</v>
      </c>
      <c r="G193" s="20" t="s">
        <v>273</v>
      </c>
      <c r="H193" s="20" t="s">
        <v>26</v>
      </c>
      <c r="I193" s="21">
        <v>46268</v>
      </c>
      <c r="J193" s="20" t="s">
        <v>82</v>
      </c>
      <c r="K193" s="20" t="s">
        <v>58</v>
      </c>
      <c r="L193" s="20" t="s">
        <v>3964</v>
      </c>
      <c r="M193" s="20" t="s">
        <v>270</v>
      </c>
      <c r="N193" s="22" t="s">
        <v>250</v>
      </c>
      <c r="O193" s="20" t="s">
        <v>3834</v>
      </c>
      <c r="P193" s="20" t="s">
        <v>148</v>
      </c>
      <c r="Q193" s="20" t="s">
        <v>149</v>
      </c>
      <c r="R193" s="20" t="s">
        <v>26</v>
      </c>
      <c r="S193" s="20" t="s">
        <v>32</v>
      </c>
      <c r="T193" s="20" t="s">
        <v>281</v>
      </c>
      <c r="U193" s="20" t="s">
        <v>3965</v>
      </c>
      <c r="V193" s="21"/>
      <c r="W193" s="21">
        <v>46268</v>
      </c>
      <c r="X193" s="20" t="s">
        <v>3836</v>
      </c>
      <c r="Y193" s="21">
        <v>46268</v>
      </c>
      <c r="Z193" s="20" t="s">
        <v>226</v>
      </c>
    </row>
    <row r="194" spans="1:26" x14ac:dyDescent="0.25">
      <c r="A194" s="9">
        <f t="shared" si="2"/>
        <v>187</v>
      </c>
      <c r="B194" s="19" t="s">
        <v>3842</v>
      </c>
      <c r="C194" s="20" t="s">
        <v>3829</v>
      </c>
      <c r="D194" s="20" t="s">
        <v>3967</v>
      </c>
      <c r="E194" s="20" t="s">
        <v>3962</v>
      </c>
      <c r="F194" s="20" t="s">
        <v>3963</v>
      </c>
      <c r="G194" s="20" t="s">
        <v>273</v>
      </c>
      <c r="H194" s="20" t="s">
        <v>26</v>
      </c>
      <c r="I194" s="21">
        <v>46268</v>
      </c>
      <c r="J194" s="20" t="s">
        <v>82</v>
      </c>
      <c r="K194" s="20" t="s">
        <v>59</v>
      </c>
      <c r="L194" s="20" t="s">
        <v>3964</v>
      </c>
      <c r="M194" s="20" t="s">
        <v>270</v>
      </c>
      <c r="N194" s="22" t="s">
        <v>250</v>
      </c>
      <c r="O194" s="20" t="s">
        <v>3834</v>
      </c>
      <c r="P194" s="20" t="s">
        <v>148</v>
      </c>
      <c r="Q194" s="20" t="s">
        <v>149</v>
      </c>
      <c r="R194" s="20" t="s">
        <v>26</v>
      </c>
      <c r="S194" s="20" t="s">
        <v>32</v>
      </c>
      <c r="T194" s="20" t="s">
        <v>281</v>
      </c>
      <c r="U194" s="20" t="s">
        <v>3965</v>
      </c>
      <c r="V194" s="21"/>
      <c r="W194" s="21">
        <v>46268</v>
      </c>
      <c r="X194" s="20" t="s">
        <v>3836</v>
      </c>
      <c r="Y194" s="21">
        <v>46268</v>
      </c>
      <c r="Z194" s="20" t="s">
        <v>226</v>
      </c>
    </row>
    <row r="195" spans="1:26" x14ac:dyDescent="0.25">
      <c r="A195" s="9">
        <f t="shared" si="2"/>
        <v>188</v>
      </c>
      <c r="B195" s="19" t="s">
        <v>3842</v>
      </c>
      <c r="C195" s="20" t="s">
        <v>3829</v>
      </c>
      <c r="D195" s="20" t="s">
        <v>3968</v>
      </c>
      <c r="E195" s="20" t="s">
        <v>3962</v>
      </c>
      <c r="F195" s="20" t="s">
        <v>3963</v>
      </c>
      <c r="G195" s="20" t="s">
        <v>273</v>
      </c>
      <c r="H195" s="20" t="s">
        <v>26</v>
      </c>
      <c r="I195" s="21">
        <v>46268</v>
      </c>
      <c r="J195" s="20" t="s">
        <v>82</v>
      </c>
      <c r="K195" s="20" t="s">
        <v>684</v>
      </c>
      <c r="L195" s="20" t="s">
        <v>3964</v>
      </c>
      <c r="M195" s="20" t="s">
        <v>270</v>
      </c>
      <c r="N195" s="22" t="s">
        <v>250</v>
      </c>
      <c r="O195" s="20" t="s">
        <v>3834</v>
      </c>
      <c r="P195" s="20" t="s">
        <v>148</v>
      </c>
      <c r="Q195" s="20" t="s">
        <v>149</v>
      </c>
      <c r="R195" s="20" t="s">
        <v>26</v>
      </c>
      <c r="S195" s="20" t="s">
        <v>32</v>
      </c>
      <c r="T195" s="20" t="s">
        <v>281</v>
      </c>
      <c r="U195" s="20" t="s">
        <v>3965</v>
      </c>
      <c r="V195" s="21"/>
      <c r="W195" s="21">
        <v>46268</v>
      </c>
      <c r="X195" s="20" t="s">
        <v>3836</v>
      </c>
      <c r="Y195" s="21">
        <v>46268</v>
      </c>
      <c r="Z195" s="20" t="s">
        <v>226</v>
      </c>
    </row>
    <row r="196" spans="1:26" x14ac:dyDescent="0.25">
      <c r="A196" s="9">
        <f t="shared" si="2"/>
        <v>189</v>
      </c>
      <c r="B196" s="19" t="s">
        <v>3842</v>
      </c>
      <c r="C196" s="20" t="s">
        <v>3829</v>
      </c>
      <c r="D196" s="20" t="s">
        <v>3969</v>
      </c>
      <c r="E196" s="20" t="s">
        <v>3962</v>
      </c>
      <c r="F196" s="20" t="s">
        <v>3963</v>
      </c>
      <c r="G196" s="20" t="s">
        <v>273</v>
      </c>
      <c r="H196" s="20" t="s">
        <v>26</v>
      </c>
      <c r="I196" s="21">
        <v>46268</v>
      </c>
      <c r="J196" s="20" t="s">
        <v>82</v>
      </c>
      <c r="K196" s="20" t="s">
        <v>557</v>
      </c>
      <c r="L196" s="20" t="s">
        <v>3964</v>
      </c>
      <c r="M196" s="20" t="s">
        <v>270</v>
      </c>
      <c r="N196" s="22" t="s">
        <v>250</v>
      </c>
      <c r="O196" s="20" t="s">
        <v>3834</v>
      </c>
      <c r="P196" s="20" t="s">
        <v>148</v>
      </c>
      <c r="Q196" s="20" t="s">
        <v>149</v>
      </c>
      <c r="R196" s="20" t="s">
        <v>26</v>
      </c>
      <c r="S196" s="20" t="s">
        <v>32</v>
      </c>
      <c r="T196" s="20" t="s">
        <v>281</v>
      </c>
      <c r="U196" s="20" t="s">
        <v>3965</v>
      </c>
      <c r="V196" s="21"/>
      <c r="W196" s="21">
        <v>46268</v>
      </c>
      <c r="X196" s="20" t="s">
        <v>3836</v>
      </c>
      <c r="Y196" s="21">
        <v>46268</v>
      </c>
      <c r="Z196" s="20" t="s">
        <v>226</v>
      </c>
    </row>
    <row r="197" spans="1:26" x14ac:dyDescent="0.25">
      <c r="A197" s="9">
        <f t="shared" si="2"/>
        <v>190</v>
      </c>
      <c r="B197" s="19" t="s">
        <v>3970</v>
      </c>
      <c r="C197" s="20" t="s">
        <v>3829</v>
      </c>
      <c r="D197" s="20" t="s">
        <v>3971</v>
      </c>
      <c r="E197" s="20" t="s">
        <v>3972</v>
      </c>
      <c r="F197" s="20" t="s">
        <v>3973</v>
      </c>
      <c r="G197" s="20" t="s">
        <v>273</v>
      </c>
      <c r="H197" s="20" t="s">
        <v>26</v>
      </c>
      <c r="I197" s="21">
        <v>46290</v>
      </c>
      <c r="J197" s="20" t="s">
        <v>82</v>
      </c>
      <c r="K197" s="20" t="s">
        <v>28</v>
      </c>
      <c r="L197" s="20" t="s">
        <v>3974</v>
      </c>
      <c r="M197" s="20" t="s">
        <v>270</v>
      </c>
      <c r="N197" s="22" t="s">
        <v>250</v>
      </c>
      <c r="O197" s="20" t="s">
        <v>3834</v>
      </c>
      <c r="P197" s="20" t="s">
        <v>148</v>
      </c>
      <c r="Q197" s="20" t="s">
        <v>149</v>
      </c>
      <c r="R197" s="20" t="s">
        <v>337</v>
      </c>
      <c r="S197" s="20" t="s">
        <v>32</v>
      </c>
      <c r="T197" s="20" t="s">
        <v>281</v>
      </c>
      <c r="U197" s="20" t="s">
        <v>3975</v>
      </c>
      <c r="V197" s="21"/>
      <c r="W197" s="21">
        <v>46290</v>
      </c>
      <c r="X197" s="20" t="s">
        <v>3836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4335</v>
      </c>
      <c r="C198" s="20" t="s">
        <v>3829</v>
      </c>
      <c r="D198" s="20" t="s">
        <v>4336</v>
      </c>
      <c r="E198" s="20" t="s">
        <v>4337</v>
      </c>
      <c r="F198" s="20" t="s">
        <v>4338</v>
      </c>
      <c r="G198" s="20" t="s">
        <v>25</v>
      </c>
      <c r="H198" s="20" t="s">
        <v>26</v>
      </c>
      <c r="I198" s="21">
        <v>46290</v>
      </c>
      <c r="J198" s="20" t="s">
        <v>82</v>
      </c>
      <c r="K198" s="20" t="s">
        <v>28</v>
      </c>
      <c r="L198" s="20" t="s">
        <v>4339</v>
      </c>
      <c r="M198" s="20" t="s">
        <v>270</v>
      </c>
      <c r="N198" s="22" t="s">
        <v>250</v>
      </c>
      <c r="O198" s="20" t="s">
        <v>3847</v>
      </c>
      <c r="P198" s="20" t="s">
        <v>148</v>
      </c>
      <c r="Q198" s="20" t="s">
        <v>149</v>
      </c>
      <c r="R198" s="20" t="s">
        <v>126</v>
      </c>
      <c r="S198" s="20" t="s">
        <v>32</v>
      </c>
      <c r="T198" s="20" t="s">
        <v>281</v>
      </c>
      <c r="U198" s="20" t="s">
        <v>4311</v>
      </c>
      <c r="V198" s="21"/>
      <c r="W198" s="21">
        <v>46290</v>
      </c>
      <c r="X198" s="20" t="s">
        <v>3836</v>
      </c>
      <c r="Y198" s="21">
        <v>46290</v>
      </c>
      <c r="Z198" s="20" t="s">
        <v>226</v>
      </c>
    </row>
    <row r="199" spans="1:26" x14ac:dyDescent="0.25">
      <c r="A199" s="9">
        <f t="shared" si="2"/>
        <v>192</v>
      </c>
      <c r="B199" s="19" t="s">
        <v>4270</v>
      </c>
      <c r="C199" s="20" t="s">
        <v>4271</v>
      </c>
      <c r="D199" s="20" t="s">
        <v>4340</v>
      </c>
      <c r="E199" s="20" t="s">
        <v>4341</v>
      </c>
      <c r="F199" s="20" t="s">
        <v>4342</v>
      </c>
      <c r="G199" s="20" t="s">
        <v>25</v>
      </c>
      <c r="H199" s="20" t="s">
        <v>26</v>
      </c>
      <c r="I199" s="21">
        <v>46299</v>
      </c>
      <c r="J199" s="20" t="s">
        <v>36</v>
      </c>
      <c r="K199" s="20" t="s">
        <v>28</v>
      </c>
      <c r="L199" s="20" t="s">
        <v>4316</v>
      </c>
      <c r="M199" s="20" t="s">
        <v>270</v>
      </c>
      <c r="N199" s="22" t="s">
        <v>250</v>
      </c>
      <c r="O199" s="20" t="s">
        <v>3847</v>
      </c>
      <c r="P199" s="20" t="s">
        <v>148</v>
      </c>
      <c r="Q199" s="20" t="s">
        <v>149</v>
      </c>
      <c r="R199" s="20" t="s">
        <v>26</v>
      </c>
      <c r="S199" s="20" t="s">
        <v>32</v>
      </c>
      <c r="T199" s="20" t="s">
        <v>195</v>
      </c>
      <c r="U199" s="20" t="s">
        <v>4317</v>
      </c>
      <c r="V199" s="21"/>
      <c r="W199" s="21">
        <v>46299</v>
      </c>
      <c r="X199" s="20" t="s">
        <v>3836</v>
      </c>
      <c r="Y199" s="21">
        <v>46300</v>
      </c>
      <c r="Z199" s="20" t="s">
        <v>4032</v>
      </c>
    </row>
    <row r="200" spans="1:26" x14ac:dyDescent="0.25">
      <c r="A200" s="9">
        <f t="shared" si="2"/>
        <v>193</v>
      </c>
      <c r="B200" s="19" t="s">
        <v>4270</v>
      </c>
      <c r="C200" s="20" t="s">
        <v>4271</v>
      </c>
      <c r="D200" s="20" t="s">
        <v>4343</v>
      </c>
      <c r="E200" s="20" t="s">
        <v>4341</v>
      </c>
      <c r="F200" s="20" t="s">
        <v>4342</v>
      </c>
      <c r="G200" s="20" t="s">
        <v>25</v>
      </c>
      <c r="H200" s="20" t="s">
        <v>26</v>
      </c>
      <c r="I200" s="21">
        <v>46299</v>
      </c>
      <c r="J200" s="20" t="s">
        <v>2903</v>
      </c>
      <c r="K200" s="20" t="s">
        <v>58</v>
      </c>
      <c r="L200" s="20" t="s">
        <v>4316</v>
      </c>
      <c r="M200" s="20" t="s">
        <v>270</v>
      </c>
      <c r="N200" s="22" t="s">
        <v>250</v>
      </c>
      <c r="O200" s="20" t="s">
        <v>3847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195</v>
      </c>
      <c r="U200" s="20" t="s">
        <v>4317</v>
      </c>
      <c r="V200" s="21"/>
      <c r="W200" s="21">
        <v>46299</v>
      </c>
      <c r="X200" s="20" t="s">
        <v>3836</v>
      </c>
      <c r="Y200" s="21">
        <v>46300</v>
      </c>
      <c r="Z200" s="20" t="s">
        <v>4032</v>
      </c>
    </row>
    <row r="201" spans="1:26" x14ac:dyDescent="0.25">
      <c r="A201" s="9">
        <f t="shared" si="2"/>
        <v>194</v>
      </c>
      <c r="B201" s="19" t="s">
        <v>3893</v>
      </c>
      <c r="C201" s="20" t="s">
        <v>3829</v>
      </c>
      <c r="D201" s="20" t="s">
        <v>3976</v>
      </c>
      <c r="E201" s="20" t="s">
        <v>3977</v>
      </c>
      <c r="F201" s="20" t="s">
        <v>3977</v>
      </c>
      <c r="G201" s="20" t="s">
        <v>194</v>
      </c>
      <c r="H201" s="20" t="s">
        <v>26</v>
      </c>
      <c r="I201" s="21">
        <v>46290</v>
      </c>
      <c r="J201" s="20" t="s">
        <v>82</v>
      </c>
      <c r="K201" s="20" t="s">
        <v>28</v>
      </c>
      <c r="L201" s="20" t="s">
        <v>3978</v>
      </c>
      <c r="M201" s="20" t="s">
        <v>266</v>
      </c>
      <c r="N201" s="22" t="s">
        <v>250</v>
      </c>
      <c r="O201" s="20" t="s">
        <v>3847</v>
      </c>
      <c r="P201" s="20" t="s">
        <v>26</v>
      </c>
      <c r="Q201" s="20" t="s">
        <v>26</v>
      </c>
      <c r="R201" s="20" t="s">
        <v>26</v>
      </c>
      <c r="S201" s="20" t="s">
        <v>32</v>
      </c>
      <c r="T201" s="20" t="s">
        <v>195</v>
      </c>
      <c r="U201" s="20" t="s">
        <v>26</v>
      </c>
      <c r="V201" s="21"/>
      <c r="W201" s="21">
        <v>46290</v>
      </c>
      <c r="X201" s="20" t="s">
        <v>3836</v>
      </c>
      <c r="Y201" s="21">
        <v>46290</v>
      </c>
      <c r="Z201" s="20" t="s">
        <v>226</v>
      </c>
    </row>
    <row r="202" spans="1:26" x14ac:dyDescent="0.25">
      <c r="A202" s="9">
        <f t="shared" ref="A202:A210" si="3">A201+1</f>
        <v>195</v>
      </c>
      <c r="B202" s="19" t="s">
        <v>3893</v>
      </c>
      <c r="C202" s="20" t="s">
        <v>3829</v>
      </c>
      <c r="D202" s="20" t="s">
        <v>3979</v>
      </c>
      <c r="E202" s="20" t="s">
        <v>3977</v>
      </c>
      <c r="F202" s="20" t="s">
        <v>3977</v>
      </c>
      <c r="G202" s="20" t="s">
        <v>194</v>
      </c>
      <c r="H202" s="20" t="s">
        <v>26</v>
      </c>
      <c r="I202" s="21">
        <v>46290</v>
      </c>
      <c r="J202" s="20" t="s">
        <v>82</v>
      </c>
      <c r="K202" s="20" t="s">
        <v>58</v>
      </c>
      <c r="L202" s="20" t="s">
        <v>3978</v>
      </c>
      <c r="M202" s="20" t="s">
        <v>266</v>
      </c>
      <c r="N202" s="22" t="s">
        <v>250</v>
      </c>
      <c r="O202" s="20" t="s">
        <v>3847</v>
      </c>
      <c r="P202" s="20" t="s">
        <v>26</v>
      </c>
      <c r="Q202" s="20" t="s">
        <v>26</v>
      </c>
      <c r="R202" s="20" t="s">
        <v>26</v>
      </c>
      <c r="S202" s="20" t="s">
        <v>32</v>
      </c>
      <c r="T202" s="20" t="s">
        <v>195</v>
      </c>
      <c r="U202" s="20" t="s">
        <v>26</v>
      </c>
      <c r="V202" s="21"/>
      <c r="W202" s="21">
        <v>46290</v>
      </c>
      <c r="X202" s="20" t="s">
        <v>3836</v>
      </c>
      <c r="Y202" s="21">
        <v>46290</v>
      </c>
      <c r="Z202" s="20" t="s">
        <v>226</v>
      </c>
    </row>
    <row r="203" spans="1:26" x14ac:dyDescent="0.25">
      <c r="A203" s="9">
        <f t="shared" si="3"/>
        <v>196</v>
      </c>
      <c r="B203" s="19" t="s">
        <v>3828</v>
      </c>
      <c r="C203" s="20" t="s">
        <v>3829</v>
      </c>
      <c r="D203" s="20" t="s">
        <v>3980</v>
      </c>
      <c r="E203" s="20" t="s">
        <v>3981</v>
      </c>
      <c r="F203" s="20" t="s">
        <v>3982</v>
      </c>
      <c r="G203" s="20" t="s">
        <v>273</v>
      </c>
      <c r="H203" s="20" t="s">
        <v>26</v>
      </c>
      <c r="I203" s="21">
        <v>46295</v>
      </c>
      <c r="J203" s="20" t="s">
        <v>82</v>
      </c>
      <c r="K203" s="20" t="s">
        <v>28</v>
      </c>
      <c r="L203" s="20" t="s">
        <v>3983</v>
      </c>
      <c r="M203" s="20" t="s">
        <v>266</v>
      </c>
      <c r="N203" s="22" t="s">
        <v>250</v>
      </c>
      <c r="O203" s="20" t="s">
        <v>3834</v>
      </c>
      <c r="P203" s="20" t="s">
        <v>148</v>
      </c>
      <c r="Q203" s="20" t="s">
        <v>149</v>
      </c>
      <c r="R203" s="20" t="s">
        <v>337</v>
      </c>
      <c r="S203" s="20" t="s">
        <v>32</v>
      </c>
      <c r="T203" s="20" t="s">
        <v>281</v>
      </c>
      <c r="U203" s="20" t="s">
        <v>3984</v>
      </c>
      <c r="V203" s="21"/>
      <c r="W203" s="21">
        <v>46295</v>
      </c>
      <c r="X203" s="20" t="s">
        <v>3836</v>
      </c>
      <c r="Y203" s="21">
        <v>46295</v>
      </c>
      <c r="Z203" s="20" t="s">
        <v>226</v>
      </c>
    </row>
    <row r="204" spans="1:26" x14ac:dyDescent="0.25">
      <c r="A204" s="9">
        <f t="shared" si="3"/>
        <v>197</v>
      </c>
      <c r="B204" s="19" t="s">
        <v>3828</v>
      </c>
      <c r="C204" s="20" t="s">
        <v>3829</v>
      </c>
      <c r="D204" s="20" t="s">
        <v>3985</v>
      </c>
      <c r="E204" s="20" t="s">
        <v>3986</v>
      </c>
      <c r="F204" s="20" t="s">
        <v>3987</v>
      </c>
      <c r="G204" s="20" t="s">
        <v>273</v>
      </c>
      <c r="H204" s="20" t="s">
        <v>26</v>
      </c>
      <c r="I204" s="21">
        <v>46295</v>
      </c>
      <c r="J204" s="20" t="s">
        <v>82</v>
      </c>
      <c r="K204" s="20" t="s">
        <v>28</v>
      </c>
      <c r="L204" s="20" t="s">
        <v>3988</v>
      </c>
      <c r="M204" s="20" t="s">
        <v>266</v>
      </c>
      <c r="N204" s="22" t="s">
        <v>250</v>
      </c>
      <c r="O204" s="20" t="s">
        <v>3834</v>
      </c>
      <c r="P204" s="20" t="s">
        <v>41</v>
      </c>
      <c r="Q204" s="20" t="s">
        <v>42</v>
      </c>
      <c r="R204" s="20" t="s">
        <v>26</v>
      </c>
      <c r="S204" s="20" t="s">
        <v>32</v>
      </c>
      <c r="T204" s="20" t="s">
        <v>685</v>
      </c>
      <c r="U204" s="20" t="s">
        <v>3989</v>
      </c>
      <c r="V204" s="21"/>
      <c r="W204" s="21">
        <v>46295</v>
      </c>
      <c r="X204" s="20" t="s">
        <v>3836</v>
      </c>
      <c r="Y204" s="21">
        <v>46295</v>
      </c>
      <c r="Z204" s="20" t="s">
        <v>226</v>
      </c>
    </row>
    <row r="205" spans="1:26" x14ac:dyDescent="0.25">
      <c r="A205" s="9">
        <f t="shared" si="3"/>
        <v>198</v>
      </c>
      <c r="B205" s="19" t="s">
        <v>4249</v>
      </c>
      <c r="C205" s="20" t="s">
        <v>3829</v>
      </c>
      <c r="D205" s="20" t="s">
        <v>4344</v>
      </c>
      <c r="E205" s="20" t="s">
        <v>4345</v>
      </c>
      <c r="F205" s="20" t="s">
        <v>4346</v>
      </c>
      <c r="G205" s="20" t="s">
        <v>25</v>
      </c>
      <c r="H205" s="20" t="s">
        <v>26</v>
      </c>
      <c r="I205" s="21">
        <v>46297</v>
      </c>
      <c r="J205" s="20" t="s">
        <v>82</v>
      </c>
      <c r="K205" s="20" t="s">
        <v>28</v>
      </c>
      <c r="L205" s="20" t="s">
        <v>4347</v>
      </c>
      <c r="M205" s="20" t="s">
        <v>266</v>
      </c>
      <c r="N205" s="22" t="s">
        <v>250</v>
      </c>
      <c r="O205" s="20" t="s">
        <v>3847</v>
      </c>
      <c r="P205" s="20" t="s">
        <v>148</v>
      </c>
      <c r="Q205" s="20" t="s">
        <v>149</v>
      </c>
      <c r="R205" s="20" t="s">
        <v>49</v>
      </c>
      <c r="S205" s="20" t="s">
        <v>32</v>
      </c>
      <c r="T205" s="20" t="s">
        <v>195</v>
      </c>
      <c r="U205" s="20" t="s">
        <v>4348</v>
      </c>
      <c r="V205" s="21"/>
      <c r="W205" s="21">
        <v>46297</v>
      </c>
      <c r="X205" s="20" t="s">
        <v>3836</v>
      </c>
      <c r="Y205" s="21">
        <v>46297</v>
      </c>
      <c r="Z205" s="20" t="s">
        <v>226</v>
      </c>
    </row>
    <row r="206" spans="1:26" x14ac:dyDescent="0.25">
      <c r="A206" s="9">
        <f t="shared" si="3"/>
        <v>199</v>
      </c>
      <c r="B206" s="19" t="s">
        <v>3828</v>
      </c>
      <c r="C206" s="20" t="s">
        <v>3829</v>
      </c>
      <c r="D206" s="20" t="s">
        <v>3990</v>
      </c>
      <c r="E206" s="20" t="s">
        <v>3991</v>
      </c>
      <c r="F206" s="20" t="s">
        <v>3992</v>
      </c>
      <c r="G206" s="20" t="s">
        <v>25</v>
      </c>
      <c r="H206" s="20" t="s">
        <v>26</v>
      </c>
      <c r="I206" s="21">
        <v>46295</v>
      </c>
      <c r="J206" s="20" t="s">
        <v>82</v>
      </c>
      <c r="K206" s="20" t="s">
        <v>28</v>
      </c>
      <c r="L206" s="20" t="s">
        <v>3993</v>
      </c>
      <c r="M206" s="20" t="s">
        <v>3818</v>
      </c>
      <c r="N206" s="22" t="s">
        <v>250</v>
      </c>
      <c r="O206" s="20" t="s">
        <v>3847</v>
      </c>
      <c r="P206" s="20" t="s">
        <v>148</v>
      </c>
      <c r="Q206" s="20" t="s">
        <v>149</v>
      </c>
      <c r="R206" s="20" t="s">
        <v>337</v>
      </c>
      <c r="S206" s="20" t="s">
        <v>32</v>
      </c>
      <c r="T206" s="20" t="s">
        <v>195</v>
      </c>
      <c r="U206" s="20" t="s">
        <v>3994</v>
      </c>
      <c r="V206" s="21">
        <v>46268</v>
      </c>
      <c r="W206" s="21">
        <v>46295</v>
      </c>
      <c r="X206" s="20" t="s">
        <v>3836</v>
      </c>
      <c r="Y206" s="21">
        <v>46295</v>
      </c>
      <c r="Z206" s="20" t="s">
        <v>226</v>
      </c>
    </row>
    <row r="207" spans="1:26" x14ac:dyDescent="0.25">
      <c r="A207" s="9">
        <f t="shared" si="3"/>
        <v>200</v>
      </c>
      <c r="B207" s="19" t="s">
        <v>3842</v>
      </c>
      <c r="C207" s="20" t="s">
        <v>3829</v>
      </c>
      <c r="D207" s="20" t="s">
        <v>3995</v>
      </c>
      <c r="E207" s="20" t="s">
        <v>3996</v>
      </c>
      <c r="F207" s="20" t="s">
        <v>3997</v>
      </c>
      <c r="G207" s="20" t="s">
        <v>273</v>
      </c>
      <c r="H207" s="20" t="s">
        <v>26</v>
      </c>
      <c r="I207" s="21">
        <v>46268</v>
      </c>
      <c r="J207" s="20" t="s">
        <v>82</v>
      </c>
      <c r="K207" s="20" t="s">
        <v>28</v>
      </c>
      <c r="L207" s="20" t="s">
        <v>3998</v>
      </c>
      <c r="M207" s="20" t="s">
        <v>3823</v>
      </c>
      <c r="N207" s="22" t="s">
        <v>250</v>
      </c>
      <c r="O207" s="20" t="s">
        <v>3834</v>
      </c>
      <c r="P207" s="20" t="s">
        <v>148</v>
      </c>
      <c r="Q207" s="20" t="s">
        <v>149</v>
      </c>
      <c r="R207" s="20" t="s">
        <v>26</v>
      </c>
      <c r="S207" s="20" t="s">
        <v>32</v>
      </c>
      <c r="T207" s="20" t="s">
        <v>685</v>
      </c>
      <c r="U207" s="20" t="s">
        <v>3999</v>
      </c>
      <c r="V207" s="21">
        <v>46272</v>
      </c>
      <c r="W207" s="21">
        <v>46268</v>
      </c>
      <c r="X207" s="20" t="s">
        <v>3836</v>
      </c>
      <c r="Y207" s="21">
        <v>46268</v>
      </c>
      <c r="Z207" s="20" t="s">
        <v>226</v>
      </c>
    </row>
    <row r="208" spans="1:26" x14ac:dyDescent="0.25">
      <c r="A208" s="9">
        <f t="shared" si="3"/>
        <v>201</v>
      </c>
      <c r="B208" s="19" t="s">
        <v>3842</v>
      </c>
      <c r="C208" s="20" t="s">
        <v>3829</v>
      </c>
      <c r="D208" s="20" t="s">
        <v>4000</v>
      </c>
      <c r="E208" s="20" t="s">
        <v>3996</v>
      </c>
      <c r="F208" s="20" t="s">
        <v>3997</v>
      </c>
      <c r="G208" s="20" t="s">
        <v>273</v>
      </c>
      <c r="H208" s="20" t="s">
        <v>26</v>
      </c>
      <c r="I208" s="21">
        <v>46268</v>
      </c>
      <c r="J208" s="20" t="s">
        <v>27</v>
      </c>
      <c r="K208" s="20" t="s">
        <v>58</v>
      </c>
      <c r="L208" s="20" t="s">
        <v>3998</v>
      </c>
      <c r="M208" s="20" t="s">
        <v>3823</v>
      </c>
      <c r="N208" s="22" t="s">
        <v>250</v>
      </c>
      <c r="O208" s="20" t="s">
        <v>3834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3999</v>
      </c>
      <c r="V208" s="21">
        <v>46272</v>
      </c>
      <c r="W208" s="21">
        <v>46268</v>
      </c>
      <c r="X208" s="20" t="s">
        <v>3836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4270</v>
      </c>
      <c r="C209" s="20" t="s">
        <v>4271</v>
      </c>
      <c r="D209" s="20" t="s">
        <v>4349</v>
      </c>
      <c r="E209" s="20" t="s">
        <v>4350</v>
      </c>
      <c r="F209" s="20" t="s">
        <v>4351</v>
      </c>
      <c r="G209" s="20" t="s">
        <v>273</v>
      </c>
      <c r="H209" s="20" t="s">
        <v>26</v>
      </c>
      <c r="I209" s="21">
        <v>46102</v>
      </c>
      <c r="J209" s="20" t="s">
        <v>4352</v>
      </c>
      <c r="K209" s="20" t="s">
        <v>28</v>
      </c>
      <c r="L209" s="20" t="s">
        <v>4353</v>
      </c>
      <c r="M209" s="20" t="s">
        <v>4354</v>
      </c>
      <c r="N209" s="22" t="s">
        <v>250</v>
      </c>
      <c r="O209" s="20" t="s">
        <v>3834</v>
      </c>
      <c r="P209" s="20" t="s">
        <v>214</v>
      </c>
      <c r="Q209" s="20" t="s">
        <v>215</v>
      </c>
      <c r="R209" s="20" t="s">
        <v>26</v>
      </c>
      <c r="S209" s="20" t="s">
        <v>255</v>
      </c>
      <c r="T209" s="20" t="s">
        <v>685</v>
      </c>
      <c r="U209" s="20" t="s">
        <v>4355</v>
      </c>
      <c r="V209" s="21"/>
      <c r="W209" s="21">
        <v>46102</v>
      </c>
      <c r="X209" s="20" t="s">
        <v>34</v>
      </c>
      <c r="Y209" s="21">
        <v>46282</v>
      </c>
      <c r="Z209" s="20" t="s">
        <v>34</v>
      </c>
    </row>
    <row r="210" spans="1:26" x14ac:dyDescent="0.25">
      <c r="A210" s="9">
        <f t="shared" si="3"/>
        <v>203</v>
      </c>
      <c r="B210" s="19" t="s">
        <v>4270</v>
      </c>
      <c r="C210" s="20" t="s">
        <v>3829</v>
      </c>
      <c r="D210" s="20" t="s">
        <v>4356</v>
      </c>
      <c r="E210" s="20" t="s">
        <v>4357</v>
      </c>
      <c r="F210" s="20" t="s">
        <v>4358</v>
      </c>
      <c r="G210" s="20" t="s">
        <v>25</v>
      </c>
      <c r="H210" s="20" t="s">
        <v>26</v>
      </c>
      <c r="I210" s="21">
        <v>46266</v>
      </c>
      <c r="J210" s="20" t="s">
        <v>4323</v>
      </c>
      <c r="K210" s="20" t="s">
        <v>28</v>
      </c>
      <c r="L210" s="20" t="s">
        <v>4359</v>
      </c>
      <c r="M210" s="20" t="s">
        <v>4354</v>
      </c>
      <c r="N210" s="22" t="s">
        <v>250</v>
      </c>
      <c r="O210" s="20" t="s">
        <v>3847</v>
      </c>
      <c r="P210" s="20" t="s">
        <v>214</v>
      </c>
      <c r="Q210" s="20" t="s">
        <v>215</v>
      </c>
      <c r="R210" s="20" t="s">
        <v>2505</v>
      </c>
      <c r="S210" s="20" t="s">
        <v>255</v>
      </c>
      <c r="T210" s="20" t="s">
        <v>195</v>
      </c>
      <c r="U210" s="20" t="s">
        <v>4360</v>
      </c>
      <c r="V210" s="21"/>
      <c r="W210" s="21">
        <v>46266</v>
      </c>
      <c r="X210" s="20" t="s">
        <v>34</v>
      </c>
      <c r="Y210" s="21">
        <v>46326</v>
      </c>
      <c r="Z210" s="20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3002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3005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3007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3008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3009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3010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3011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3012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3013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3014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3015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3016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3017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3018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3019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3020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VLOOKUP(F24,[2]Wait!$H$225:$I$260,2,0)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3021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VLOOKUP(F25,[2]Wait!$H$225:$I$260,2,0)</f>
        <v>#N/A</v>
      </c>
    </row>
    <row r="26" spans="1:29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3022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VLOOKUP(F26,[2]Wait!$H$225:$I$260,2,0)</f>
        <v>#N/A</v>
      </c>
    </row>
    <row r="27" spans="1:29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3023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VLOOKUP(F27,[2]Wait!$H$225:$I$260,2,0)</f>
        <v>#N/A</v>
      </c>
    </row>
    <row r="28" spans="1:29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3024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VLOOKUP(F28,[2]Wait!$H$225:$I$260,2,0)</f>
        <v>#N/A</v>
      </c>
    </row>
    <row r="29" spans="1:29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3025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VLOOKUP(F29,[2]Wait!$H$225:$I$260,2,0)</f>
        <v>#N/A</v>
      </c>
    </row>
    <row r="30" spans="1:29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3026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VLOOKUP(F30,[2]Wait!$H$225:$I$260,2,0)</f>
        <v>#N/A</v>
      </c>
    </row>
    <row r="31" spans="1:29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VLOOKUP(F31,[2]Wait!$H$225:$I$260,2,0)</f>
        <v>#N/A</v>
      </c>
    </row>
    <row r="32" spans="1:29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3028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VLOOKUP(F32,[2]Wait!$H$225:$I$260,2,0)</f>
        <v>#N/A</v>
      </c>
    </row>
    <row r="33" spans="1:27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3029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VLOOKUP(F33,[2]Wait!$H$225:$I$260,2,0)</f>
        <v>#N/A</v>
      </c>
    </row>
    <row r="34" spans="1:27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3029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VLOOKUP(F34,[2]Wait!$H$225:$I$260,2,0)</f>
        <v>#N/A</v>
      </c>
    </row>
    <row r="35" spans="1:27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3030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VLOOKUP(F35,[2]Wait!$H$225:$I$260,2,0)</f>
        <v>#N/A</v>
      </c>
    </row>
    <row r="36" spans="1:27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3031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VLOOKUP(F36,[2]Wait!$H$225:$I$260,2,0)</f>
        <v>#N/A</v>
      </c>
    </row>
    <row r="37" spans="1:27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3031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VLOOKUP(F37,[2]Wait!$H$225:$I$260,2,0)</f>
        <v>#N/A</v>
      </c>
    </row>
    <row r="38" spans="1:27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3032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VLOOKUP(F38,[2]Wait!$H$225:$I$260,2,0)</f>
        <v>#N/A</v>
      </c>
    </row>
    <row r="39" spans="1:27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3033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VLOOKUP(F39,[2]Wait!$H$225:$I$260,2,0)</f>
        <v>#N/A</v>
      </c>
    </row>
    <row r="40" spans="1:27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3034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VLOOKUP(F40,[2]Wait!$H$225:$I$260,2,0)</f>
        <v>#N/A</v>
      </c>
    </row>
    <row r="41" spans="1:27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3035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VLOOKUP(F41,[2]Wait!$H$225:$I$260,2,0)</f>
        <v>#N/A</v>
      </c>
    </row>
    <row r="42" spans="1:27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3036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VLOOKUP(F42,[2]Wait!$H$225:$I$260,2,0)</f>
        <v>#N/A</v>
      </c>
    </row>
    <row r="43" spans="1:27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3037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VLOOKUP(F43,[2]Wait!$H$225:$I$260,2,0)</f>
        <v>#N/A</v>
      </c>
    </row>
    <row r="44" spans="1:27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3038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VLOOKUP(F44,[2]Wait!$H$225:$I$260,2,0)</f>
        <v>#N/A</v>
      </c>
    </row>
    <row r="45" spans="1:27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3039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VLOOKUP(F45,[2]Wait!$H$225:$I$260,2,0)</f>
        <v>#N/A</v>
      </c>
    </row>
    <row r="46" spans="1:27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3040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VLOOKUP(F46,[2]Wait!$H$225:$I$260,2,0)</f>
        <v>#N/A</v>
      </c>
    </row>
    <row r="47" spans="1:27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3041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VLOOKUP(F47,[2]Wait!$H$225:$I$260,2,0)</f>
        <v>#N/A</v>
      </c>
    </row>
    <row r="48" spans="1:27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3042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VLOOKUP(F48,[2]Wait!$H$225:$I$260,2,0)</f>
        <v>#N/A</v>
      </c>
    </row>
    <row r="49" spans="1:27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3043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VLOOKUP(F49,[2]Wait!$H$225:$I$260,2,0)</f>
        <v>#N/A</v>
      </c>
    </row>
    <row r="50" spans="1:27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3044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VLOOKUP(F50,[2]Wait!$H$225:$I$260,2,0)</f>
        <v>#N/A</v>
      </c>
    </row>
    <row r="51" spans="1:27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3045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VLOOKUP(F51,[2]Wait!$H$225:$I$260,2,0)</f>
        <v>#N/A</v>
      </c>
    </row>
    <row r="52" spans="1:27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3046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VLOOKUP(F52,[2]Wait!$H$225:$I$260,2,0)</f>
        <v>#N/A</v>
      </c>
    </row>
    <row r="53" spans="1:27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3047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VLOOKUP(F53,[2]Wait!$H$225:$I$260,2,0)</f>
        <v>#N/A</v>
      </c>
    </row>
    <row r="54" spans="1:27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3048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VLOOKUP(F54,[2]Wait!$H$225:$I$260,2,0)</f>
        <v>#N/A</v>
      </c>
    </row>
    <row r="55" spans="1:27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3049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VLOOKUP(F55,[2]Wait!$H$225:$I$260,2,0)</f>
        <v>#N/A</v>
      </c>
    </row>
    <row r="56" spans="1:27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3050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VLOOKUP(F56,[2]Wait!$H$225:$I$260,2,0)</f>
        <v>#N/A</v>
      </c>
    </row>
    <row r="57" spans="1:27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3051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VLOOKUP(F57,[2]Wait!$H$225:$I$260,2,0)</f>
        <v>#N/A</v>
      </c>
    </row>
    <row r="58" spans="1:27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3052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VLOOKUP(F58,[2]Wait!$H$225:$I$260,2,0)</f>
        <v>#N/A</v>
      </c>
    </row>
    <row r="59" spans="1:27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3053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VLOOKUP(F59,[2]Wait!$H$225:$I$260,2,0)</f>
        <v>#N/A</v>
      </c>
    </row>
    <row r="60" spans="1:27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3054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VLOOKUP(F60,[2]Wait!$H$225:$I$260,2,0)</f>
        <v>#N/A</v>
      </c>
    </row>
    <row r="61" spans="1:27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3055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VLOOKUP(F61,[2]Wait!$H$225:$I$260,2,0)</f>
        <v>#N/A</v>
      </c>
    </row>
    <row r="62" spans="1:27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3056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VLOOKUP(F62,[2]Wait!$H$225:$I$260,2,0)</f>
        <v>#N/A</v>
      </c>
    </row>
    <row r="63" spans="1:27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3057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VLOOKUP(F63,[2]Wait!$H$225:$I$260,2,0)</f>
        <v>#N/A</v>
      </c>
    </row>
    <row r="64" spans="1:27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3058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VLOOKUP(F64,[2]Wait!$H$225:$I$260,2,0)</f>
        <v>#N/A</v>
      </c>
    </row>
    <row r="65" spans="1:29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3059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VLOOKUP(F65,[2]Wait!$H$225:$I$260,2,0)</f>
        <v>#N/A</v>
      </c>
    </row>
    <row r="66" spans="1:29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3060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VLOOKUP(F66,[2]Wait!$H$225:$I$260,2,0)</f>
        <v>#N/A</v>
      </c>
    </row>
    <row r="67" spans="1:29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3060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VLOOKUP(F67,[2]Wait!$H$225:$I$260,2,0)</f>
        <v>#N/A</v>
      </c>
    </row>
    <row r="68" spans="1:29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3060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VLOOKUP(F68,[2]Wait!$H$225:$I$260,2,0)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3061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VLOOKUP(F69,[2]Wait!$H$225:$I$260,2,0)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3062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VLOOKUP(F70,[2]Wait!$H$225:$I$260,2,0)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3063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VLOOKUP(F71,[2]Wait!$H$225:$I$260,2,0)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3064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VLOOKUP(F72,[2]Wait!$H$225:$I$260,2,0)</f>
        <v>#N/A</v>
      </c>
    </row>
    <row r="73" spans="1:29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3065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VLOOKUP(F73,[2]Wait!$H$225:$I$260,2,0)</f>
        <v>#N/A</v>
      </c>
    </row>
    <row r="74" spans="1:29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3066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VLOOKUP(F74,[2]Wait!$H$225:$I$260,2,0)</f>
        <v>#N/A</v>
      </c>
    </row>
    <row r="75" spans="1:29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3067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VLOOKUP(F75,[2]Wait!$H$225:$I$260,2,0)</f>
        <v>#N/A</v>
      </c>
    </row>
    <row r="76" spans="1:29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3068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VLOOKUP(F76,[2]Wait!$H$225:$I$260,2,0)</f>
        <v>#N/A</v>
      </c>
    </row>
    <row r="77" spans="1:29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3069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VLOOKUP(F77,[2]Wait!$H$225:$I$260,2,0)</f>
        <v>#N/A</v>
      </c>
    </row>
    <row r="78" spans="1:29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3070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VLOOKUP(F78,[2]Wait!$H$225:$I$260,2,0)</f>
        <v>#N/A</v>
      </c>
    </row>
    <row r="79" spans="1:29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3071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VLOOKUP(F79,[2]Wait!$H$225:$I$260,2,0)</f>
        <v>#N/A</v>
      </c>
    </row>
    <row r="80" spans="1:29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3072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VLOOKUP(F80,[2]Wait!$H$225:$I$260,2,0)</f>
        <v>#N/A</v>
      </c>
    </row>
    <row r="81" spans="1:29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3073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VLOOKUP(F81,[2]Wait!$H$225:$I$260,2,0)</f>
        <v>#N/A</v>
      </c>
    </row>
    <row r="82" spans="1:29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3074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VLOOKUP(F82,[2]Wait!$H$225:$I$260,2,0)</f>
        <v>#N/A</v>
      </c>
    </row>
    <row r="83" spans="1:29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3075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VLOOKUP(F83,[2]Wait!$H$225:$I$260,2,0)</f>
        <v>#N/A</v>
      </c>
    </row>
    <row r="84" spans="1:29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VLOOKUP(F84,[2]Wait!$H$225:$I$260,2,0)</f>
        <v>#N/A</v>
      </c>
    </row>
    <row r="85" spans="1:29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1051</v>
      </c>
      <c r="Y85" s="16">
        <v>46279</v>
      </c>
      <c r="Z85" s="15" t="s">
        <v>1052</v>
      </c>
      <c r="AA85" s="17" t="e">
        <f>VLOOKUP(F85,[2]Wait!$H$225:$I$260,2,0)</f>
        <v>#N/A</v>
      </c>
    </row>
    <row r="86" spans="1:29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  <c r="AA86" s="17" t="e">
        <f>VLOOKUP(F86,[2]Wait!$H$225:$I$260,2,0)</f>
        <v>#N/A</v>
      </c>
    </row>
    <row r="87" spans="1:29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  <c r="AA87" s="17" t="e">
        <f>VLOOKUP(F87,[2]Wait!$H$225:$I$260,2,0)</f>
        <v>#N/A</v>
      </c>
    </row>
    <row r="88" spans="1:29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VLOOKUP(F88,[2]Wait!$H$225:$I$260,2,0)</f>
        <v>#N/A</v>
      </c>
    </row>
    <row r="89" spans="1:29" x14ac:dyDescent="0.25">
      <c r="A89" s="23">
        <f t="shared" si="1"/>
        <v>82</v>
      </c>
      <c r="B89" s="15" t="s">
        <v>926</v>
      </c>
      <c r="C89" s="15" t="s">
        <v>927</v>
      </c>
      <c r="D89" s="15" t="s">
        <v>2345</v>
      </c>
      <c r="E89" s="15" t="s">
        <v>2346</v>
      </c>
      <c r="F89" s="15" t="s">
        <v>2346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2347</v>
      </c>
      <c r="M89" s="15" t="s">
        <v>931</v>
      </c>
      <c r="N89" s="15" t="s">
        <v>29</v>
      </c>
      <c r="O89" s="15" t="s">
        <v>1044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VLOOKUP(F89,[2]Wait!$H$225:$I$260,2,0)</f>
        <v>#N/A</v>
      </c>
    </row>
    <row r="90" spans="1:29" x14ac:dyDescent="0.25">
      <c r="A90" s="23">
        <f t="shared" si="1"/>
        <v>83</v>
      </c>
      <c r="B90" s="15" t="s">
        <v>926</v>
      </c>
      <c r="C90" s="15" t="s">
        <v>927</v>
      </c>
      <c r="D90" s="15" t="s">
        <v>2385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2386</v>
      </c>
      <c r="M90" s="15" t="s">
        <v>1059</v>
      </c>
      <c r="N90" s="15" t="s">
        <v>29</v>
      </c>
      <c r="O90" s="15" t="s">
        <v>949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2387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VLOOKUP(F90,[2]Wait!$H$225:$I$260,2,0)</f>
        <v>#N/A</v>
      </c>
    </row>
    <row r="91" spans="1:29" x14ac:dyDescent="0.25">
      <c r="A91" s="23">
        <f t="shared" si="1"/>
        <v>84</v>
      </c>
      <c r="B91" s="15" t="s">
        <v>926</v>
      </c>
      <c r="C91" s="15" t="s">
        <v>927</v>
      </c>
      <c r="D91" s="15" t="s">
        <v>2391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2392</v>
      </c>
      <c r="M91" s="15" t="s">
        <v>1059</v>
      </c>
      <c r="N91" s="15" t="s">
        <v>29</v>
      </c>
      <c r="O91" s="15" t="s">
        <v>946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2393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VLOOKUP(F91,[2]Wait!$H$225:$I$260,2,0)</f>
        <v>#N/A</v>
      </c>
    </row>
    <row r="92" spans="1:29" x14ac:dyDescent="0.25">
      <c r="A92" s="23">
        <f t="shared" si="1"/>
        <v>85</v>
      </c>
      <c r="B92" s="15" t="s">
        <v>926</v>
      </c>
      <c r="C92" s="15" t="s">
        <v>927</v>
      </c>
      <c r="D92" s="15" t="s">
        <v>2394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2395</v>
      </c>
      <c r="M92" s="15" t="s">
        <v>1059</v>
      </c>
      <c r="N92" s="15" t="s">
        <v>29</v>
      </c>
      <c r="O92" s="15" t="s">
        <v>949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2396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VLOOKUP(F92,[2]Wait!$H$225:$I$260,2,0)</f>
        <v>#N/A</v>
      </c>
    </row>
    <row r="93" spans="1:29" x14ac:dyDescent="0.25">
      <c r="A93" s="23">
        <f t="shared" si="1"/>
        <v>86</v>
      </c>
      <c r="B93" s="15" t="s">
        <v>926</v>
      </c>
      <c r="C93" s="15" t="s">
        <v>927</v>
      </c>
      <c r="D93" s="15" t="s">
        <v>1061</v>
      </c>
      <c r="E93" s="15" t="s">
        <v>26</v>
      </c>
      <c r="F93" s="15" t="s">
        <v>3079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VLOOKUP(F93,[2]Wait!$H$225:$I$260,2,0)</f>
        <v>#N/A</v>
      </c>
    </row>
    <row r="94" spans="1:29" x14ac:dyDescent="0.25">
      <c r="A94" s="23">
        <f t="shared" si="1"/>
        <v>87</v>
      </c>
      <c r="B94" s="15" t="s">
        <v>926</v>
      </c>
      <c r="C94" s="15" t="s">
        <v>927</v>
      </c>
      <c r="D94" s="15" t="s">
        <v>1062</v>
      </c>
      <c r="E94" s="15" t="s">
        <v>26</v>
      </c>
      <c r="F94" s="15" t="s">
        <v>3079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708</v>
      </c>
      <c r="M94" s="15" t="s">
        <v>1059</v>
      </c>
      <c r="N94" s="15" t="s">
        <v>29</v>
      </c>
      <c r="O94" s="15" t="s">
        <v>949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709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VLOOKUP(F94,[2]Wait!$H$225:$I$260,2,0)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926</v>
      </c>
      <c r="C95" s="15" t="s">
        <v>927</v>
      </c>
      <c r="D95" s="15" t="s">
        <v>1069</v>
      </c>
      <c r="E95" s="15" t="s">
        <v>26</v>
      </c>
      <c r="F95" s="15" t="s">
        <v>3080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VLOOKUP(F95,[2]Wait!$H$225:$I$260,2,0)</f>
        <v>#N/A</v>
      </c>
      <c r="AB95" s="3"/>
    </row>
    <row r="96" spans="1:29" x14ac:dyDescent="0.25">
      <c r="A96" s="23">
        <f t="shared" si="1"/>
        <v>89</v>
      </c>
      <c r="B96" s="15" t="s">
        <v>926</v>
      </c>
      <c r="C96" s="15" t="s">
        <v>927</v>
      </c>
      <c r="D96" s="15" t="s">
        <v>1071</v>
      </c>
      <c r="E96" s="15" t="s">
        <v>26</v>
      </c>
      <c r="F96" s="15" t="s">
        <v>3080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VLOOKUP(F96,[2]Wait!$H$225:$I$260,2,0)</f>
        <v>#N/A</v>
      </c>
      <c r="AB96" s="1"/>
    </row>
    <row r="97" spans="1:28" x14ac:dyDescent="0.25">
      <c r="A97" s="23">
        <f t="shared" si="1"/>
        <v>90</v>
      </c>
      <c r="B97" s="15" t="s">
        <v>926</v>
      </c>
      <c r="C97" s="15" t="s">
        <v>927</v>
      </c>
      <c r="D97" s="15" t="s">
        <v>1072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1059</v>
      </c>
      <c r="N97" s="15" t="s">
        <v>29</v>
      </c>
      <c r="O97" s="15" t="s">
        <v>1070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VLOOKUP(F97,[2]Wait!$H$225:$I$260,2,0)</f>
        <v>#N/A</v>
      </c>
      <c r="AB97" s="3"/>
    </row>
    <row r="98" spans="1:28" x14ac:dyDescent="0.25">
      <c r="A98" s="23">
        <f t="shared" si="1"/>
        <v>91</v>
      </c>
      <c r="B98" s="15" t="s">
        <v>926</v>
      </c>
      <c r="C98" s="15" t="s">
        <v>927</v>
      </c>
      <c r="D98" s="15" t="s">
        <v>1073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570</v>
      </c>
      <c r="M98" s="15" t="s">
        <v>1074</v>
      </c>
      <c r="N98" s="15" t="s">
        <v>29</v>
      </c>
      <c r="O98" s="15" t="s">
        <v>946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571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VLOOKUP(F98,[2]Wait!$H$225:$I$260,2,0)</f>
        <v>#N/A</v>
      </c>
      <c r="AB98" s="1"/>
    </row>
    <row r="99" spans="1:28" x14ac:dyDescent="0.25">
      <c r="A99" s="23">
        <f t="shared" si="1"/>
        <v>92</v>
      </c>
      <c r="B99" s="15" t="s">
        <v>926</v>
      </c>
      <c r="C99" s="15" t="s">
        <v>927</v>
      </c>
      <c r="D99" s="15" t="s">
        <v>1075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1076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1078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VLOOKUP(F99,[2]Wait!$H$225:$I$260,2,0)</f>
        <v>#N/A</v>
      </c>
    </row>
    <row r="100" spans="1:28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1079</v>
      </c>
      <c r="E100" s="15" t="s">
        <v>26</v>
      </c>
      <c r="F100" s="15" t="s">
        <v>3083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1080</v>
      </c>
      <c r="M100" s="15" t="s">
        <v>1077</v>
      </c>
      <c r="N100" s="15" t="s">
        <v>29</v>
      </c>
      <c r="O100" s="15" t="s">
        <v>939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943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VLOOKUP(F100,[2]Wait!$H$225:$I$260,2,0)</f>
        <v>#N/A</v>
      </c>
    </row>
    <row r="101" spans="1:28" x14ac:dyDescent="0.25">
      <c r="A101" s="23">
        <f t="shared" si="1"/>
        <v>94</v>
      </c>
      <c r="B101" s="15" t="s">
        <v>926</v>
      </c>
      <c r="C101" s="15" t="s">
        <v>927</v>
      </c>
      <c r="D101" s="15" t="s">
        <v>1339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1340</v>
      </c>
      <c r="M101" s="15" t="s">
        <v>1077</v>
      </c>
      <c r="N101" s="15" t="s">
        <v>29</v>
      </c>
      <c r="O101" s="15" t="s">
        <v>961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947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VLOOKUP(F101,[2]Wait!$H$225:$I$260,2,0)</f>
        <v>#N/A</v>
      </c>
    </row>
    <row r="102" spans="1:28" x14ac:dyDescent="0.25">
      <c r="A102" s="23">
        <f t="shared" si="1"/>
        <v>95</v>
      </c>
      <c r="B102" s="15" t="s">
        <v>926</v>
      </c>
      <c r="C102" s="15" t="s">
        <v>927</v>
      </c>
      <c r="D102" s="15" t="s">
        <v>2858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2859</v>
      </c>
      <c r="M102" s="15" t="s">
        <v>1077</v>
      </c>
      <c r="N102" s="15" t="s">
        <v>29</v>
      </c>
      <c r="O102" s="15" t="s">
        <v>949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2861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VLOOKUP(F102,[2]Wait!$H$225:$I$260,2,0)</f>
        <v>#N/A</v>
      </c>
    </row>
    <row r="103" spans="1:28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1633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1634</v>
      </c>
      <c r="M103" s="15" t="s">
        <v>1077</v>
      </c>
      <c r="N103" s="15" t="s">
        <v>29</v>
      </c>
      <c r="O103" s="15" t="s">
        <v>946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958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VLOOKUP(F103,[2]Wait!$H$225:$I$260,2,0)</f>
        <v>#N/A</v>
      </c>
    </row>
    <row r="104" spans="1:28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1081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1082</v>
      </c>
      <c r="M104" s="15" t="s">
        <v>1077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958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VLOOKUP(F104,[2]Wait!$H$225:$I$260,2,0)</f>
        <v>#N/A</v>
      </c>
    </row>
    <row r="105" spans="1:28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1916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1917</v>
      </c>
      <c r="M105" s="15" t="s">
        <v>1077</v>
      </c>
      <c r="N105" s="15" t="s">
        <v>29</v>
      </c>
      <c r="O105" s="15" t="s">
        <v>949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1918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VLOOKUP(F105,[2]Wait!$H$225:$I$260,2,0)</f>
        <v>#N/A</v>
      </c>
    </row>
    <row r="106" spans="1:28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1083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768</v>
      </c>
      <c r="M106" s="15" t="s">
        <v>1077</v>
      </c>
      <c r="N106" s="15" t="s">
        <v>29</v>
      </c>
      <c r="O106" s="15" t="s">
        <v>949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769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VLOOKUP(F106,[2]Wait!$H$225:$I$260,2,0)</f>
        <v>#N/A</v>
      </c>
    </row>
    <row r="107" spans="1:28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1084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VLOOKUP(F107,[2]Wait!$H$225:$I$260,2,0)</f>
        <v>#N/A</v>
      </c>
    </row>
    <row r="108" spans="1:28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1085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1086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VLOOKUP(F108,[2]Wait!$H$225:$I$260,2,0)</f>
        <v>#N/A</v>
      </c>
    </row>
    <row r="109" spans="1:28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1088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1089</v>
      </c>
      <c r="M109" s="15" t="s">
        <v>1077</v>
      </c>
      <c r="N109" s="15" t="s">
        <v>29</v>
      </c>
      <c r="O109" s="15" t="s">
        <v>949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1087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VLOOKUP(F109,[2]Wait!$H$225:$I$260,2,0)</f>
        <v>#N/A</v>
      </c>
    </row>
    <row r="110" spans="1:28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1090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1091</v>
      </c>
      <c r="M110" s="15" t="s">
        <v>1077</v>
      </c>
      <c r="N110" s="15" t="s">
        <v>29</v>
      </c>
      <c r="O110" s="15" t="s">
        <v>939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1092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VLOOKUP(F110,[2]Wait!$H$225:$I$260,2,0)</f>
        <v>#N/A</v>
      </c>
    </row>
    <row r="111" spans="1:28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1097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1098</v>
      </c>
      <c r="M111" s="15" t="s">
        <v>1077</v>
      </c>
      <c r="N111" s="15" t="s">
        <v>29</v>
      </c>
      <c r="O111" s="15" t="s">
        <v>946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1099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VLOOKUP(F111,[2]Wait!$H$225:$I$260,2,0)</f>
        <v>#N/A</v>
      </c>
    </row>
    <row r="112" spans="1:28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1638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771</v>
      </c>
      <c r="M112" s="15" t="s">
        <v>1077</v>
      </c>
      <c r="N112" s="15" t="s">
        <v>29</v>
      </c>
      <c r="O112" s="15" t="s">
        <v>946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772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VLOOKUP(F112,[2]Wait!$H$225:$I$260,2,0)</f>
        <v>#N/A</v>
      </c>
    </row>
    <row r="113" spans="1:27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1100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1101</v>
      </c>
      <c r="M113" s="15" t="s">
        <v>1077</v>
      </c>
      <c r="N113" s="15" t="s">
        <v>29</v>
      </c>
      <c r="O113" s="15" t="s">
        <v>949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1102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VLOOKUP(F113,[2]Wait!$H$225:$I$260,2,0)</f>
        <v>#N/A</v>
      </c>
    </row>
    <row r="114" spans="1:27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1103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775</v>
      </c>
      <c r="M114" s="15" t="s">
        <v>1077</v>
      </c>
      <c r="N114" s="15" t="s">
        <v>29</v>
      </c>
      <c r="O114" s="15" t="s">
        <v>946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VLOOKUP(F114,[2]Wait!$H$225:$I$260,2,0)</f>
        <v>#N/A</v>
      </c>
    </row>
    <row r="115" spans="1:27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1104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1105</v>
      </c>
      <c r="M115" s="15" t="s">
        <v>1077</v>
      </c>
      <c r="N115" s="15" t="s">
        <v>29</v>
      </c>
      <c r="O115" s="15" t="s">
        <v>946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1106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VLOOKUP(F115,[2]Wait!$H$225:$I$260,2,0)</f>
        <v>#N/A</v>
      </c>
    </row>
    <row r="116" spans="1:27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2139</v>
      </c>
      <c r="E116" s="15" t="s">
        <v>26</v>
      </c>
      <c r="F116" s="15" t="s">
        <v>3099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2140</v>
      </c>
      <c r="M116" s="15" t="s">
        <v>1077</v>
      </c>
      <c r="N116" s="15" t="s">
        <v>29</v>
      </c>
      <c r="O116" s="15" t="s">
        <v>946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2136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VLOOKUP(F116,[2]Wait!$H$225:$I$260,2,0)</f>
        <v>#N/A</v>
      </c>
    </row>
    <row r="117" spans="1:27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2146</v>
      </c>
      <c r="E117" s="15" t="s">
        <v>26</v>
      </c>
      <c r="F117" s="15" t="s">
        <v>3100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611</v>
      </c>
      <c r="M117" s="15" t="s">
        <v>1077</v>
      </c>
      <c r="N117" s="15" t="s">
        <v>29</v>
      </c>
      <c r="O117" s="15" t="s">
        <v>939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610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VLOOKUP(F117,[2]Wait!$H$225:$I$260,2,0)</f>
        <v>#N/A</v>
      </c>
    </row>
    <row r="118" spans="1:27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1107</v>
      </c>
      <c r="E118" s="15" t="s">
        <v>26</v>
      </c>
      <c r="F118" s="15" t="s">
        <v>3101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VLOOKUP(F118,[2]Wait!$H$225:$I$260,2,0)</f>
        <v>#N/A</v>
      </c>
    </row>
    <row r="119" spans="1:27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1111</v>
      </c>
      <c r="E119" s="15" t="s">
        <v>26</v>
      </c>
      <c r="F119" s="15" t="s">
        <v>3101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VLOOKUP(F119,[2]Wait!$H$225:$I$260,2,0)</f>
        <v>#N/A</v>
      </c>
    </row>
    <row r="120" spans="1:27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1112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1108</v>
      </c>
      <c r="M120" s="15" t="s">
        <v>1109</v>
      </c>
      <c r="N120" s="15" t="s">
        <v>29</v>
      </c>
      <c r="O120" s="15" t="s">
        <v>949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1110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VLOOKUP(F120,[2]Wait!$H$225:$I$260,2,0)</f>
        <v>#N/A</v>
      </c>
    </row>
    <row r="121" spans="1:27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1113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1114</v>
      </c>
      <c r="M121" s="15" t="s">
        <v>1109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1115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VLOOKUP(F121,[2]Wait!$H$225:$I$260,2,0)</f>
        <v>#N/A</v>
      </c>
    </row>
    <row r="122" spans="1:27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1671</v>
      </c>
      <c r="E122" s="15" t="s">
        <v>26</v>
      </c>
      <c r="F122" s="15" t="s">
        <v>3103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VLOOKUP(F122,[2]Wait!$H$225:$I$260,2,0)</f>
        <v>#N/A</v>
      </c>
    </row>
    <row r="123" spans="1:27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1675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1672</v>
      </c>
      <c r="M123" s="15" t="s">
        <v>1121</v>
      </c>
      <c r="N123" s="15" t="s">
        <v>29</v>
      </c>
      <c r="O123" s="15" t="s">
        <v>939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1674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VLOOKUP(F123,[2]Wait!$H$225:$I$260,2,0)</f>
        <v>#N/A</v>
      </c>
    </row>
    <row r="124" spans="1:27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1120</v>
      </c>
      <c r="E124" s="15" t="s">
        <v>26</v>
      </c>
      <c r="F124" s="15" t="s">
        <v>3104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VLOOKUP(F124,[2]Wait!$H$225:$I$260,2,0)</f>
        <v>#N/A</v>
      </c>
    </row>
    <row r="125" spans="1:27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1122</v>
      </c>
      <c r="E125" s="15" t="s">
        <v>26</v>
      </c>
      <c r="F125" s="15" t="s">
        <v>3104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VLOOKUP(F125,[2]Wait!$H$225:$I$260,2,0)</f>
        <v>#N/A</v>
      </c>
    </row>
    <row r="126" spans="1:27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1123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1121</v>
      </c>
      <c r="N126" s="15" t="s">
        <v>29</v>
      </c>
      <c r="O126" s="15" t="s">
        <v>955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VLOOKUP(F126,[2]Wait!$H$225:$I$260,2,0)</f>
        <v>#N/A</v>
      </c>
    </row>
    <row r="127" spans="1:27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1124</v>
      </c>
      <c r="E127" s="15" t="s">
        <v>26</v>
      </c>
      <c r="F127" s="15" t="s">
        <v>3105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VLOOKUP(F127,[2]Wait!$H$225:$I$260,2,0)</f>
        <v>#N/A</v>
      </c>
    </row>
    <row r="128" spans="1:27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1125</v>
      </c>
      <c r="E128" s="15" t="s">
        <v>26</v>
      </c>
      <c r="F128" s="15" t="s">
        <v>3105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VLOOKUP(F128,[2]Wait!$H$225:$I$260,2,0)</f>
        <v>#N/A</v>
      </c>
    </row>
    <row r="129" spans="1:27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1126</v>
      </c>
      <c r="E129" s="15" t="s">
        <v>26</v>
      </c>
      <c r="F129" s="15" t="s">
        <v>3105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728</v>
      </c>
      <c r="M129" s="15" t="s">
        <v>1121</v>
      </c>
      <c r="N129" s="15" t="s">
        <v>29</v>
      </c>
      <c r="O129" s="15" t="s">
        <v>961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729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VLOOKUP(F129,[2]Wait!$H$225:$I$260,2,0)</f>
        <v>#N/A</v>
      </c>
    </row>
    <row r="130" spans="1:27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1127</v>
      </c>
      <c r="E130" s="15" t="s">
        <v>26</v>
      </c>
      <c r="F130" s="15" t="s">
        <v>3106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605</v>
      </c>
      <c r="M130" s="15" t="s">
        <v>1121</v>
      </c>
      <c r="N130" s="15" t="s">
        <v>29</v>
      </c>
      <c r="O130" s="15" t="s">
        <v>939</v>
      </c>
      <c r="P130" s="15" t="s">
        <v>41</v>
      </c>
      <c r="Q130" s="15" t="s">
        <v>42</v>
      </c>
      <c r="R130" s="15" t="s">
        <v>603</v>
      </c>
      <c r="S130" s="15" t="s">
        <v>32</v>
      </c>
      <c r="T130" s="15" t="s">
        <v>78</v>
      </c>
      <c r="U130" s="15" t="s">
        <v>604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VLOOKUP(F130,[2]Wait!$H$225:$I$260,2,0)</f>
        <v>#N/A</v>
      </c>
    </row>
    <row r="131" spans="1:27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2436</v>
      </c>
      <c r="E131" s="15" t="s">
        <v>26</v>
      </c>
      <c r="F131" s="15" t="s">
        <v>3107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2437</v>
      </c>
      <c r="M131" s="15" t="s">
        <v>1121</v>
      </c>
      <c r="N131" s="15" t="s">
        <v>29</v>
      </c>
      <c r="O131" s="15" t="s">
        <v>946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2435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VLOOKUP(F131,[2]Wait!$H$225:$I$260,2,0)</f>
        <v>#N/A</v>
      </c>
    </row>
    <row r="132" spans="1:27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1128</v>
      </c>
      <c r="E132" s="15" t="s">
        <v>1129</v>
      </c>
      <c r="F132" s="15" t="s">
        <v>1129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1130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VLOOKUP(F132,[2]Wait!$H$225:$I$260,2,0)</f>
        <v>#N/A</v>
      </c>
    </row>
    <row r="133" spans="1:27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1131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1134</v>
      </c>
      <c r="Y133" s="16">
        <v>46276</v>
      </c>
      <c r="Z133" s="15" t="s">
        <v>1135</v>
      </c>
      <c r="AA133" s="17" t="e">
        <f>VLOOKUP(F133,[2]Wait!$H$225:$I$260,2,0)</f>
        <v>#N/A</v>
      </c>
    </row>
    <row r="134" spans="1:27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1136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1134</v>
      </c>
      <c r="Y134" s="16">
        <v>46276</v>
      </c>
      <c r="Z134" s="15" t="s">
        <v>1135</v>
      </c>
      <c r="AA134" s="17" t="e">
        <f>VLOOKUP(F134,[2]Wait!$H$225:$I$260,2,0)</f>
        <v>#N/A</v>
      </c>
    </row>
    <row r="135" spans="1:27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1137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1134</v>
      </c>
      <c r="Y135" s="16">
        <v>46276</v>
      </c>
      <c r="Z135" s="15" t="s">
        <v>1135</v>
      </c>
      <c r="AA135" s="17" t="e">
        <f>VLOOKUP(F135,[2]Wait!$H$225:$I$260,2,0)</f>
        <v>#N/A</v>
      </c>
    </row>
    <row r="136" spans="1:27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1138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684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1134</v>
      </c>
      <c r="Y136" s="16">
        <v>46276</v>
      </c>
      <c r="Z136" s="15" t="s">
        <v>1135</v>
      </c>
      <c r="AA136" s="17" t="e">
        <f>VLOOKUP(F136,[2]Wait!$H$225:$I$260,2,0)</f>
        <v>#N/A</v>
      </c>
    </row>
    <row r="137" spans="1:27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1139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557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  <c r="AA137" s="17" t="e">
        <f>VLOOKUP(F137,[2]Wait!$H$225:$I$260,2,0)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1140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1141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  <c r="AA138" s="17" t="e">
        <f>VLOOKUP(F138,[2]Wait!$H$225:$I$260,2,0)</f>
        <v>#N/A</v>
      </c>
    </row>
    <row r="139" spans="1:27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1142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1143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1134</v>
      </c>
      <c r="Y139" s="16">
        <v>46276</v>
      </c>
      <c r="Z139" s="15" t="s">
        <v>1135</v>
      </c>
      <c r="AA139" s="17" t="e">
        <f>VLOOKUP(F139,[2]Wait!$H$225:$I$260,2,0)</f>
        <v>#N/A</v>
      </c>
    </row>
    <row r="140" spans="1:27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1144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1145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  <c r="AA140" s="17" t="e">
        <f>VLOOKUP(F140,[2]Wait!$H$225:$I$260,2,0)</f>
        <v>#N/A</v>
      </c>
    </row>
    <row r="141" spans="1:27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1146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1147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1134</v>
      </c>
      <c r="Y141" s="16">
        <v>46276</v>
      </c>
      <c r="Z141" s="15" t="s">
        <v>1135</v>
      </c>
      <c r="AA141" s="17" t="e">
        <f>VLOOKUP(F141,[2]Wait!$H$225:$I$260,2,0)</f>
        <v>#N/A</v>
      </c>
    </row>
    <row r="142" spans="1:27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1148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1149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1134</v>
      </c>
      <c r="Y142" s="16">
        <v>46276</v>
      </c>
      <c r="Z142" s="15" t="s">
        <v>1135</v>
      </c>
      <c r="AA142" s="17" t="e">
        <f>VLOOKUP(F142,[2]Wait!$H$225:$I$260,2,0)</f>
        <v>#N/A</v>
      </c>
    </row>
    <row r="143" spans="1:27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1150</v>
      </c>
      <c r="E143" s="15" t="s">
        <v>1132</v>
      </c>
      <c r="F143" s="15" t="s">
        <v>1132</v>
      </c>
      <c r="G143" s="15" t="s">
        <v>194</v>
      </c>
      <c r="H143" s="15" t="s">
        <v>26</v>
      </c>
      <c r="I143" s="16">
        <v>46275</v>
      </c>
      <c r="J143" s="15" t="s">
        <v>683</v>
      </c>
      <c r="K143" s="15" t="s">
        <v>1151</v>
      </c>
      <c r="L143" s="15" t="s">
        <v>1133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1134</v>
      </c>
      <c r="Y143" s="16">
        <v>46276</v>
      </c>
      <c r="Z143" s="15" t="s">
        <v>1135</v>
      </c>
      <c r="AA143" s="17" t="e">
        <f>VLOOKUP(F143,[2]Wait!$H$225:$I$260,2,0)</f>
        <v>#N/A</v>
      </c>
    </row>
    <row r="144" spans="1:27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1152</v>
      </c>
      <c r="E144" s="15" t="s">
        <v>1153</v>
      </c>
      <c r="F144" s="15" t="s">
        <v>1153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1154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VLOOKUP(F144,[2]Wait!$H$225:$I$260,2,0)</f>
        <v>#N/A</v>
      </c>
    </row>
    <row r="145" spans="1:27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1368</v>
      </c>
      <c r="E145" s="15" t="s">
        <v>1369</v>
      </c>
      <c r="F145" s="15" t="s">
        <v>1369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1370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922</v>
      </c>
      <c r="Y145" s="16">
        <v>46276</v>
      </c>
      <c r="Z145" s="15" t="s">
        <v>226</v>
      </c>
      <c r="AA145" s="17" t="e">
        <f>VLOOKUP(F145,[2]Wait!$H$225:$I$260,2,0)</f>
        <v>#N/A</v>
      </c>
    </row>
    <row r="146" spans="1:27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2958</v>
      </c>
      <c r="E146" s="15" t="s">
        <v>2959</v>
      </c>
      <c r="F146" s="15" t="s">
        <v>2959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2960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VLOOKUP(F146,[2]Wait!$H$225:$I$260,2,0)</f>
        <v>#N/A</v>
      </c>
    </row>
    <row r="147" spans="1:27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2961</v>
      </c>
      <c r="E147" s="15" t="s">
        <v>2962</v>
      </c>
      <c r="F147" s="15" t="s">
        <v>2962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2963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VLOOKUP(F147,[2]Wait!$H$225:$I$260,2,0)</f>
        <v>#N/A</v>
      </c>
    </row>
    <row r="148" spans="1:27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2980</v>
      </c>
      <c r="E148" s="15" t="s">
        <v>2981</v>
      </c>
      <c r="F148" s="15" t="s">
        <v>2981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2982</v>
      </c>
      <c r="M148" s="15" t="s">
        <v>1121</v>
      </c>
      <c r="N148" s="15" t="s">
        <v>29</v>
      </c>
      <c r="O148" s="15" t="s">
        <v>1044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VLOOKUP(F148,[2]Wait!$H$225:$I$260,2,0)</f>
        <v>#N/A</v>
      </c>
    </row>
    <row r="149" spans="1:27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1155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816</v>
      </c>
      <c r="M149" s="15" t="s">
        <v>1156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817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VLOOKUP(F149,[2]Wait!$H$225:$I$260,2,0)</f>
        <v>#N/A</v>
      </c>
    </row>
    <row r="150" spans="1:27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1157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1158</v>
      </c>
      <c r="M150" s="15" t="s">
        <v>1159</v>
      </c>
      <c r="N150" s="15" t="s">
        <v>29</v>
      </c>
      <c r="O150" s="15" t="s">
        <v>939</v>
      </c>
      <c r="P150" s="15" t="s">
        <v>30</v>
      </c>
      <c r="Q150" s="15" t="s">
        <v>31</v>
      </c>
      <c r="R150" s="15" t="s">
        <v>603</v>
      </c>
      <c r="S150" s="15" t="s">
        <v>32</v>
      </c>
      <c r="T150" s="15" t="s">
        <v>66</v>
      </c>
      <c r="U150" s="15" t="s">
        <v>1160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VLOOKUP(F150,[2]Wait!$H$225:$I$260,2,0)</f>
        <v>#N/A</v>
      </c>
    </row>
    <row r="151" spans="1:27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1161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1159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VLOOKUP(F151,[2]Wait!$H$225:$I$260,2,0)</f>
        <v>#N/A</v>
      </c>
    </row>
    <row r="152" spans="1:27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1162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VLOOKUP(F152,[2]Wait!$H$225:$I$260,2,0)</f>
        <v>#N/A</v>
      </c>
    </row>
    <row r="153" spans="1:27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1164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1163</v>
      </c>
      <c r="N153" s="15" t="s">
        <v>29</v>
      </c>
      <c r="O153" s="15" t="s">
        <v>991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VLOOKUP(F153,[2]Wait!$H$225:$I$260,2,0)</f>
        <v>#N/A</v>
      </c>
    </row>
    <row r="154" spans="1:27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1165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VLOOKUP(F154,[2]Wait!$H$225:$I$260,2,0)</f>
        <v>#N/A</v>
      </c>
    </row>
    <row r="155" spans="1:27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1166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VLOOKUP(F155,[2]Wait!$H$225:$I$260,2,0)</f>
        <v>#N/A</v>
      </c>
    </row>
    <row r="156" spans="1:27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2698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838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VLOOKUP(F156,[2]Wait!$H$225:$I$260,2,0)</f>
        <v>#N/A</v>
      </c>
    </row>
    <row r="157" spans="1:27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2879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840</v>
      </c>
      <c r="M157" s="15" t="s">
        <v>1163</v>
      </c>
      <c r="N157" s="15" t="s">
        <v>29</v>
      </c>
      <c r="O157" s="15" t="s">
        <v>991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839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VLOOKUP(F157,[2]Wait!$H$225:$I$260,2,0)</f>
        <v>#N/A</v>
      </c>
    </row>
    <row r="158" spans="1:27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1167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1163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VLOOKUP(F158,[2]Wait!$H$225:$I$260,2,0)</f>
        <v>#N/A</v>
      </c>
    </row>
    <row r="159" spans="1:27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1168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1163</v>
      </c>
      <c r="N159" s="15" t="s">
        <v>29</v>
      </c>
      <c r="O159" s="15" t="s">
        <v>955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VLOOKUP(F159,[2]Wait!$H$225:$I$260,2,0)</f>
        <v>#N/A</v>
      </c>
    </row>
    <row r="160" spans="1:27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1169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1170</v>
      </c>
      <c r="M160" s="15" t="s">
        <v>1163</v>
      </c>
      <c r="N160" s="15" t="s">
        <v>29</v>
      </c>
      <c r="O160" s="15" t="s">
        <v>955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1171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VLOOKUP(F160,[2]Wait!$H$225:$I$260,2,0)</f>
        <v>#N/A</v>
      </c>
    </row>
    <row r="161" spans="1:27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1172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1173</v>
      </c>
      <c r="M161" s="15" t="s">
        <v>1163</v>
      </c>
      <c r="N161" s="15" t="s">
        <v>29</v>
      </c>
      <c r="O161" s="15" t="s">
        <v>955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1174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VLOOKUP(F161,[2]Wait!$H$225:$I$260,2,0)</f>
        <v>#N/A</v>
      </c>
    </row>
    <row r="162" spans="1:27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2745</v>
      </c>
      <c r="E162" s="15" t="s">
        <v>26</v>
      </c>
      <c r="F162" s="15" t="s">
        <v>3121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2746</v>
      </c>
      <c r="M162" s="15" t="s">
        <v>1163</v>
      </c>
      <c r="N162" s="15" t="s">
        <v>29</v>
      </c>
      <c r="O162" s="15" t="s">
        <v>949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2435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VLOOKUP(F162,[2]Wait!$H$225:$I$260,2,0)</f>
        <v>#N/A</v>
      </c>
    </row>
    <row r="163" spans="1:27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2781</v>
      </c>
      <c r="E163" s="15" t="s">
        <v>2782</v>
      </c>
      <c r="F163" s="15" t="s">
        <v>3122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2783</v>
      </c>
      <c r="M163" s="15" t="s">
        <v>1178</v>
      </c>
      <c r="N163" s="15" t="s">
        <v>29</v>
      </c>
      <c r="O163" s="15" t="s">
        <v>2367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2368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VLOOKUP(F163,[2]Wait!$H$225:$I$260,2,0)</f>
        <v>#N/A</v>
      </c>
    </row>
    <row r="164" spans="1:27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2784</v>
      </c>
      <c r="E164" s="15" t="s">
        <v>26</v>
      </c>
      <c r="F164" s="15" t="s">
        <v>3123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VLOOKUP(F164,[2]Wait!$H$225:$I$260,2,0)</f>
        <v>#N/A</v>
      </c>
    </row>
    <row r="165" spans="1:27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2787</v>
      </c>
      <c r="E165" s="15" t="s">
        <v>26</v>
      </c>
      <c r="F165" s="15" t="s">
        <v>3123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VLOOKUP(F165,[2]Wait!$H$225:$I$260,2,0)</f>
        <v>#N/A</v>
      </c>
    </row>
    <row r="166" spans="1:27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2788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2785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2786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VLOOKUP(F166,[2]Wait!$H$225:$I$260,2,0)</f>
        <v>#N/A</v>
      </c>
    </row>
    <row r="167" spans="1:27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2789</v>
      </c>
      <c r="E167" s="15" t="s">
        <v>26</v>
      </c>
      <c r="F167" s="15" t="s">
        <v>3124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VLOOKUP(F167,[2]Wait!$H$225:$I$260,2,0)</f>
        <v>#N/A</v>
      </c>
    </row>
    <row r="168" spans="1:27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2791</v>
      </c>
      <c r="E168" s="15" t="s">
        <v>26</v>
      </c>
      <c r="F168" s="15" t="s">
        <v>3124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VLOOKUP(F168,[2]Wait!$H$225:$I$260,2,0)</f>
        <v>#N/A</v>
      </c>
    </row>
    <row r="169" spans="1:27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2792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2790</v>
      </c>
      <c r="M169" s="15" t="s">
        <v>1178</v>
      </c>
      <c r="N169" s="15" t="s">
        <v>29</v>
      </c>
      <c r="O169" s="15" t="s">
        <v>949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958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VLOOKUP(F169,[2]Wait!$H$225:$I$260,2,0)</f>
        <v>#N/A</v>
      </c>
    </row>
    <row r="170" spans="1:27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1177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821</v>
      </c>
      <c r="M170" s="15" t="s">
        <v>1178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VLOOKUP(F170,[2]Wait!$H$225:$I$260,2,0)</f>
        <v>#N/A</v>
      </c>
    </row>
    <row r="171" spans="1:27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1181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819</v>
      </c>
      <c r="M171" s="15" t="s">
        <v>1180</v>
      </c>
      <c r="N171" s="15" t="s">
        <v>29</v>
      </c>
      <c r="O171" s="15" t="s">
        <v>939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820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VLOOKUP(F171,[2]Wait!$H$225:$I$260,2,0)</f>
        <v>#N/A</v>
      </c>
    </row>
    <row r="172" spans="1:27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1182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1183</v>
      </c>
      <c r="M172" s="15" t="s">
        <v>1180</v>
      </c>
      <c r="N172" s="15" t="s">
        <v>29</v>
      </c>
      <c r="O172" s="15" t="s">
        <v>949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1184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VLOOKUP(F172,[2]Wait!$H$225:$I$260,2,0)</f>
        <v>#N/A</v>
      </c>
    </row>
    <row r="173" spans="1:27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2736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2735</v>
      </c>
      <c r="M173" s="15" t="s">
        <v>1180</v>
      </c>
      <c r="N173" s="15" t="s">
        <v>29</v>
      </c>
      <c r="O173" s="15" t="s">
        <v>946</v>
      </c>
      <c r="P173" s="15" t="s">
        <v>26</v>
      </c>
      <c r="Q173" s="15" t="s">
        <v>26</v>
      </c>
      <c r="R173" s="15" t="s">
        <v>603</v>
      </c>
      <c r="S173" s="15" t="s">
        <v>32</v>
      </c>
      <c r="T173" s="15" t="s">
        <v>38</v>
      </c>
      <c r="U173" s="15" t="s">
        <v>925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VLOOKUP(F173,[2]Wait!$H$225:$I$260,2,0)</f>
        <v>#N/A</v>
      </c>
    </row>
    <row r="174" spans="1:27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1186</v>
      </c>
      <c r="E174" s="15" t="s">
        <v>26</v>
      </c>
      <c r="F174" s="15" t="s">
        <v>3129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VLOOKUP(F174,[2]Wait!$H$225:$I$260,2,0)</f>
        <v>#N/A</v>
      </c>
    </row>
    <row r="175" spans="1:27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1187</v>
      </c>
      <c r="E175" s="15" t="s">
        <v>26</v>
      </c>
      <c r="F175" s="15" t="s">
        <v>3129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887</v>
      </c>
      <c r="M175" s="15" t="s">
        <v>1180</v>
      </c>
      <c r="N175" s="15" t="s">
        <v>29</v>
      </c>
      <c r="O175" s="15" t="s">
        <v>991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809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VLOOKUP(F175,[2]Wait!$H$225:$I$260,2,0)</f>
        <v>#N/A</v>
      </c>
    </row>
    <row r="176" spans="1:27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2983</v>
      </c>
      <c r="E176" s="15" t="s">
        <v>2771</v>
      </c>
      <c r="F176" s="15" t="s">
        <v>3130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VLOOKUP(F176,[2]Wait!$H$225:$I$260,2,0)</f>
        <v>#N/A</v>
      </c>
    </row>
    <row r="177" spans="1:27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2770</v>
      </c>
      <c r="E177" s="15" t="s">
        <v>2771</v>
      </c>
      <c r="F177" s="15" t="s">
        <v>3130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1180</v>
      </c>
      <c r="N177" s="15" t="s">
        <v>29</v>
      </c>
      <c r="O177" s="15" t="s">
        <v>1044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896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VLOOKUP(F177,[2]Wait!$H$225:$I$260,2,0)</f>
        <v>#N/A</v>
      </c>
    </row>
    <row r="178" spans="1:27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1413</v>
      </c>
      <c r="E178" s="15" t="s">
        <v>1414</v>
      </c>
      <c r="F178" s="15" t="s">
        <v>1414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1415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VLOOKUP(F178,[2]Wait!$H$225:$I$260,2,0)</f>
        <v>#N/A</v>
      </c>
    </row>
    <row r="179" spans="1:27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2921</v>
      </c>
      <c r="E179" s="15" t="s">
        <v>2922</v>
      </c>
      <c r="F179" s="15" t="s">
        <v>2922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2923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VLOOKUP(F179,[2]Wait!$H$225:$I$260,2,0)</f>
        <v>Wait LAE Sign</v>
      </c>
    </row>
    <row r="180" spans="1:27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2924</v>
      </c>
      <c r="E180" s="15" t="s">
        <v>2925</v>
      </c>
      <c r="F180" s="15" t="s">
        <v>2925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2926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VLOOKUP(F180,[2]Wait!$H$225:$I$260,2,0)</f>
        <v>#N/A</v>
      </c>
    </row>
    <row r="181" spans="1:27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2927</v>
      </c>
      <c r="E181" s="15" t="s">
        <v>2928</v>
      </c>
      <c r="F181" s="15" t="s">
        <v>2928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2929</v>
      </c>
      <c r="M181" s="15" t="s">
        <v>1180</v>
      </c>
      <c r="N181" s="15" t="s">
        <v>29</v>
      </c>
      <c r="O181" s="15" t="s">
        <v>1044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VLOOKUP(F181,[2]Wait!$H$225:$I$260,2,0)</f>
        <v>#N/A</v>
      </c>
    </row>
    <row r="182" spans="1:27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1189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1188</v>
      </c>
      <c r="N182" s="15" t="s">
        <v>29</v>
      </c>
      <c r="O182" s="15" t="s">
        <v>991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VLOOKUP(F182,[2]Wait!$H$225:$I$260,2,0)</f>
        <v>#N/A</v>
      </c>
    </row>
    <row r="183" spans="1:27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1195</v>
      </c>
      <c r="E183" s="15" t="s">
        <v>26</v>
      </c>
      <c r="F183" s="15" t="s">
        <v>3132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1196</v>
      </c>
      <c r="M183" s="15" t="s">
        <v>76</v>
      </c>
      <c r="N183" s="15" t="s">
        <v>29</v>
      </c>
      <c r="O183" s="15" t="s">
        <v>939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1197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VLOOKUP(F183,[2]Wait!$H$225:$I$260,2,0)</f>
        <v>#N/A</v>
      </c>
    </row>
    <row r="184" spans="1:27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1782</v>
      </c>
      <c r="E184" s="15" t="s">
        <v>26</v>
      </c>
      <c r="F184" s="15" t="s">
        <v>3133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1783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VLOOKUP(F184,[2]Wait!$H$225:$I$260,2,0)</f>
        <v>#N/A</v>
      </c>
    </row>
    <row r="185" spans="1:27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1784</v>
      </c>
      <c r="E185" s="15" t="s">
        <v>26</v>
      </c>
      <c r="F185" s="15" t="s">
        <v>3134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1785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1775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VLOOKUP(F185,[2]Wait!$H$225:$I$260,2,0)</f>
        <v>#N/A</v>
      </c>
    </row>
    <row r="186" spans="1:27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1794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1795</v>
      </c>
      <c r="M186" s="15" t="s">
        <v>76</v>
      </c>
      <c r="N186" s="15" t="s">
        <v>29</v>
      </c>
      <c r="O186" s="15" t="s">
        <v>961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1078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VLOOKUP(F186,[2]Wait!$H$225:$I$260,2,0)</f>
        <v>#N/A</v>
      </c>
    </row>
    <row r="187" spans="1:27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1198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1199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VLOOKUP(F187,[2]Wait!$H$225:$I$260,2,0)</f>
        <v>#N/A</v>
      </c>
    </row>
    <row r="188" spans="1:27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1200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1201</v>
      </c>
      <c r="M188" s="15" t="s">
        <v>76</v>
      </c>
      <c r="N188" s="15" t="s">
        <v>29</v>
      </c>
      <c r="O188" s="15" t="s">
        <v>946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943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VLOOKUP(F188,[2]Wait!$H$225:$I$260,2,0)</f>
        <v>#N/A</v>
      </c>
    </row>
    <row r="189" spans="1:27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1202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1203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VLOOKUP(F189,[2]Wait!$H$225:$I$260,2,0)</f>
        <v>#N/A</v>
      </c>
    </row>
    <row r="190" spans="1:27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1204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1205</v>
      </c>
      <c r="M190" s="15" t="s">
        <v>76</v>
      </c>
      <c r="N190" s="15" t="s">
        <v>29</v>
      </c>
      <c r="O190" s="15" t="s">
        <v>961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943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VLOOKUP(F190,[2]Wait!$H$225:$I$260,2,0)</f>
        <v>#N/A</v>
      </c>
    </row>
    <row r="191" spans="1:27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1206</v>
      </c>
      <c r="E191" s="15" t="s">
        <v>26</v>
      </c>
      <c r="F191" s="15" t="s">
        <v>3140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1207</v>
      </c>
      <c r="M191" s="15" t="s">
        <v>76</v>
      </c>
      <c r="N191" s="15" t="s">
        <v>29</v>
      </c>
      <c r="O191" s="15" t="s">
        <v>946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947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VLOOKUP(F191,[2]Wait!$H$225:$I$260,2,0)</f>
        <v>#N/A</v>
      </c>
    </row>
    <row r="192" spans="1:27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1208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1209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VLOOKUP(F192,[2]Wait!$H$225:$I$260,2,0)</f>
        <v>#N/A</v>
      </c>
    </row>
    <row r="193" spans="1:27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1210</v>
      </c>
      <c r="E193" s="15" t="s">
        <v>26</v>
      </c>
      <c r="F193" s="15" t="s">
        <v>3142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1211</v>
      </c>
      <c r="M193" s="15" t="s">
        <v>76</v>
      </c>
      <c r="N193" s="15" t="s">
        <v>29</v>
      </c>
      <c r="O193" s="15" t="s">
        <v>939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947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VLOOKUP(F193,[2]Wait!$H$225:$I$260,2,0)</f>
        <v>#N/A</v>
      </c>
    </row>
    <row r="194" spans="1:27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1212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1213</v>
      </c>
      <c r="M194" s="15" t="s">
        <v>76</v>
      </c>
      <c r="N194" s="15" t="s">
        <v>29</v>
      </c>
      <c r="O194" s="15" t="s">
        <v>955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1214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VLOOKUP(F194,[2]Wait!$H$225:$I$260,2,0)</f>
        <v>#N/A</v>
      </c>
    </row>
    <row r="195" spans="1:27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1218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VLOOKUP(F195,[2]Wait!$H$225:$I$260,2,0)</f>
        <v>#N/A</v>
      </c>
    </row>
    <row r="196" spans="1:27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1219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955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VLOOKUP(F196,[2]Wait!$H$225:$I$260,2,0)</f>
        <v>#N/A</v>
      </c>
    </row>
    <row r="197" spans="1:27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1220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955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VLOOKUP(F197,[2]Wait!$H$225:$I$260,2,0)</f>
        <v>#N/A</v>
      </c>
    </row>
    <row r="198" spans="1:27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1825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1826</v>
      </c>
      <c r="M198" s="15" t="s">
        <v>76</v>
      </c>
      <c r="N198" s="15" t="s">
        <v>29</v>
      </c>
      <c r="O198" s="15" t="s">
        <v>961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953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VLOOKUP(F198,[2]Wait!$H$225:$I$260,2,0)</f>
        <v>#N/A</v>
      </c>
    </row>
    <row r="199" spans="1:27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1221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955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VLOOKUP(F199,[2]Wait!$H$225:$I$260,2,0)</f>
        <v>#N/A</v>
      </c>
    </row>
    <row r="200" spans="1:27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1222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1013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VLOOKUP(F200,[2]Wait!$H$225:$I$260,2,0)</f>
        <v>#N/A</v>
      </c>
    </row>
    <row r="201" spans="1:27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1223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991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VLOOKUP(F201,[2]Wait!$H$225:$I$260,2,0)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1227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1228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1229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VLOOKUP(F202,[2]Wait!$H$225:$I$260,2,0)</f>
        <v>#N/A</v>
      </c>
    </row>
    <row r="203" spans="1:27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1230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1231</v>
      </c>
      <c r="M203" s="15" t="s">
        <v>76</v>
      </c>
      <c r="N203" s="15" t="s">
        <v>29</v>
      </c>
      <c r="O203" s="15" t="s">
        <v>955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VLOOKUP(F203,[2]Wait!$H$225:$I$260,2,0)</f>
        <v>#N/A</v>
      </c>
    </row>
    <row r="204" spans="1:27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1909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1910</v>
      </c>
      <c r="M204" s="15" t="s">
        <v>76</v>
      </c>
      <c r="N204" s="15" t="s">
        <v>29</v>
      </c>
      <c r="O204" s="15" t="s">
        <v>1070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1234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VLOOKUP(F204,[2]Wait!$H$225:$I$260,2,0)</f>
        <v>#N/A</v>
      </c>
    </row>
    <row r="205" spans="1:27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1911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1912</v>
      </c>
      <c r="M205" s="15" t="s">
        <v>76</v>
      </c>
      <c r="N205" s="15" t="s">
        <v>29</v>
      </c>
      <c r="O205" s="15" t="s">
        <v>949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1234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VLOOKUP(F205,[2]Wait!$H$225:$I$260,2,0)</f>
        <v>#N/A</v>
      </c>
    </row>
    <row r="206" spans="1:27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1232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1233</v>
      </c>
      <c r="M206" s="15" t="s">
        <v>76</v>
      </c>
      <c r="N206" s="15" t="s">
        <v>29</v>
      </c>
      <c r="O206" s="15" t="s">
        <v>955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1234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VLOOKUP(F206,[2]Wait!$H$225:$I$260,2,0)</f>
        <v>#N/A</v>
      </c>
    </row>
    <row r="207" spans="1:27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1919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1070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VLOOKUP(F207,[2]Wait!$H$225:$I$260,2,0)</f>
        <v>#N/A</v>
      </c>
    </row>
    <row r="208" spans="1:27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1236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991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VLOOKUP(F208,[2]Wait!$H$225:$I$260,2,0)</f>
        <v>#N/A</v>
      </c>
    </row>
    <row r="209" spans="1:27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1238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1239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1241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VLOOKUP(F209,[2]Wait!$H$225:$I$260,2,0)</f>
        <v>#N/A</v>
      </c>
    </row>
    <row r="210" spans="1:27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1242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1243</v>
      </c>
      <c r="M210" s="15" t="s">
        <v>76</v>
      </c>
      <c r="N210" s="15" t="s">
        <v>29</v>
      </c>
      <c r="O210" s="15" t="s">
        <v>949</v>
      </c>
      <c r="P210" s="15" t="s">
        <v>41</v>
      </c>
      <c r="Q210" s="15" t="s">
        <v>42</v>
      </c>
      <c r="R210" s="15" t="s">
        <v>1240</v>
      </c>
      <c r="S210" s="15" t="s">
        <v>32</v>
      </c>
      <c r="T210" s="15" t="s">
        <v>78</v>
      </c>
      <c r="U210" s="15" t="s">
        <v>1244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VLOOKUP(F210,[2]Wait!$H$225:$I$260,2,0)</f>
        <v>#N/A</v>
      </c>
    </row>
    <row r="211" spans="1:27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1960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1961</v>
      </c>
      <c r="M211" s="15" t="s">
        <v>76</v>
      </c>
      <c r="N211" s="15" t="s">
        <v>29</v>
      </c>
      <c r="O211" s="15" t="s">
        <v>949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1443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VLOOKUP(F211,[2]Wait!$H$225:$I$260,2,0)</f>
        <v>#N/A</v>
      </c>
    </row>
    <row r="212" spans="1:27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1966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949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VLOOKUP(F212,[2]Wait!$H$225:$I$260,2,0)</f>
        <v>#N/A</v>
      </c>
    </row>
    <row r="213" spans="1:27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1248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949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VLOOKUP(F213,[2]Wait!$H$225:$I$260,2,0)</f>
        <v>#N/A</v>
      </c>
    </row>
    <row r="214" spans="1:27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1249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VLOOKUP(F214,[2]Wait!$H$225:$I$260,2,0)</f>
        <v>#N/A</v>
      </c>
    </row>
    <row r="215" spans="1:27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1250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VLOOKUP(F215,[2]Wait!$H$225:$I$260,2,0)</f>
        <v>#N/A</v>
      </c>
    </row>
    <row r="216" spans="1:27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1251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VLOOKUP(F216,[2]Wait!$H$225:$I$260,2,0)</f>
        <v>#N/A</v>
      </c>
    </row>
    <row r="217" spans="1:27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1252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1253</v>
      </c>
      <c r="M217" s="15" t="s">
        <v>76</v>
      </c>
      <c r="N217" s="15" t="s">
        <v>29</v>
      </c>
      <c r="O217" s="15" t="s">
        <v>991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VLOOKUP(F217,[2]Wait!$H$225:$I$260,2,0)</f>
        <v>#N/A</v>
      </c>
    </row>
    <row r="218" spans="1:27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1255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1256</v>
      </c>
      <c r="M218" s="15" t="s">
        <v>76</v>
      </c>
      <c r="N218" s="15" t="s">
        <v>29</v>
      </c>
      <c r="O218" s="15" t="s">
        <v>961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1254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VLOOKUP(F218,[2]Wait!$H$225:$I$260,2,0)</f>
        <v>#N/A</v>
      </c>
    </row>
    <row r="219" spans="1:27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1259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946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VLOOKUP(F219,[2]Wait!$H$225:$I$260,2,0)</f>
        <v>#N/A</v>
      </c>
    </row>
    <row r="220" spans="1:27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2013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1070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VLOOKUP(F220,[2]Wait!$H$225:$I$260,2,0)</f>
        <v>#N/A</v>
      </c>
    </row>
    <row r="221" spans="1:27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1260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VLOOKUP(F221,[2]Wait!$H$225:$I$260,2,0)</f>
        <v>#N/A</v>
      </c>
    </row>
    <row r="222" spans="1:27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2047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2048</v>
      </c>
      <c r="M222" s="15" t="s">
        <v>76</v>
      </c>
      <c r="N222" s="15" t="s">
        <v>29</v>
      </c>
      <c r="O222" s="15" t="s">
        <v>949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1454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VLOOKUP(F222,[2]Wait!$H$225:$I$260,2,0)</f>
        <v>#N/A</v>
      </c>
    </row>
    <row r="223" spans="1:27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1264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961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VLOOKUP(F223,[2]Wait!$H$225:$I$260,2,0)</f>
        <v>#N/A</v>
      </c>
    </row>
    <row r="224" spans="1:27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1265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VLOOKUP(F224,[2]Wait!$H$225:$I$260,2,0)</f>
        <v>#N/A</v>
      </c>
    </row>
    <row r="225" spans="1:27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1266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946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VLOOKUP(F225,[2]Wait!$H$225:$I$260,2,0)</f>
        <v>#N/A</v>
      </c>
    </row>
    <row r="226" spans="1:27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1268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939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VLOOKUP(F226,[2]Wait!$H$225:$I$260,2,0)</f>
        <v>#N/A</v>
      </c>
    </row>
    <row r="227" spans="1:27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2067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946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VLOOKUP(F227,[2]Wait!$H$225:$I$260,2,0)</f>
        <v>#N/A</v>
      </c>
    </row>
    <row r="228" spans="1:27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2073</v>
      </c>
      <c r="E228" s="15" t="s">
        <v>26</v>
      </c>
      <c r="F228" s="15" t="s">
        <v>3177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939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VLOOKUP(F228,[2]Wait!$H$225:$I$260,2,0)</f>
        <v>#N/A</v>
      </c>
    </row>
    <row r="229" spans="1:27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2075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VLOOKUP(F229,[2]Wait!$H$225:$I$260,2,0)</f>
        <v>#N/A</v>
      </c>
    </row>
    <row r="230" spans="1:27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2076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VLOOKUP(F230,[2]Wait!$H$225:$I$260,2,0)</f>
        <v>#N/A</v>
      </c>
    </row>
    <row r="231" spans="1:27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2077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VLOOKUP(F231,[2]Wait!$H$225:$I$260,2,0)</f>
        <v>#N/A</v>
      </c>
    </row>
    <row r="232" spans="1:27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2078</v>
      </c>
      <c r="E232" s="15" t="s">
        <v>26</v>
      </c>
      <c r="F232" s="15" t="s">
        <v>3181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939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VLOOKUP(F232,[2]Wait!$H$225:$I$260,2,0)</f>
        <v>#N/A</v>
      </c>
    </row>
    <row r="233" spans="1:27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1269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955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VLOOKUP(F233,[2]Wait!$H$225:$I$260,2,0)</f>
        <v>#N/A</v>
      </c>
    </row>
    <row r="234" spans="1:27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1270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1271</v>
      </c>
      <c r="M234" s="15" t="s">
        <v>76</v>
      </c>
      <c r="N234" s="15" t="s">
        <v>29</v>
      </c>
      <c r="O234" s="15" t="s">
        <v>961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1272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VLOOKUP(F234,[2]Wait!$H$225:$I$260,2,0)</f>
        <v>#N/A</v>
      </c>
    </row>
    <row r="235" spans="1:27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1273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1274</v>
      </c>
      <c r="M235" s="15" t="s">
        <v>76</v>
      </c>
      <c r="N235" s="15" t="s">
        <v>29</v>
      </c>
      <c r="O235" s="15" t="s">
        <v>946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VLOOKUP(F235,[2]Wait!$H$225:$I$260,2,0)</f>
        <v>#N/A</v>
      </c>
    </row>
    <row r="236" spans="1:27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1275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1276</v>
      </c>
      <c r="M236" s="15" t="s">
        <v>76</v>
      </c>
      <c r="N236" s="15" t="s">
        <v>29</v>
      </c>
      <c r="O236" s="15" t="s">
        <v>961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1018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VLOOKUP(F236,[2]Wait!$H$225:$I$260,2,0)</f>
        <v>#N/A</v>
      </c>
    </row>
    <row r="237" spans="1:27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1277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1278</v>
      </c>
      <c r="M237" s="15" t="s">
        <v>76</v>
      </c>
      <c r="N237" s="15" t="s">
        <v>29</v>
      </c>
      <c r="O237" s="15" t="s">
        <v>1013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1279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VLOOKUP(F237,[2]Wait!$H$225:$I$260,2,0)</f>
        <v>#N/A</v>
      </c>
    </row>
    <row r="238" spans="1:27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2082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1070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VLOOKUP(F238,[2]Wait!$H$225:$I$260,2,0)</f>
        <v>#N/A</v>
      </c>
    </row>
    <row r="239" spans="1:27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1280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955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VLOOKUP(F239,[2]Wait!$H$225:$I$260,2,0)</f>
        <v>#N/A</v>
      </c>
    </row>
    <row r="240" spans="1:27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2083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1070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VLOOKUP(F240,[2]Wait!$H$225:$I$260,2,0)</f>
        <v>#N/A</v>
      </c>
    </row>
    <row r="241" spans="1:27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1281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1013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VLOOKUP(F241,[2]Wait!$H$225:$I$260,2,0)</f>
        <v>#N/A</v>
      </c>
    </row>
    <row r="242" spans="1:27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1282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VLOOKUP(F242,[2]Wait!$H$225:$I$260,2,0)</f>
        <v>#N/A</v>
      </c>
    </row>
    <row r="243" spans="1:27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1283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1284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1285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VLOOKUP(F243,[2]Wait!$H$225:$I$260,2,0)</f>
        <v>#N/A</v>
      </c>
    </row>
    <row r="244" spans="1:27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1286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VLOOKUP(F244,[2]Wait!$H$225:$I$260,2,0)</f>
        <v>#N/A</v>
      </c>
    </row>
    <row r="245" spans="1:27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1287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VLOOKUP(F245,[2]Wait!$H$225:$I$260,2,0)</f>
        <v>#N/A</v>
      </c>
    </row>
    <row r="246" spans="1:27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1288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VLOOKUP(F246,[2]Wait!$H$225:$I$260,2,0)</f>
        <v>#N/A</v>
      </c>
    </row>
    <row r="247" spans="1:27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1289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955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VLOOKUP(F247,[2]Wait!$H$225:$I$260,2,0)</f>
        <v>#N/A</v>
      </c>
    </row>
    <row r="248" spans="1:27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1290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955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VLOOKUP(F248,[2]Wait!$H$225:$I$260,2,0)</f>
        <v>#N/A</v>
      </c>
    </row>
    <row r="249" spans="1:27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1291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VLOOKUP(F249,[2]Wait!$H$225:$I$260,2,0)</f>
        <v>#N/A</v>
      </c>
    </row>
    <row r="250" spans="1:27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1292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VLOOKUP(F250,[2]Wait!$H$225:$I$260,2,0)</f>
        <v>#N/A</v>
      </c>
    </row>
    <row r="251" spans="1:27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1293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1294</v>
      </c>
      <c r="M251" s="15" t="s">
        <v>76</v>
      </c>
      <c r="N251" s="15" t="s">
        <v>29</v>
      </c>
      <c r="O251" s="15" t="s">
        <v>955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1295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VLOOKUP(F251,[2]Wait!$H$225:$I$260,2,0)</f>
        <v>#N/A</v>
      </c>
    </row>
    <row r="252" spans="1:27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1296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955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VLOOKUP(F252,[2]Wait!$H$225:$I$260,2,0)</f>
        <v>#N/A</v>
      </c>
    </row>
    <row r="253" spans="1:27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1297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1298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1299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VLOOKUP(F253,[2]Wait!$H$225:$I$260,2,0)</f>
        <v>#N/A</v>
      </c>
    </row>
    <row r="254" spans="1:27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1300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1301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1302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VLOOKUP(F254,[2]Wait!$H$225:$I$260,2,0)</f>
        <v>#N/A</v>
      </c>
    </row>
    <row r="255" spans="1:27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1303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955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VLOOKUP(F255,[2]Wait!$H$225:$I$260,2,0)</f>
        <v>#N/A</v>
      </c>
    </row>
    <row r="256" spans="1:27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1304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1305</v>
      </c>
      <c r="M256" s="15" t="s">
        <v>76</v>
      </c>
      <c r="N256" s="15" t="s">
        <v>29</v>
      </c>
      <c r="O256" s="15" t="s">
        <v>949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1306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VLOOKUP(F256,[2]Wait!$H$225:$I$260,2,0)</f>
        <v>#N/A</v>
      </c>
    </row>
    <row r="257" spans="1:27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1307</v>
      </c>
      <c r="E257" s="15" t="s">
        <v>26</v>
      </c>
      <c r="F257" s="15" t="s">
        <v>3206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564</v>
      </c>
      <c r="M257" s="15" t="s">
        <v>76</v>
      </c>
      <c r="N257" s="15" t="s">
        <v>29</v>
      </c>
      <c r="O257" s="15" t="s">
        <v>949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565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VLOOKUP(F257,[2]Wait!$H$225:$I$260,2,0)</f>
        <v>#N/A</v>
      </c>
    </row>
    <row r="258" spans="1:27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1308</v>
      </c>
      <c r="E258" s="15" t="s">
        <v>26</v>
      </c>
      <c r="F258" s="15" t="s">
        <v>3207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572</v>
      </c>
      <c r="M258" s="15" t="s">
        <v>76</v>
      </c>
      <c r="N258" s="15" t="s">
        <v>29</v>
      </c>
      <c r="O258" s="15" t="s">
        <v>946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573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VLOOKUP(F258,[2]Wait!$H$225:$I$260,2,0)</f>
        <v>#N/A</v>
      </c>
    </row>
    <row r="259" spans="1:27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1309</v>
      </c>
      <c r="E259" s="15" t="s">
        <v>26</v>
      </c>
      <c r="F259" s="15" t="s">
        <v>3208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574</v>
      </c>
      <c r="M259" s="15" t="s">
        <v>76</v>
      </c>
      <c r="N259" s="15" t="s">
        <v>29</v>
      </c>
      <c r="O259" s="15" t="s">
        <v>949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575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VLOOKUP(F259,[2]Wait!$H$225:$I$260,2,0)</f>
        <v>#N/A</v>
      </c>
    </row>
    <row r="260" spans="1:27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2111</v>
      </c>
      <c r="E260" s="15" t="s">
        <v>26</v>
      </c>
      <c r="F260" s="15" t="s">
        <v>3209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576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577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VLOOKUP(F260,[2]Wait!$H$225:$I$260,2,0)</f>
        <v>#N/A</v>
      </c>
    </row>
    <row r="261" spans="1:27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1310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583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VLOOKUP(F261,[2]Wait!$H$225:$I$260,2,0)</f>
        <v>#N/A</v>
      </c>
    </row>
    <row r="262" spans="1:27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1311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584</v>
      </c>
      <c r="M262" s="15" t="s">
        <v>76</v>
      </c>
      <c r="N262" s="15" t="s">
        <v>29</v>
      </c>
      <c r="O262" s="15" t="s">
        <v>939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VLOOKUP(F262,[2]Wait!$H$225:$I$260,2,0)</f>
        <v>#N/A</v>
      </c>
    </row>
    <row r="263" spans="1:27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2141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2138</v>
      </c>
      <c r="M263" s="15" t="s">
        <v>76</v>
      </c>
      <c r="N263" s="15" t="s">
        <v>29</v>
      </c>
      <c r="O263" s="15" t="s">
        <v>1013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2136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VLOOKUP(F263,[2]Wait!$H$225:$I$260,2,0)</f>
        <v>#N/A</v>
      </c>
    </row>
    <row r="264" spans="1:27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2152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2153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2149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VLOOKUP(F264,[2]Wait!$H$225:$I$260,2,0)</f>
        <v>#N/A</v>
      </c>
    </row>
    <row r="265" spans="1:27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2158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2159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603</v>
      </c>
      <c r="S265" s="15" t="s">
        <v>32</v>
      </c>
      <c r="T265" s="15" t="s">
        <v>71</v>
      </c>
      <c r="U265" s="15" t="s">
        <v>925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VLOOKUP(F265,[2]Wait!$H$225:$I$260,2,0)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2161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2162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VLOOKUP(F266,[2]Wait!$H$225:$I$260,2,0)</f>
        <v>#N/A</v>
      </c>
    </row>
    <row r="267" spans="1:27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2163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2164</v>
      </c>
      <c r="M267" s="15" t="s">
        <v>76</v>
      </c>
      <c r="N267" s="15" t="s">
        <v>29</v>
      </c>
      <c r="O267" s="15" t="s">
        <v>961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1536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VLOOKUP(F267,[2]Wait!$H$225:$I$260,2,0)</f>
        <v>#N/A</v>
      </c>
    </row>
    <row r="268" spans="1:27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1315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1316</v>
      </c>
      <c r="M268" s="15" t="s">
        <v>76</v>
      </c>
      <c r="N268" s="15" t="s">
        <v>29</v>
      </c>
      <c r="O268" s="15" t="s">
        <v>939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1317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VLOOKUP(F268,[2]Wait!$H$225:$I$260,2,0)</f>
        <v>#N/A</v>
      </c>
    </row>
    <row r="269" spans="1:27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2208</v>
      </c>
      <c r="E269" s="15" t="s">
        <v>26</v>
      </c>
      <c r="F269" s="15" t="s">
        <v>3218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VLOOKUP(F269,[2]Wait!$H$225:$I$260,2,0)</f>
        <v>#N/A</v>
      </c>
    </row>
    <row r="270" spans="1:27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2211</v>
      </c>
      <c r="E270" s="15" t="s">
        <v>26</v>
      </c>
      <c r="F270" s="15" t="s">
        <v>3218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2209</v>
      </c>
      <c r="M270" s="15" t="s">
        <v>76</v>
      </c>
      <c r="N270" s="15" t="s">
        <v>29</v>
      </c>
      <c r="O270" s="15" t="s">
        <v>949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2210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VLOOKUP(F270,[2]Wait!$H$225:$I$260,2,0)</f>
        <v>#N/A</v>
      </c>
    </row>
    <row r="271" spans="1:27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2348</v>
      </c>
      <c r="E271" s="15" t="s">
        <v>2349</v>
      </c>
      <c r="F271" s="15" t="s">
        <v>2349</v>
      </c>
      <c r="G271" s="15" t="s">
        <v>194</v>
      </c>
      <c r="H271" s="15" t="s">
        <v>26</v>
      </c>
      <c r="I271" s="16">
        <v>46281</v>
      </c>
      <c r="J271" s="15" t="s">
        <v>683</v>
      </c>
      <c r="K271" s="15" t="s">
        <v>28</v>
      </c>
      <c r="L271" s="15" t="s">
        <v>2350</v>
      </c>
      <c r="M271" s="15" t="s">
        <v>76</v>
      </c>
      <c r="N271" s="15" t="s">
        <v>29</v>
      </c>
      <c r="O271" s="15" t="s">
        <v>1044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VLOOKUP(F271,[2]Wait!$H$225:$I$260,2,0)</f>
        <v>#N/A</v>
      </c>
    </row>
    <row r="272" spans="1:27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2887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  <c r="AA272" s="17" t="e">
        <f>VLOOKUP(F272,[2]Wait!$H$225:$I$260,2,0)</f>
        <v>#N/A</v>
      </c>
    </row>
    <row r="273" spans="1:27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2891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  <c r="AA273" s="17" t="e">
        <f>VLOOKUP(F273,[2]Wait!$H$225:$I$260,2,0)</f>
        <v>#N/A</v>
      </c>
    </row>
    <row r="274" spans="1:27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2892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683</v>
      </c>
      <c r="K274" s="15" t="s">
        <v>59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  <c r="AA274" s="17" t="e">
        <f>VLOOKUP(F274,[2]Wait!$H$225:$I$260,2,0)</f>
        <v>#N/A</v>
      </c>
    </row>
    <row r="275" spans="1:27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2893</v>
      </c>
      <c r="E275" s="15" t="s">
        <v>2888</v>
      </c>
      <c r="F275" s="15" t="s">
        <v>2888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684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2890</v>
      </c>
      <c r="Y275" s="16">
        <v>46387</v>
      </c>
      <c r="Z275" s="15" t="s">
        <v>2890</v>
      </c>
      <c r="AA275" s="17" t="e">
        <f>VLOOKUP(F275,[2]Wait!$H$225:$I$260,2,0)</f>
        <v>#N/A</v>
      </c>
    </row>
    <row r="276" spans="1:27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2894</v>
      </c>
      <c r="E276" s="15" t="s">
        <v>2895</v>
      </c>
      <c r="F276" s="15" t="s">
        <v>2895</v>
      </c>
      <c r="G276" s="15" t="s">
        <v>194</v>
      </c>
      <c r="H276" s="15" t="s">
        <v>26</v>
      </c>
      <c r="I276" s="16">
        <v>46281</v>
      </c>
      <c r="J276" s="15" t="s">
        <v>683</v>
      </c>
      <c r="K276" s="15" t="s">
        <v>28</v>
      </c>
      <c r="L276" s="15" t="s">
        <v>2889</v>
      </c>
      <c r="M276" s="15" t="s">
        <v>76</v>
      </c>
      <c r="N276" s="15" t="s">
        <v>29</v>
      </c>
      <c r="O276" s="15" t="s">
        <v>2581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2896</v>
      </c>
      <c r="Y276" s="16">
        <v>46387</v>
      </c>
      <c r="Z276" s="15" t="s">
        <v>2896</v>
      </c>
      <c r="AA276" s="17" t="e">
        <f>VLOOKUP(F276,[2]Wait!$H$225:$I$260,2,0)</f>
        <v>#N/A</v>
      </c>
    </row>
    <row r="277" spans="1:27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2359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687</v>
      </c>
      <c r="M277" s="15" t="s">
        <v>2904</v>
      </c>
      <c r="N277" s="15" t="s">
        <v>29</v>
      </c>
      <c r="O277" s="15" t="s">
        <v>946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VLOOKUP(F277,[2]Wait!$H$225:$I$260,2,0)</f>
        <v>#N/A</v>
      </c>
    </row>
    <row r="278" spans="1:27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2380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2381</v>
      </c>
      <c r="M278" s="15" t="s">
        <v>1321</v>
      </c>
      <c r="N278" s="15" t="s">
        <v>29</v>
      </c>
      <c r="O278" s="15" t="s">
        <v>946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964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VLOOKUP(F278,[2]Wait!$H$225:$I$260,2,0)</f>
        <v>#N/A</v>
      </c>
    </row>
    <row r="279" spans="1:27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2382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2383</v>
      </c>
      <c r="M279" s="15" t="s">
        <v>1321</v>
      </c>
      <c r="N279" s="15" t="s">
        <v>29</v>
      </c>
      <c r="O279" s="15" t="s">
        <v>949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1234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VLOOKUP(F279,[2]Wait!$H$225:$I$260,2,0)</f>
        <v>#N/A</v>
      </c>
    </row>
    <row r="280" spans="1:27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1320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701</v>
      </c>
      <c r="M280" s="15" t="s">
        <v>1321</v>
      </c>
      <c r="N280" s="15" t="s">
        <v>29</v>
      </c>
      <c r="O280" s="15" t="s">
        <v>1070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691</v>
      </c>
      <c r="U280" s="15" t="s">
        <v>700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VLOOKUP(F280,[2]Wait!$H$225:$I$260,2,0)</f>
        <v>#N/A</v>
      </c>
    </row>
    <row r="281" spans="1:27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2397</v>
      </c>
      <c r="E281" s="15" t="s">
        <v>26</v>
      </c>
      <c r="F281" s="15" t="s">
        <v>3223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VLOOKUP(F281,[2]Wait!$H$225:$I$260,2,0)</f>
        <v>#N/A</v>
      </c>
    </row>
    <row r="282" spans="1:27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2398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702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703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VLOOKUP(F282,[2]Wait!$H$225:$I$260,2,0)</f>
        <v>#N/A</v>
      </c>
    </row>
    <row r="283" spans="1:27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2399</v>
      </c>
      <c r="E283" s="15" t="s">
        <v>26</v>
      </c>
      <c r="F283" s="15" t="s">
        <v>3224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VLOOKUP(F283,[2]Wait!$H$225:$I$260,2,0)</f>
        <v>#N/A</v>
      </c>
    </row>
    <row r="284" spans="1:27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2400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706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707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VLOOKUP(F284,[2]Wait!$H$225:$I$260,2,0)</f>
        <v>#N/A</v>
      </c>
    </row>
    <row r="285" spans="1:27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2401</v>
      </c>
      <c r="E285" s="15" t="s">
        <v>26</v>
      </c>
      <c r="F285" s="15" t="s">
        <v>3225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VLOOKUP(F285,[2]Wait!$H$225:$I$260,2,0)</f>
        <v>#N/A</v>
      </c>
    </row>
    <row r="286" spans="1:27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2402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710</v>
      </c>
      <c r="M286" s="15" t="s">
        <v>1321</v>
      </c>
      <c r="N286" s="15" t="s">
        <v>29</v>
      </c>
      <c r="O286" s="15" t="s">
        <v>949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VLOOKUP(F286,[2]Wait!$H$225:$I$260,2,0)</f>
        <v>#N/A</v>
      </c>
    </row>
    <row r="287" spans="1:27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2403</v>
      </c>
      <c r="E287" s="15" t="s">
        <v>26</v>
      </c>
      <c r="F287" s="15" t="s">
        <v>3226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VLOOKUP(F287,[2]Wait!$H$225:$I$260,2,0)</f>
        <v>#N/A</v>
      </c>
    </row>
    <row r="288" spans="1:27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2404</v>
      </c>
      <c r="E288" s="15" t="s">
        <v>26</v>
      </c>
      <c r="F288" s="15" t="s">
        <v>3226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VLOOKUP(F288,[2]Wait!$H$225:$I$260,2,0)</f>
        <v>#N/A</v>
      </c>
    </row>
    <row r="289" spans="1:27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2405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730</v>
      </c>
      <c r="M289" s="15" t="s">
        <v>1321</v>
      </c>
      <c r="N289" s="15" t="s">
        <v>29</v>
      </c>
      <c r="O289" s="15" t="s">
        <v>961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731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VLOOKUP(F289,[2]Wait!$H$225:$I$260,2,0)</f>
        <v>#N/A</v>
      </c>
    </row>
    <row r="290" spans="1:27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1322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1323</v>
      </c>
      <c r="M290" s="15" t="s">
        <v>1321</v>
      </c>
      <c r="N290" s="15" t="s">
        <v>29</v>
      </c>
      <c r="O290" s="15" t="s">
        <v>939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1324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VLOOKUP(F290,[2]Wait!$H$225:$I$260,2,0)</f>
        <v>#N/A</v>
      </c>
    </row>
    <row r="291" spans="1:27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1325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738</v>
      </c>
      <c r="M291" s="15" t="s">
        <v>1321</v>
      </c>
      <c r="N291" s="15" t="s">
        <v>29</v>
      </c>
      <c r="O291" s="15" t="s">
        <v>955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VLOOKUP(F291,[2]Wait!$H$225:$I$260,2,0)</f>
        <v>#N/A</v>
      </c>
    </row>
    <row r="292" spans="1:27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1326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1327</v>
      </c>
      <c r="M292" s="15" t="s">
        <v>1321</v>
      </c>
      <c r="N292" s="15" t="s">
        <v>29</v>
      </c>
      <c r="O292" s="15" t="s">
        <v>946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1328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VLOOKUP(F292,[2]Wait!$H$225:$I$260,2,0)</f>
        <v>#N/A</v>
      </c>
    </row>
    <row r="293" spans="1:27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2415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2416</v>
      </c>
      <c r="M293" s="15" t="s">
        <v>1321</v>
      </c>
      <c r="N293" s="15" t="s">
        <v>29</v>
      </c>
      <c r="O293" s="15" t="s">
        <v>1070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1002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VLOOKUP(F293,[2]Wait!$H$225:$I$260,2,0)</f>
        <v>#N/A</v>
      </c>
    </row>
    <row r="294" spans="1:27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1329</v>
      </c>
      <c r="E294" s="15" t="s">
        <v>26</v>
      </c>
      <c r="F294" s="15" t="s">
        <v>3231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745</v>
      </c>
      <c r="M294" s="15" t="s">
        <v>1321</v>
      </c>
      <c r="N294" s="15" t="s">
        <v>29</v>
      </c>
      <c r="O294" s="15" t="s">
        <v>961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691</v>
      </c>
      <c r="U294" s="15" t="s">
        <v>746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VLOOKUP(F294,[2]Wait!$H$225:$I$260,2,0)</f>
        <v>#N/A</v>
      </c>
    </row>
    <row r="295" spans="1:27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1336</v>
      </c>
      <c r="E295" s="15" t="s">
        <v>26</v>
      </c>
      <c r="F295" s="15" t="s">
        <v>3232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1337</v>
      </c>
      <c r="M295" s="15" t="s">
        <v>1338</v>
      </c>
      <c r="N295" s="15" t="s">
        <v>29</v>
      </c>
      <c r="O295" s="15" t="s">
        <v>939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1197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VLOOKUP(F295,[2]Wait!$H$225:$I$260,2,0)</f>
        <v>#N/A</v>
      </c>
    </row>
    <row r="296" spans="1:27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2463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949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VLOOKUP(F296,[2]Wait!$H$225:$I$260,2,0)</f>
        <v>#N/A</v>
      </c>
    </row>
    <row r="297" spans="1:27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1344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1345</v>
      </c>
      <c r="M297" s="15" t="s">
        <v>189</v>
      </c>
      <c r="N297" s="15" t="s">
        <v>29</v>
      </c>
      <c r="O297" s="15" t="s">
        <v>939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1092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VLOOKUP(F297,[2]Wait!$H$225:$I$260,2,0)</f>
        <v>#N/A</v>
      </c>
    </row>
    <row r="298" spans="1:27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1346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949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VLOOKUP(F298,[2]Wait!$H$225:$I$260,2,0)</f>
        <v>#N/A</v>
      </c>
    </row>
    <row r="299" spans="1:27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2057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946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VLOOKUP(F299,[2]Wait!$H$225:$I$260,2,0)</f>
        <v>#N/A</v>
      </c>
    </row>
    <row r="300" spans="1:27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1347</v>
      </c>
      <c r="E300" s="15" t="s">
        <v>26</v>
      </c>
      <c r="F300" s="15" t="s">
        <v>3237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1348</v>
      </c>
      <c r="M300" s="15" t="s">
        <v>189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1272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VLOOKUP(F300,[2]Wait!$H$225:$I$260,2,0)</f>
        <v>#N/A</v>
      </c>
    </row>
    <row r="301" spans="1:27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1349</v>
      </c>
      <c r="E301" s="15" t="s">
        <v>26</v>
      </c>
      <c r="F301" s="15" t="s">
        <v>3238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1350</v>
      </c>
      <c r="M301" s="15" t="s">
        <v>189</v>
      </c>
      <c r="N301" s="15" t="s">
        <v>29</v>
      </c>
      <c r="O301" s="15" t="s">
        <v>939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1037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VLOOKUP(F301,[2]Wait!$H$225:$I$260,2,0)</f>
        <v>#N/A</v>
      </c>
    </row>
    <row r="302" spans="1:27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1351</v>
      </c>
      <c r="E302" s="15" t="s">
        <v>1352</v>
      </c>
      <c r="F302" s="15" t="s">
        <v>1352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1353</v>
      </c>
      <c r="M302" s="15" t="s">
        <v>189</v>
      </c>
      <c r="N302" s="15" t="s">
        <v>29</v>
      </c>
      <c r="O302" s="15" t="s">
        <v>1044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1354</v>
      </c>
      <c r="Y302" s="16">
        <v>46273</v>
      </c>
      <c r="Z302" s="15" t="s">
        <v>226</v>
      </c>
      <c r="AA302" s="17" t="e">
        <f>VLOOKUP(F302,[2]Wait!$H$225:$I$260,2,0)</f>
        <v>#N/A</v>
      </c>
    </row>
    <row r="303" spans="1:27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1355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779</v>
      </c>
      <c r="M303" s="15" t="s">
        <v>1356</v>
      </c>
      <c r="N303" s="15" t="s">
        <v>29</v>
      </c>
      <c r="O303" s="15" t="s">
        <v>939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780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VLOOKUP(F303,[2]Wait!$H$225:$I$260,2,0)</f>
        <v>#N/A</v>
      </c>
    </row>
    <row r="304" spans="1:27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1357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1358</v>
      </c>
      <c r="M304" s="15" t="s">
        <v>1359</v>
      </c>
      <c r="N304" s="15" t="s">
        <v>29</v>
      </c>
      <c r="O304" s="15" t="s">
        <v>961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947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VLOOKUP(F304,[2]Wait!$H$225:$I$260,2,0)</f>
        <v>#N/A</v>
      </c>
    </row>
    <row r="305" spans="1:27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2509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777</v>
      </c>
      <c r="M305" s="15" t="s">
        <v>1359</v>
      </c>
      <c r="N305" s="15" t="s">
        <v>29</v>
      </c>
      <c r="O305" s="15" t="s">
        <v>1070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778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VLOOKUP(F305,[2]Wait!$H$225:$I$260,2,0)</f>
        <v>#N/A</v>
      </c>
    </row>
    <row r="306" spans="1:27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2510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783</v>
      </c>
      <c r="M306" s="15" t="s">
        <v>1359</v>
      </c>
      <c r="N306" s="15" t="s">
        <v>29</v>
      </c>
      <c r="O306" s="15" t="s">
        <v>939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VLOOKUP(F306,[2]Wait!$H$225:$I$260,2,0)</f>
        <v>#N/A</v>
      </c>
    </row>
    <row r="307" spans="1:27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2512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2513</v>
      </c>
      <c r="M307" s="15" t="s">
        <v>1359</v>
      </c>
      <c r="N307" s="15" t="s">
        <v>29</v>
      </c>
      <c r="O307" s="15" t="s">
        <v>961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953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VLOOKUP(F307,[2]Wait!$H$225:$I$260,2,0)</f>
        <v>#N/A</v>
      </c>
    </row>
    <row r="308" spans="1:27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1361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1359</v>
      </c>
      <c r="N308" s="15" t="s">
        <v>29</v>
      </c>
      <c r="O308" s="15" t="s">
        <v>939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VLOOKUP(F308,[2]Wait!$H$225:$I$260,2,0)</f>
        <v>#N/A</v>
      </c>
    </row>
    <row r="309" spans="1:27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1362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789</v>
      </c>
      <c r="M309" s="15" t="s">
        <v>1359</v>
      </c>
      <c r="N309" s="15" t="s">
        <v>29</v>
      </c>
      <c r="O309" s="15" t="s">
        <v>946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VLOOKUP(F309,[2]Wait!$H$225:$I$260,2,0)</f>
        <v>#N/A</v>
      </c>
    </row>
    <row r="310" spans="1:27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2058</v>
      </c>
      <c r="E310" s="15" t="s">
        <v>26</v>
      </c>
      <c r="F310" s="15" t="s">
        <v>3246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VLOOKUP(F310,[2]Wait!$H$225:$I$260,2,0)</f>
        <v>#N/A</v>
      </c>
    </row>
    <row r="311" spans="1:27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2531</v>
      </c>
      <c r="E311" s="15" t="s">
        <v>26</v>
      </c>
      <c r="F311" s="15" t="s">
        <v>3247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2532</v>
      </c>
      <c r="M311" s="15" t="s">
        <v>1359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1272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VLOOKUP(F311,[2]Wait!$H$225:$I$260,2,0)</f>
        <v>#N/A</v>
      </c>
    </row>
    <row r="312" spans="1:27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1367</v>
      </c>
      <c r="E312" s="15" t="s">
        <v>26</v>
      </c>
      <c r="F312" s="15" t="s">
        <v>3248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1359</v>
      </c>
      <c r="N312" s="15" t="s">
        <v>29</v>
      </c>
      <c r="O312" s="15" t="s">
        <v>1013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VLOOKUP(F312,[2]Wait!$H$225:$I$260,2,0)</f>
        <v>#N/A</v>
      </c>
    </row>
    <row r="313" spans="1:27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2551</v>
      </c>
      <c r="E313" s="15" t="s">
        <v>2552</v>
      </c>
      <c r="F313" s="15" t="s">
        <v>2552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2553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2554</v>
      </c>
      <c r="Y313" s="16">
        <v>46272</v>
      </c>
      <c r="Z313" s="15" t="s">
        <v>226</v>
      </c>
      <c r="AA313" s="17" t="e">
        <f>VLOOKUP(F313,[2]Wait!$H$225:$I$260,2,0)</f>
        <v>#N/A</v>
      </c>
    </row>
    <row r="314" spans="1:27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2578</v>
      </c>
      <c r="E314" s="15" t="s">
        <v>2579</v>
      </c>
      <c r="F314" s="15" t="s">
        <v>2579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2580</v>
      </c>
      <c r="M314" s="15" t="s">
        <v>1359</v>
      </c>
      <c r="N314" s="15" t="s">
        <v>29</v>
      </c>
      <c r="O314" s="15" t="s">
        <v>1044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2582</v>
      </c>
      <c r="Y314" s="16">
        <v>46387</v>
      </c>
      <c r="Z314" s="15" t="s">
        <v>226</v>
      </c>
      <c r="AA314" s="17" t="e">
        <f>VLOOKUP(F314,[2]Wait!$H$225:$I$260,2,0)</f>
        <v>#N/A</v>
      </c>
    </row>
    <row r="315" spans="1:27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1371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1372</v>
      </c>
      <c r="M315" s="15" t="s">
        <v>197</v>
      </c>
      <c r="N315" s="15" t="s">
        <v>29</v>
      </c>
      <c r="O315" s="15" t="s">
        <v>939</v>
      </c>
      <c r="P315" s="15" t="s">
        <v>30</v>
      </c>
      <c r="Q315" s="15" t="s">
        <v>31</v>
      </c>
      <c r="R315" s="15" t="s">
        <v>603</v>
      </c>
      <c r="S315" s="15" t="s">
        <v>32</v>
      </c>
      <c r="T315" s="15" t="s">
        <v>66</v>
      </c>
      <c r="U315" s="15" t="s">
        <v>1160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VLOOKUP(F315,[2]Wait!$H$225:$I$260,2,0)</f>
        <v>#N/A</v>
      </c>
    </row>
    <row r="316" spans="1:27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2691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2692</v>
      </c>
      <c r="M316" s="15" t="s">
        <v>1375</v>
      </c>
      <c r="N316" s="15" t="s">
        <v>29</v>
      </c>
      <c r="O316" s="15" t="s">
        <v>949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2693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VLOOKUP(F316,[2]Wait!$H$225:$I$260,2,0)</f>
        <v>#N/A</v>
      </c>
    </row>
    <row r="317" spans="1:27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1373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1374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VLOOKUP(F317,[2]Wait!$H$225:$I$260,2,0)</f>
        <v>#N/A</v>
      </c>
    </row>
    <row r="318" spans="1:27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1377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1378</v>
      </c>
      <c r="M318" s="15" t="s">
        <v>1375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603</v>
      </c>
      <c r="S318" s="15" t="s">
        <v>32</v>
      </c>
      <c r="T318" s="15" t="s">
        <v>66</v>
      </c>
      <c r="U318" s="15" t="s">
        <v>1376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VLOOKUP(F318,[2]Wait!$H$225:$I$260,2,0)</f>
        <v>#N/A</v>
      </c>
    </row>
    <row r="319" spans="1:27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2696</v>
      </c>
      <c r="E319" s="15" t="s">
        <v>26</v>
      </c>
      <c r="F319" s="15" t="s">
        <v>3253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VLOOKUP(F319,[2]Wait!$H$225:$I$260,2,0)</f>
        <v>#N/A</v>
      </c>
    </row>
    <row r="320" spans="1:27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2697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836</v>
      </c>
      <c r="M320" s="15" t="s">
        <v>1375</v>
      </c>
      <c r="N320" s="15" t="s">
        <v>29</v>
      </c>
      <c r="O320" s="15" t="s">
        <v>949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837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VLOOKUP(F320,[2]Wait!$H$225:$I$260,2,0)</f>
        <v>#N/A</v>
      </c>
    </row>
    <row r="321" spans="1:27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1379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1375</v>
      </c>
      <c r="N321" s="15" t="s">
        <v>29</v>
      </c>
      <c r="O321" s="15" t="s">
        <v>991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VLOOKUP(F321,[2]Wait!$H$225:$I$260,2,0)</f>
        <v>#N/A</v>
      </c>
    </row>
    <row r="322" spans="1:27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1380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1381</v>
      </c>
      <c r="M322" s="15" t="s">
        <v>1375</v>
      </c>
      <c r="N322" s="15" t="s">
        <v>29</v>
      </c>
      <c r="O322" s="15" t="s">
        <v>939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1382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VLOOKUP(F322,[2]Wait!$H$225:$I$260,2,0)</f>
        <v>#N/A</v>
      </c>
    </row>
    <row r="323" spans="1:27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1383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1384</v>
      </c>
      <c r="M323" s="15" t="s">
        <v>1375</v>
      </c>
      <c r="N323" s="15" t="s">
        <v>29</v>
      </c>
      <c r="O323" s="15" t="s">
        <v>1070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1385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VLOOKUP(F323,[2]Wait!$H$225:$I$260,2,0)</f>
        <v>#N/A</v>
      </c>
    </row>
    <row r="324" spans="1:27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1389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1390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1388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VLOOKUP(F324,[2]Wait!$H$225:$I$260,2,0)</f>
        <v>#N/A</v>
      </c>
    </row>
    <row r="325" spans="1:27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1395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873</v>
      </c>
      <c r="M325" s="15" t="s">
        <v>1375</v>
      </c>
      <c r="N325" s="15" t="s">
        <v>29</v>
      </c>
      <c r="O325" s="15" t="s">
        <v>949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872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VLOOKUP(F325,[2]Wait!$H$225:$I$260,2,0)</f>
        <v>#N/A</v>
      </c>
    </row>
    <row r="326" spans="1:27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1396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1397</v>
      </c>
      <c r="M326" s="15" t="s">
        <v>1398</v>
      </c>
      <c r="N326" s="15" t="s">
        <v>29</v>
      </c>
      <c r="O326" s="15" t="s">
        <v>949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1399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VLOOKUP(F326,[2]Wait!$H$225:$I$260,2,0)</f>
        <v>#N/A</v>
      </c>
    </row>
    <row r="327" spans="1:27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1400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1401</v>
      </c>
      <c r="N327" s="15" t="s">
        <v>29</v>
      </c>
      <c r="O327" s="15" t="s">
        <v>955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VLOOKUP(F327,[2]Wait!$H$225:$I$260,2,0)</f>
        <v>#N/A</v>
      </c>
    </row>
    <row r="328" spans="1:27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1402</v>
      </c>
      <c r="E328" s="15" t="s">
        <v>26</v>
      </c>
      <c r="F328" s="15" t="s">
        <v>3261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VLOOKUP(F328,[2]Wait!$H$225:$I$260,2,0)</f>
        <v>#N/A</v>
      </c>
    </row>
    <row r="329" spans="1:27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1403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1401</v>
      </c>
      <c r="N329" s="15" t="s">
        <v>29</v>
      </c>
      <c r="O329" s="15" t="s">
        <v>991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VLOOKUP(F329,[2]Wait!$H$225:$I$260,2,0)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1404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1405</v>
      </c>
      <c r="M330" s="15" t="s">
        <v>1401</v>
      </c>
      <c r="N330" s="15" t="s">
        <v>29</v>
      </c>
      <c r="O330" s="15" t="s">
        <v>955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1406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VLOOKUP(F330,[2]Wait!$H$225:$I$260,2,0)</f>
        <v>#N/A</v>
      </c>
    </row>
    <row r="331" spans="1:27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1407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1408</v>
      </c>
      <c r="M331" s="15" t="s">
        <v>1401</v>
      </c>
      <c r="N331" s="15" t="s">
        <v>29</v>
      </c>
      <c r="O331" s="15" t="s">
        <v>939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1184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VLOOKUP(F331,[2]Wait!$H$225:$I$260,2,0)</f>
        <v>#N/A</v>
      </c>
    </row>
    <row r="332" spans="1:27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1409</v>
      </c>
      <c r="E332" s="15" t="s">
        <v>26</v>
      </c>
      <c r="F332" s="15" t="s">
        <v>3264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1410</v>
      </c>
      <c r="M332" s="15" t="s">
        <v>1401</v>
      </c>
      <c r="N332" s="15" t="s">
        <v>29</v>
      </c>
      <c r="O332" s="15" t="s">
        <v>1070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1385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VLOOKUP(F332,[2]Wait!$H$225:$I$260,2,0)</f>
        <v>#N/A</v>
      </c>
    </row>
    <row r="333" spans="1:27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1416</v>
      </c>
      <c r="E333" s="15" t="s">
        <v>1417</v>
      </c>
      <c r="F333" s="15" t="s">
        <v>1417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  <c r="AA333" s="17" t="e">
        <f>VLOOKUP(F333,[2]Wait!$H$225:$I$260,2,0)</f>
        <v>#N/A</v>
      </c>
    </row>
    <row r="334" spans="1:27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1418</v>
      </c>
      <c r="E334" s="15" t="s">
        <v>1419</v>
      </c>
      <c r="F334" s="15" t="s">
        <v>1419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1420</v>
      </c>
      <c r="M334" s="15" t="s">
        <v>1401</v>
      </c>
      <c r="N334" s="15" t="s">
        <v>29</v>
      </c>
      <c r="O334" s="15" t="s">
        <v>1044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1135</v>
      </c>
      <c r="AA334" s="17" t="e">
        <f>VLOOKUP(F334,[2]Wait!$H$225:$I$260,2,0)</f>
        <v>#N/A</v>
      </c>
    </row>
    <row r="335" spans="1:27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1421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907</v>
      </c>
      <c r="M335" s="15" t="s">
        <v>1422</v>
      </c>
      <c r="N335" s="15" t="s">
        <v>29</v>
      </c>
      <c r="O335" s="15" t="s">
        <v>939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908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VLOOKUP(F335,[2]Wait!$H$225:$I$260,2,0)</f>
        <v>#N/A</v>
      </c>
    </row>
    <row r="336" spans="1:27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1423</v>
      </c>
      <c r="E336" s="15" t="s">
        <v>26</v>
      </c>
      <c r="F336" s="15" t="s">
        <v>3266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909</v>
      </c>
      <c r="M336" s="15" t="s">
        <v>1422</v>
      </c>
      <c r="N336" s="15" t="s">
        <v>29</v>
      </c>
      <c r="O336" s="15" t="s">
        <v>949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910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VLOOKUP(F336,[2]Wait!$H$225:$I$260,2,0)</f>
        <v>#N/A</v>
      </c>
    </row>
    <row r="337" spans="1:27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1190</v>
      </c>
      <c r="E337" s="15" t="s">
        <v>1191</v>
      </c>
      <c r="F337" s="15" t="s">
        <v>3267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1192</v>
      </c>
      <c r="M337" s="15" t="s">
        <v>1425</v>
      </c>
      <c r="N337" s="15" t="s">
        <v>29</v>
      </c>
      <c r="O337" s="15" t="s">
        <v>1193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1194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VLOOKUP(F337,[2]Wait!$H$225:$I$260,2,0)</f>
        <v>#N/A</v>
      </c>
    </row>
    <row r="338" spans="1:27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1215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1216</v>
      </c>
      <c r="M338" s="15" t="s">
        <v>1425</v>
      </c>
      <c r="N338" s="15" t="s">
        <v>29</v>
      </c>
      <c r="O338" s="15" t="s">
        <v>939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1217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VLOOKUP(F338,[2]Wait!$H$225:$I$260,2,0)</f>
        <v>#N/A</v>
      </c>
    </row>
    <row r="339" spans="1:27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1424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1425</v>
      </c>
      <c r="N339" s="15" t="s">
        <v>29</v>
      </c>
      <c r="O339" s="15" t="s">
        <v>955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VLOOKUP(F339,[2]Wait!$H$225:$I$260,2,0)</f>
        <v>#N/A</v>
      </c>
    </row>
    <row r="340" spans="1:27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1426</v>
      </c>
      <c r="E340" s="15" t="s">
        <v>26</v>
      </c>
      <c r="F340" s="15" t="s">
        <v>3270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1425</v>
      </c>
      <c r="N340" s="15" t="s">
        <v>29</v>
      </c>
      <c r="O340" s="15" t="s">
        <v>949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VLOOKUP(F340,[2]Wait!$H$225:$I$260,2,0)</f>
        <v>#N/A</v>
      </c>
    </row>
    <row r="341" spans="1:27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1427</v>
      </c>
      <c r="E341" s="15" t="s">
        <v>26</v>
      </c>
      <c r="F341" s="15" t="s">
        <v>3271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1425</v>
      </c>
      <c r="N341" s="15" t="s">
        <v>29</v>
      </c>
      <c r="O341" s="15" t="s">
        <v>939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VLOOKUP(F341,[2]Wait!$H$225:$I$260,2,0)</f>
        <v>#N/A</v>
      </c>
    </row>
    <row r="342" spans="1:27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1224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1225</v>
      </c>
      <c r="M342" s="15" t="s">
        <v>1425</v>
      </c>
      <c r="N342" s="15" t="s">
        <v>29</v>
      </c>
      <c r="O342" s="15" t="s">
        <v>939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1226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VLOOKUP(F342,[2]Wait!$H$225:$I$260,2,0)</f>
        <v>#N/A</v>
      </c>
    </row>
    <row r="343" spans="1:27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1428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1429</v>
      </c>
      <c r="M343" s="15" t="s">
        <v>1425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1430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VLOOKUP(F343,[2]Wait!$H$225:$I$260,2,0)</f>
        <v>#N/A</v>
      </c>
    </row>
    <row r="344" spans="1:27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1431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1432</v>
      </c>
      <c r="M344" s="15" t="s">
        <v>1425</v>
      </c>
      <c r="N344" s="15" t="s">
        <v>29</v>
      </c>
      <c r="O344" s="15" t="s">
        <v>939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1433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VLOOKUP(F344,[2]Wait!$H$225:$I$260,2,0)</f>
        <v>#N/A</v>
      </c>
    </row>
    <row r="345" spans="1:27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1434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1425</v>
      </c>
      <c r="N345" s="15" t="s">
        <v>29</v>
      </c>
      <c r="O345" s="15" t="s">
        <v>946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VLOOKUP(F345,[2]Wait!$H$225:$I$260,2,0)</f>
        <v>#N/A</v>
      </c>
    </row>
    <row r="346" spans="1:27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1435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VLOOKUP(F346,[2]Wait!$H$225:$I$260,2,0)</f>
        <v>#N/A</v>
      </c>
    </row>
    <row r="347" spans="1:27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1436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VLOOKUP(F347,[2]Wait!$H$225:$I$260,2,0)</f>
        <v>#N/A</v>
      </c>
    </row>
    <row r="348" spans="1:27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1437</v>
      </c>
      <c r="E348" s="15" t="s">
        <v>26</v>
      </c>
      <c r="F348" s="15" t="s">
        <v>3278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1425</v>
      </c>
      <c r="N348" s="15" t="s">
        <v>29</v>
      </c>
      <c r="O348" s="15" t="s">
        <v>946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VLOOKUP(F348,[2]Wait!$H$225:$I$260,2,0)</f>
        <v>#N/A</v>
      </c>
    </row>
    <row r="349" spans="1:27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1438</v>
      </c>
      <c r="E349" s="15" t="s">
        <v>26</v>
      </c>
      <c r="F349" s="15" t="s">
        <v>3279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1439</v>
      </c>
      <c r="M349" s="15" t="s">
        <v>1425</v>
      </c>
      <c r="N349" s="15" t="s">
        <v>29</v>
      </c>
      <c r="O349" s="15" t="s">
        <v>939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969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VLOOKUP(F349,[2]Wait!$H$225:$I$260,2,0)</f>
        <v>#N/A</v>
      </c>
    </row>
    <row r="350" spans="1:27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1440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1425</v>
      </c>
      <c r="N350" s="15" t="s">
        <v>29</v>
      </c>
      <c r="O350" s="15" t="s">
        <v>939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VLOOKUP(F350,[2]Wait!$H$225:$I$260,2,0)</f>
        <v>#N/A</v>
      </c>
    </row>
    <row r="351" spans="1:27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1245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1246</v>
      </c>
      <c r="M351" s="15" t="s">
        <v>1425</v>
      </c>
      <c r="N351" s="15" t="s">
        <v>29</v>
      </c>
      <c r="O351" s="15" t="s">
        <v>949</v>
      </c>
      <c r="P351" s="15" t="s">
        <v>41</v>
      </c>
      <c r="Q351" s="15" t="s">
        <v>42</v>
      </c>
      <c r="R351" s="15" t="s">
        <v>1240</v>
      </c>
      <c r="S351" s="15" t="s">
        <v>32</v>
      </c>
      <c r="T351" s="15" t="s">
        <v>78</v>
      </c>
      <c r="U351" s="15" t="s">
        <v>1247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VLOOKUP(F351,[2]Wait!$H$225:$I$260,2,0)</f>
        <v>#N/A</v>
      </c>
    </row>
    <row r="352" spans="1:27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1441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1442</v>
      </c>
      <c r="M352" s="15" t="s">
        <v>1425</v>
      </c>
      <c r="N352" s="15" t="s">
        <v>29</v>
      </c>
      <c r="O352" s="15" t="s">
        <v>949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1443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VLOOKUP(F352,[2]Wait!$H$225:$I$260,2,0)</f>
        <v>#N/A</v>
      </c>
    </row>
    <row r="353" spans="1:27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1444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1445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VLOOKUP(F353,[2]Wait!$H$225:$I$260,2,0)</f>
        <v>#N/A</v>
      </c>
    </row>
    <row r="354" spans="1:27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987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988</v>
      </c>
      <c r="M354" s="15" t="s">
        <v>1425</v>
      </c>
      <c r="N354" s="15" t="s">
        <v>29</v>
      </c>
      <c r="O354" s="15" t="s">
        <v>939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989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VLOOKUP(F354,[2]Wait!$H$225:$I$260,2,0)</f>
        <v>#N/A</v>
      </c>
    </row>
    <row r="355" spans="1:27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992</v>
      </c>
      <c r="E355" s="15" t="s">
        <v>26</v>
      </c>
      <c r="F355" s="15" t="s">
        <v>3285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1425</v>
      </c>
      <c r="N355" s="15" t="s">
        <v>29</v>
      </c>
      <c r="O355" s="15" t="s">
        <v>991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VLOOKUP(F355,[2]Wait!$H$225:$I$260,2,0)</f>
        <v>#N/A</v>
      </c>
    </row>
    <row r="356" spans="1:27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1257</v>
      </c>
      <c r="E356" s="15" t="s">
        <v>26</v>
      </c>
      <c r="F356" s="15" t="s">
        <v>3286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1258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1254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VLOOKUP(F356,[2]Wait!$H$225:$I$260,2,0)</f>
        <v>#N/A</v>
      </c>
    </row>
    <row r="357" spans="1:27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1446</v>
      </c>
      <c r="E357" s="15" t="s">
        <v>26</v>
      </c>
      <c r="F357" s="15" t="s">
        <v>3287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VLOOKUP(F357,[2]Wait!$H$225:$I$260,2,0)</f>
        <v>#N/A</v>
      </c>
    </row>
    <row r="358" spans="1:27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1447</v>
      </c>
      <c r="E358" s="15" t="s">
        <v>26</v>
      </c>
      <c r="F358" s="15" t="s">
        <v>3288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1425</v>
      </c>
      <c r="N358" s="15" t="s">
        <v>29</v>
      </c>
      <c r="O358" s="15" t="s">
        <v>939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VLOOKUP(F358,[2]Wait!$H$225:$I$260,2,0)</f>
        <v>#N/A</v>
      </c>
    </row>
    <row r="359" spans="1:27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2845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2846</v>
      </c>
      <c r="M359" s="15" t="s">
        <v>1425</v>
      </c>
      <c r="N359" s="15" t="s">
        <v>29</v>
      </c>
      <c r="O359" s="15" t="s">
        <v>949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1328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VLOOKUP(F359,[2]Wait!$H$225:$I$260,2,0)</f>
        <v>#N/A</v>
      </c>
    </row>
    <row r="360" spans="1:27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1262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1263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1115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VLOOKUP(F360,[2]Wait!$H$225:$I$260,2,0)</f>
        <v>#N/A</v>
      </c>
    </row>
    <row r="361" spans="1:27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1448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1425</v>
      </c>
      <c r="N361" s="15" t="s">
        <v>29</v>
      </c>
      <c r="O361" s="15" t="s">
        <v>939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VLOOKUP(F361,[2]Wait!$H$225:$I$260,2,0)</f>
        <v>#N/A</v>
      </c>
    </row>
    <row r="362" spans="1:27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1449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1425</v>
      </c>
      <c r="N362" s="15" t="s">
        <v>29</v>
      </c>
      <c r="O362" s="15" t="s">
        <v>949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VLOOKUP(F362,[2]Wait!$H$225:$I$260,2,0)</f>
        <v>#N/A</v>
      </c>
    </row>
    <row r="363" spans="1:27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1450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1451</v>
      </c>
      <c r="M363" s="15" t="s">
        <v>1425</v>
      </c>
      <c r="N363" s="15" t="s">
        <v>29</v>
      </c>
      <c r="O363" s="15" t="s">
        <v>939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1002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VLOOKUP(F363,[2]Wait!$H$225:$I$260,2,0)</f>
        <v>#N/A</v>
      </c>
    </row>
    <row r="364" spans="1:27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1452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1453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1454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VLOOKUP(F364,[2]Wait!$H$225:$I$260,2,0)</f>
        <v>#N/A</v>
      </c>
    </row>
    <row r="365" spans="1:27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1455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900</v>
      </c>
      <c r="M365" s="15" t="s">
        <v>1425</v>
      </c>
      <c r="N365" s="15" t="s">
        <v>29</v>
      </c>
      <c r="O365" s="15" t="s">
        <v>946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901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VLOOKUP(F365,[2]Wait!$H$225:$I$260,2,0)</f>
        <v>#N/A</v>
      </c>
    </row>
    <row r="366" spans="1:27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1456</v>
      </c>
      <c r="E366" s="15" t="s">
        <v>26</v>
      </c>
      <c r="F366" s="15" t="s">
        <v>3296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1425</v>
      </c>
      <c r="N366" s="15" t="s">
        <v>29</v>
      </c>
      <c r="O366" s="15" t="s">
        <v>949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VLOOKUP(F366,[2]Wait!$H$225:$I$260,2,0)</f>
        <v>#N/A</v>
      </c>
    </row>
    <row r="367" spans="1:27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1457</v>
      </c>
      <c r="E367" s="15" t="s">
        <v>26</v>
      </c>
      <c r="F367" s="15" t="s">
        <v>3297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1425</v>
      </c>
      <c r="N367" s="15" t="s">
        <v>29</v>
      </c>
      <c r="O367" s="15" t="s">
        <v>939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VLOOKUP(F367,[2]Wait!$H$225:$I$260,2,0)</f>
        <v>#N/A</v>
      </c>
    </row>
    <row r="368" spans="1:27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1458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1425</v>
      </c>
      <c r="N368" s="15" t="s">
        <v>29</v>
      </c>
      <c r="O368" s="15" t="s">
        <v>949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VLOOKUP(F368,[2]Wait!$H$225:$I$260,2,0)</f>
        <v>#N/A</v>
      </c>
    </row>
    <row r="369" spans="1:27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1012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1425</v>
      </c>
      <c r="N369" s="15" t="s">
        <v>29</v>
      </c>
      <c r="O369" s="15" t="s">
        <v>1013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VLOOKUP(F369,[2]Wait!$H$225:$I$260,2,0)</f>
        <v>#N/A</v>
      </c>
    </row>
    <row r="370" spans="1:27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1459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VLOOKUP(F370,[2]Wait!$H$225:$I$260,2,0)</f>
        <v>#N/A</v>
      </c>
    </row>
    <row r="371" spans="1:27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1460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1461</v>
      </c>
      <c r="M371" s="15" t="s">
        <v>1425</v>
      </c>
      <c r="N371" s="15" t="s">
        <v>29</v>
      </c>
      <c r="O371" s="15" t="s">
        <v>955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1462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VLOOKUP(F371,[2]Wait!$H$225:$I$260,2,0)</f>
        <v>#N/A</v>
      </c>
    </row>
    <row r="372" spans="1:27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1463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1425</v>
      </c>
      <c r="N372" s="15" t="s">
        <v>29</v>
      </c>
      <c r="O372" s="15" t="s">
        <v>1013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VLOOKUP(F372,[2]Wait!$H$225:$I$260,2,0)</f>
        <v>#N/A</v>
      </c>
    </row>
    <row r="373" spans="1:27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1464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VLOOKUP(F373,[2]Wait!$H$225:$I$260,2,0)</f>
        <v>#N/A</v>
      </c>
    </row>
    <row r="374" spans="1:27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1465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1466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1467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VLOOKUP(F374,[2]Wait!$H$225:$I$260,2,0)</f>
        <v>#N/A</v>
      </c>
    </row>
    <row r="375" spans="1:27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1468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1469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1470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VLOOKUP(F375,[2]Wait!$H$225:$I$260,2,0)</f>
        <v>#N/A</v>
      </c>
    </row>
    <row r="376" spans="1:27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1471</v>
      </c>
      <c r="E376" s="15" t="s">
        <v>26</v>
      </c>
      <c r="F376" s="15" t="s">
        <v>3306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1472</v>
      </c>
      <c r="M376" s="15" t="s">
        <v>1425</v>
      </c>
      <c r="N376" s="15" t="s">
        <v>29</v>
      </c>
      <c r="O376" s="15" t="s">
        <v>955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1473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VLOOKUP(F376,[2]Wait!$H$225:$I$260,2,0)</f>
        <v>#N/A</v>
      </c>
    </row>
    <row r="377" spans="1:27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1474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VLOOKUP(F377,[2]Wait!$H$225:$I$260,2,0)</f>
        <v>#N/A</v>
      </c>
    </row>
    <row r="378" spans="1:27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2143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602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607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VLOOKUP(F378,[2]Wait!$H$225:$I$260,2,0)</f>
        <v>#N/A</v>
      </c>
    </row>
    <row r="379" spans="1:27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1475</v>
      </c>
      <c r="E379" s="15" t="s">
        <v>26</v>
      </c>
      <c r="F379" s="15" t="s">
        <v>3309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605</v>
      </c>
      <c r="M379" s="15" t="s">
        <v>1425</v>
      </c>
      <c r="N379" s="15" t="s">
        <v>29</v>
      </c>
      <c r="O379" s="15" t="s">
        <v>939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78</v>
      </c>
      <c r="U379" s="15" t="s">
        <v>608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VLOOKUP(F379,[2]Wait!$H$225:$I$260,2,0)</f>
        <v>#N/A</v>
      </c>
    </row>
    <row r="380" spans="1:27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2150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2151</v>
      </c>
      <c r="M380" s="15" t="s">
        <v>1425</v>
      </c>
      <c r="N380" s="15" t="s">
        <v>29</v>
      </c>
      <c r="O380" s="15" t="s">
        <v>949</v>
      </c>
      <c r="P380" s="15" t="s">
        <v>41</v>
      </c>
      <c r="Q380" s="15" t="s">
        <v>42</v>
      </c>
      <c r="R380" s="15" t="s">
        <v>603</v>
      </c>
      <c r="S380" s="15" t="s">
        <v>32</v>
      </c>
      <c r="T380" s="15" t="s">
        <v>66</v>
      </c>
      <c r="U380" s="15" t="s">
        <v>2149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VLOOKUP(F380,[2]Wait!$H$225:$I$260,2,0)</f>
        <v>#N/A</v>
      </c>
    </row>
    <row r="381" spans="1:27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1476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1477</v>
      </c>
      <c r="M381" s="15" t="s">
        <v>1425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1478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VLOOKUP(F381,[2]Wait!$H$225:$I$260,2,0)</f>
        <v>#N/A</v>
      </c>
    </row>
    <row r="382" spans="1:27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1312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1313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1314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VLOOKUP(F382,[2]Wait!$H$225:$I$260,2,0)</f>
        <v>#N/A</v>
      </c>
    </row>
    <row r="383" spans="1:27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1318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1319</v>
      </c>
      <c r="M383" s="15" t="s">
        <v>1425</v>
      </c>
      <c r="N383" s="15" t="s">
        <v>29</v>
      </c>
      <c r="O383" s="15" t="s">
        <v>939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1317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VLOOKUP(F383,[2]Wait!$H$225:$I$260,2,0)</f>
        <v>#N/A</v>
      </c>
    </row>
    <row r="384" spans="1:27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1484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667</v>
      </c>
      <c r="M384" s="15" t="s">
        <v>1425</v>
      </c>
      <c r="N384" s="15" t="s">
        <v>29</v>
      </c>
      <c r="O384" s="15" t="s">
        <v>949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668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VLOOKUP(F384,[2]Wait!$H$225:$I$260,2,0)</f>
        <v>#N/A</v>
      </c>
    </row>
    <row r="385" spans="1:27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1485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669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670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VLOOKUP(F385,[2]Wait!$H$225:$I$260,2,0)</f>
        <v>#N/A</v>
      </c>
    </row>
    <row r="386" spans="1:27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1486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671</v>
      </c>
      <c r="M386" s="15" t="s">
        <v>1425</v>
      </c>
      <c r="N386" s="15" t="s">
        <v>29</v>
      </c>
      <c r="O386" s="15" t="s">
        <v>939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672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VLOOKUP(F386,[2]Wait!$H$225:$I$260,2,0)</f>
        <v>#N/A</v>
      </c>
    </row>
    <row r="387" spans="1:27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1487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675</v>
      </c>
      <c r="M387" s="15" t="s">
        <v>1425</v>
      </c>
      <c r="N387" s="15" t="s">
        <v>29</v>
      </c>
      <c r="O387" s="15" t="s">
        <v>949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676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VLOOKUP(F387,[2]Wait!$H$225:$I$260,2,0)</f>
        <v>#N/A</v>
      </c>
    </row>
    <row r="388" spans="1:27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1488</v>
      </c>
      <c r="E388" s="15" t="s">
        <v>26</v>
      </c>
      <c r="F388" s="15" t="s">
        <v>3318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VLOOKUP(F388,[2]Wait!$H$225:$I$260,2,0)</f>
        <v>#N/A</v>
      </c>
    </row>
    <row r="389" spans="1:27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1491</v>
      </c>
      <c r="E389" s="15" t="s">
        <v>26</v>
      </c>
      <c r="F389" s="15" t="s">
        <v>3318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1489</v>
      </c>
      <c r="M389" s="15" t="s">
        <v>1425</v>
      </c>
      <c r="N389" s="15" t="s">
        <v>29</v>
      </c>
      <c r="O389" s="15" t="s">
        <v>949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1490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VLOOKUP(F389,[2]Wait!$H$225:$I$260,2,0)</f>
        <v>#N/A</v>
      </c>
    </row>
    <row r="390" spans="1:27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1492</v>
      </c>
      <c r="E390" s="15" t="s">
        <v>1493</v>
      </c>
      <c r="F390" s="15" t="s">
        <v>3319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1494</v>
      </c>
      <c r="M390" s="15" t="s">
        <v>1425</v>
      </c>
      <c r="N390" s="15" t="s">
        <v>29</v>
      </c>
      <c r="O390" s="15" t="s">
        <v>1044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1495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VLOOKUP(F390,[2]Wait!$H$225:$I$260,2,0)</f>
        <v>#N/A</v>
      </c>
    </row>
    <row r="391" spans="1:27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1045</v>
      </c>
      <c r="E391" s="15" t="s">
        <v>1046</v>
      </c>
      <c r="F391" s="15" t="s">
        <v>1046</v>
      </c>
      <c r="G391" s="15" t="s">
        <v>194</v>
      </c>
      <c r="H391" s="15" t="s">
        <v>26</v>
      </c>
      <c r="I391" s="16">
        <v>46273</v>
      </c>
      <c r="J391" s="15" t="s">
        <v>683</v>
      </c>
      <c r="K391" s="15" t="s">
        <v>28</v>
      </c>
      <c r="L391" s="15" t="s">
        <v>1047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VLOOKUP(F391,[2]Wait!$H$225:$I$260,2,0)</f>
        <v>#N/A</v>
      </c>
    </row>
    <row r="392" spans="1:27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1614</v>
      </c>
      <c r="E392" s="15" t="s">
        <v>1615</v>
      </c>
      <c r="F392" s="15" t="s">
        <v>1615</v>
      </c>
      <c r="G392" s="15" t="s">
        <v>194</v>
      </c>
      <c r="H392" s="15" t="s">
        <v>26</v>
      </c>
      <c r="I392" s="16">
        <v>46280</v>
      </c>
      <c r="J392" s="15" t="s">
        <v>683</v>
      </c>
      <c r="K392" s="15" t="s">
        <v>28</v>
      </c>
      <c r="L392" s="15" t="s">
        <v>1616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VLOOKUP(F392,[2]Wait!$H$225:$I$260,2,0)</f>
        <v>#N/A</v>
      </c>
    </row>
    <row r="393" spans="1:27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2855</v>
      </c>
      <c r="E393" s="15" t="s">
        <v>2856</v>
      </c>
      <c r="F393" s="15" t="s">
        <v>2856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2857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VLOOKUP(F393,[2]Wait!$H$225:$I$260,2,0)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1496</v>
      </c>
      <c r="E394" s="15" t="s">
        <v>1497</v>
      </c>
      <c r="F394" s="15" t="s">
        <v>1497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1498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1134</v>
      </c>
      <c r="Y394" s="16">
        <v>46273</v>
      </c>
      <c r="Z394" s="15" t="s">
        <v>226</v>
      </c>
      <c r="AA394" s="17" t="e">
        <f>VLOOKUP(F394,[2]Wait!$H$225:$I$260,2,0)</f>
        <v>#N/A</v>
      </c>
    </row>
    <row r="395" spans="1:27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1499</v>
      </c>
      <c r="E395" s="15" t="s">
        <v>1500</v>
      </c>
      <c r="F395" s="15" t="s">
        <v>1500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1501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1502</v>
      </c>
      <c r="Y395" s="16">
        <v>46273</v>
      </c>
      <c r="Z395" s="15" t="s">
        <v>226</v>
      </c>
      <c r="AA395" s="17" t="e">
        <f>VLOOKUP(F395,[2]Wait!$H$225:$I$260,2,0)</f>
        <v>#N/A</v>
      </c>
    </row>
    <row r="396" spans="1:27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1055</v>
      </c>
      <c r="E396" s="15" t="s">
        <v>1056</v>
      </c>
      <c r="F396" s="15" t="s">
        <v>1056</v>
      </c>
      <c r="G396" s="15" t="s">
        <v>194</v>
      </c>
      <c r="H396" s="15" t="s">
        <v>26</v>
      </c>
      <c r="I396" s="16">
        <v>46280</v>
      </c>
      <c r="J396" s="15" t="s">
        <v>683</v>
      </c>
      <c r="K396" s="15" t="s">
        <v>28</v>
      </c>
      <c r="L396" s="15" t="s">
        <v>916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1057</v>
      </c>
      <c r="Y396" s="16">
        <v>46272</v>
      </c>
      <c r="Z396" s="15" t="s">
        <v>226</v>
      </c>
      <c r="AA396" s="17" t="e">
        <f>VLOOKUP(F396,[2]Wait!$H$225:$I$260,2,0)</f>
        <v>#N/A</v>
      </c>
    </row>
    <row r="397" spans="1:27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1503</v>
      </c>
      <c r="E397" s="15" t="s">
        <v>1504</v>
      </c>
      <c r="F397" s="15" t="s">
        <v>1504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1505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1506</v>
      </c>
      <c r="Y397" s="16">
        <v>46273</v>
      </c>
      <c r="Z397" s="15" t="s">
        <v>226</v>
      </c>
      <c r="AA397" s="17" t="e">
        <f>VLOOKUP(F397,[2]Wait!$H$225:$I$260,2,0)</f>
        <v>#N/A</v>
      </c>
    </row>
    <row r="398" spans="1:27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1627</v>
      </c>
      <c r="E398" s="15" t="s">
        <v>1628</v>
      </c>
      <c r="F398" s="15" t="s">
        <v>1628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1629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VLOOKUP(F398,[2]Wait!$H$225:$I$260,2,0)</f>
        <v>#N/A</v>
      </c>
    </row>
    <row r="399" spans="1:27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1630</v>
      </c>
      <c r="E399" s="15" t="s">
        <v>1631</v>
      </c>
      <c r="F399" s="15" t="s">
        <v>1631</v>
      </c>
      <c r="G399" s="15" t="s">
        <v>194</v>
      </c>
      <c r="H399" s="15" t="s">
        <v>26</v>
      </c>
      <c r="I399" s="16">
        <v>46280</v>
      </c>
      <c r="J399" s="15" t="s">
        <v>683</v>
      </c>
      <c r="K399" s="15" t="s">
        <v>28</v>
      </c>
      <c r="L399" s="15" t="s">
        <v>1632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VLOOKUP(F399,[2]Wait!$H$225:$I$260,2,0)</f>
        <v>#N/A</v>
      </c>
    </row>
    <row r="400" spans="1:27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3320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VLOOKUP(F400,[2]Wait!$H$225:$I$260,2,0)</f>
        <v>#N/A</v>
      </c>
    </row>
    <row r="401" spans="1:27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3320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VLOOKUP(F401,[2]Wait!$H$225:$I$260,2,0)</f>
        <v>#N/A</v>
      </c>
    </row>
    <row r="402" spans="1:27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3321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VLOOKUP(F402,[2]Wait!$H$225:$I$260,2,0)</f>
        <v>#N/A</v>
      </c>
    </row>
    <row r="403" spans="1:27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3321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VLOOKUP(F403,[2]Wait!$H$225:$I$260,2,0)</f>
        <v>#N/A</v>
      </c>
    </row>
    <row r="404" spans="1:27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3322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VLOOKUP(F404,[2]Wait!$H$225:$I$260,2,0)</f>
        <v>#N/A</v>
      </c>
    </row>
    <row r="405" spans="1:27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VLOOKUP(F405,[2]Wait!$H$225:$I$260,2,0)</f>
        <v>#N/A</v>
      </c>
    </row>
    <row r="406" spans="1:27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3323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VLOOKUP(F406,[2]Wait!$H$225:$I$260,2,0)</f>
        <v>#N/A</v>
      </c>
    </row>
    <row r="407" spans="1:27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3323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VLOOKUP(F407,[2]Wait!$H$225:$I$260,2,0)</f>
        <v>#N/A</v>
      </c>
    </row>
    <row r="408" spans="1:27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3324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VLOOKUP(F408,[2]Wait!$H$225:$I$260,2,0)</f>
        <v>#N/A</v>
      </c>
    </row>
    <row r="409" spans="1:27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3325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VLOOKUP(F409,[2]Wait!$H$225:$I$260,2,0)</f>
        <v>#N/A</v>
      </c>
    </row>
    <row r="410" spans="1:27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3326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VLOOKUP(F410,[2]Wait!$H$225:$I$260,2,0)</f>
        <v>#N/A</v>
      </c>
    </row>
    <row r="411" spans="1:27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3327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VLOOKUP(F411,[2]Wait!$H$225:$I$260,2,0)</f>
        <v>#N/A</v>
      </c>
    </row>
    <row r="412" spans="1:27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3328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VLOOKUP(F412,[2]Wait!$H$225:$I$260,2,0)</f>
        <v>#N/A</v>
      </c>
    </row>
    <row r="413" spans="1:27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3329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VLOOKUP(F413,[2]Wait!$H$225:$I$260,2,0)</f>
        <v>#N/A</v>
      </c>
    </row>
    <row r="414" spans="1:27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3330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VLOOKUP(F414,[2]Wait!$H$225:$I$260,2,0)</f>
        <v>#N/A</v>
      </c>
    </row>
    <row r="415" spans="1:27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3331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VLOOKUP(F415,[2]Wait!$H$225:$I$260,2,0)</f>
        <v>#N/A</v>
      </c>
    </row>
    <row r="416" spans="1:27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3332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VLOOKUP(F416,[2]Wait!$H$225:$I$260,2,0)</f>
        <v>#N/A</v>
      </c>
    </row>
    <row r="417" spans="1:27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3333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VLOOKUP(F417,[2]Wait!$H$225:$I$260,2,0)</f>
        <v>#N/A</v>
      </c>
    </row>
    <row r="418" spans="1:27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3334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VLOOKUP(F418,[2]Wait!$H$225:$I$260,2,0)</f>
        <v>#N/A</v>
      </c>
    </row>
    <row r="419" spans="1:27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3335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VLOOKUP(F419,[2]Wait!$H$225:$I$260,2,0)</f>
        <v>#N/A</v>
      </c>
    </row>
    <row r="420" spans="1:27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3336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VLOOKUP(F420,[2]Wait!$H$225:$I$260,2,0)</f>
        <v>#N/A</v>
      </c>
    </row>
    <row r="421" spans="1:27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3337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VLOOKUP(F421,[2]Wait!$H$225:$I$260,2,0)</f>
        <v>#N/A</v>
      </c>
    </row>
    <row r="422" spans="1:27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3338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VLOOKUP(F422,[2]Wait!$H$225:$I$260,2,0)</f>
        <v>#N/A</v>
      </c>
    </row>
    <row r="423" spans="1:27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3339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VLOOKUP(F423,[2]Wait!$H$225:$I$260,2,0)</f>
        <v>#N/A</v>
      </c>
    </row>
    <row r="424" spans="1:27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3340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VLOOKUP(F424,[2]Wait!$H$225:$I$260,2,0)</f>
        <v>#N/A</v>
      </c>
    </row>
    <row r="425" spans="1:27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3340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VLOOKUP(F425,[2]Wait!$H$225:$I$260,2,0)</f>
        <v>#N/A</v>
      </c>
    </row>
    <row r="426" spans="1:27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3340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VLOOKUP(F426,[2]Wait!$H$225:$I$260,2,0)</f>
        <v>#N/A</v>
      </c>
    </row>
    <row r="427" spans="1:27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3341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VLOOKUP(F427,[2]Wait!$H$225:$I$260,2,0)</f>
        <v>#N/A</v>
      </c>
    </row>
    <row r="428" spans="1:27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3342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VLOOKUP(F428,[2]Wait!$H$225:$I$260,2,0)</f>
        <v>#N/A</v>
      </c>
    </row>
    <row r="429" spans="1:27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3343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VLOOKUP(F429,[2]Wait!$H$225:$I$260,2,0)</f>
        <v>#N/A</v>
      </c>
    </row>
    <row r="430" spans="1:27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3344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VLOOKUP(F430,[2]Wait!$H$225:$I$260,2,0)</f>
        <v>#N/A</v>
      </c>
    </row>
    <row r="431" spans="1:27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3345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VLOOKUP(F431,[2]Wait!$H$225:$I$260,2,0)</f>
        <v>#N/A</v>
      </c>
    </row>
    <row r="432" spans="1:27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3346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VLOOKUP(F432,[2]Wait!$H$225:$I$260,2,0)</f>
        <v>#N/A</v>
      </c>
    </row>
    <row r="433" spans="1:27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3347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VLOOKUP(F433,[2]Wait!$H$225:$I$260,2,0)</f>
        <v>#N/A</v>
      </c>
    </row>
    <row r="434" spans="1:27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3348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VLOOKUP(F434,[2]Wait!$H$225:$I$260,2,0)</f>
        <v>#N/A</v>
      </c>
    </row>
    <row r="435" spans="1:27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3349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VLOOKUP(F435,[2]Wait!$H$225:$I$260,2,0)</f>
        <v>#N/A</v>
      </c>
    </row>
    <row r="436" spans="1:27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3350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VLOOKUP(F436,[2]Wait!$H$225:$I$260,2,0)</f>
        <v>#N/A</v>
      </c>
    </row>
    <row r="437" spans="1:27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3350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VLOOKUP(F437,[2]Wait!$H$225:$I$260,2,0)</f>
        <v>#N/A</v>
      </c>
    </row>
    <row r="438" spans="1:27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VLOOKUP(F438,[2]Wait!$H$225:$I$260,2,0)</f>
        <v>#N/A</v>
      </c>
    </row>
    <row r="439" spans="1:27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3351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VLOOKUP(F439,[2]Wait!$H$225:$I$260,2,0)</f>
        <v>#N/A</v>
      </c>
    </row>
    <row r="440" spans="1:27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  <c r="AA440" s="17" t="e">
        <f>VLOOKUP(F440,[2]Wait!$H$225:$I$260,2,0)</f>
        <v>#N/A</v>
      </c>
    </row>
    <row r="441" spans="1:27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3352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VLOOKUP(F441,[2]Wait!$H$225:$I$260,2,0)</f>
        <v>#N/A</v>
      </c>
    </row>
    <row r="442" spans="1:27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3353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VLOOKUP(F442,[2]Wait!$H$225:$I$260,2,0)</f>
        <v>#N/A</v>
      </c>
    </row>
    <row r="443" spans="1:27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3354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VLOOKUP(F443,[2]Wait!$H$225:$I$260,2,0)</f>
        <v>#N/A</v>
      </c>
    </row>
    <row r="444" spans="1:27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3355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VLOOKUP(F444,[2]Wait!$H$225:$I$260,2,0)</f>
        <v>#N/A</v>
      </c>
    </row>
    <row r="445" spans="1:27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3356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VLOOKUP(F445,[2]Wait!$H$225:$I$260,2,0)</f>
        <v>#N/A</v>
      </c>
    </row>
    <row r="446" spans="1:27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3357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VLOOKUP(F446,[2]Wait!$H$225:$I$260,2,0)</f>
        <v>#N/A</v>
      </c>
    </row>
    <row r="447" spans="1:27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3358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VLOOKUP(F447,[2]Wait!$H$225:$I$260,2,0)</f>
        <v>#N/A</v>
      </c>
    </row>
    <row r="448" spans="1:27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3358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VLOOKUP(F448,[2]Wait!$H$225:$I$260,2,0)</f>
        <v>#N/A</v>
      </c>
    </row>
    <row r="449" spans="1:27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3358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VLOOKUP(F449,[2]Wait!$H$225:$I$260,2,0)</f>
        <v>#N/A</v>
      </c>
    </row>
    <row r="450" spans="1:27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3359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VLOOKUP(F450,[2]Wait!$H$225:$I$260,2,0)</f>
        <v>#N/A</v>
      </c>
    </row>
    <row r="451" spans="1:27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VLOOKUP(F451,[2]Wait!$H$225:$I$260,2,0)</f>
        <v>#N/A</v>
      </c>
    </row>
    <row r="452" spans="1:27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  <c r="AA452" s="17" t="e">
        <f>VLOOKUP(F452,[2]Wait!$H$225:$I$260,2,0)</f>
        <v>#N/A</v>
      </c>
    </row>
    <row r="453" spans="1:27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VLOOKUP(F453,[2]Wait!$H$225:$I$260,2,0)</f>
        <v>#N/A</v>
      </c>
    </row>
    <row r="454" spans="1:27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  <c r="AA454" s="17" t="e">
        <f>VLOOKUP(F454,[2]Wait!$H$225:$I$260,2,0)</f>
        <v>#N/A</v>
      </c>
    </row>
    <row r="455" spans="1:27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  <c r="AA455" s="17" t="e">
        <f>VLOOKUP(F455,[2]Wait!$H$225:$I$260,2,0)</f>
        <v>#N/A</v>
      </c>
    </row>
    <row r="456" spans="1:27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VLOOKUP(F456,[2]Wait!$H$225:$I$260,2,0)</f>
        <v>#N/A</v>
      </c>
    </row>
    <row r="457" spans="1:27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3360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VLOOKUP(F457,[2]Wait!$H$225:$I$260,2,0)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3361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VLOOKUP(F458,[2]Wait!$H$225:$I$260,2,0)</f>
        <v>#N/A</v>
      </c>
    </row>
    <row r="459" spans="1:27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3362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VLOOKUP(F459,[2]Wait!$H$225:$I$260,2,0)</f>
        <v>#N/A</v>
      </c>
    </row>
    <row r="460" spans="1:27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3363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VLOOKUP(F460,[2]Wait!$H$225:$I$260,2,0)</f>
        <v>#N/A</v>
      </c>
    </row>
    <row r="461" spans="1:27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3364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VLOOKUP(F461,[2]Wait!$H$225:$I$260,2,0)</f>
        <v>#N/A</v>
      </c>
    </row>
    <row r="462" spans="1:27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3365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VLOOKUP(F462,[2]Wait!$H$225:$I$260,2,0)</f>
        <v>#N/A</v>
      </c>
    </row>
    <row r="463" spans="1:27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3366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VLOOKUP(F463,[2]Wait!$H$225:$I$260,2,0)</f>
        <v>#N/A</v>
      </c>
    </row>
    <row r="464" spans="1:27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3367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VLOOKUP(F464,[2]Wait!$H$225:$I$260,2,0)</f>
        <v>#N/A</v>
      </c>
    </row>
    <row r="465" spans="1:27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3368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VLOOKUP(F465,[2]Wait!$H$225:$I$260,2,0)</f>
        <v>#N/A</v>
      </c>
    </row>
    <row r="466" spans="1:27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3369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VLOOKUP(F466,[2]Wait!$H$225:$I$260,2,0)</f>
        <v>#N/A</v>
      </c>
    </row>
    <row r="467" spans="1:27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3370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VLOOKUP(F467,[2]Wait!$H$225:$I$260,2,0)</f>
        <v>#N/A</v>
      </c>
    </row>
    <row r="468" spans="1:27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3371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VLOOKUP(F468,[2]Wait!$H$225:$I$260,2,0)</f>
        <v>#N/A</v>
      </c>
    </row>
    <row r="469" spans="1:27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3372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VLOOKUP(F469,[2]Wait!$H$225:$I$260,2,0)</f>
        <v>#N/A</v>
      </c>
    </row>
    <row r="470" spans="1:27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3373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VLOOKUP(F470,[2]Wait!$H$225:$I$260,2,0)</f>
        <v>#N/A</v>
      </c>
    </row>
    <row r="471" spans="1:27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3374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VLOOKUP(F471,[2]Wait!$H$225:$I$260,2,0)</f>
        <v>#N/A</v>
      </c>
    </row>
    <row r="472" spans="1:27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3375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VLOOKUP(F472,[2]Wait!$H$225:$I$260,2,0)</f>
        <v>#N/A</v>
      </c>
    </row>
    <row r="473" spans="1:27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3376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VLOOKUP(F473,[2]Wait!$H$225:$I$260,2,0)</f>
        <v>#N/A</v>
      </c>
    </row>
    <row r="474" spans="1:27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3377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VLOOKUP(F474,[2]Wait!$H$225:$I$260,2,0)</f>
        <v>#N/A</v>
      </c>
    </row>
    <row r="475" spans="1:27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3378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VLOOKUP(F475,[2]Wait!$H$225:$I$260,2,0)</f>
        <v>#N/A</v>
      </c>
    </row>
    <row r="476" spans="1:27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3379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VLOOKUP(F476,[2]Wait!$H$225:$I$260,2,0)</f>
        <v>#N/A</v>
      </c>
    </row>
    <row r="477" spans="1:27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3380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VLOOKUP(F477,[2]Wait!$H$225:$I$260,2,0)</f>
        <v>#N/A</v>
      </c>
    </row>
    <row r="478" spans="1:27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3381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VLOOKUP(F478,[2]Wait!$H$225:$I$260,2,0)</f>
        <v>#N/A</v>
      </c>
    </row>
    <row r="479" spans="1:27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3382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VLOOKUP(F479,[2]Wait!$H$225:$I$260,2,0)</f>
        <v>#N/A</v>
      </c>
    </row>
    <row r="480" spans="1:27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3383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VLOOKUP(F480,[2]Wait!$H$225:$I$260,2,0)</f>
        <v>#N/A</v>
      </c>
    </row>
    <row r="481" spans="1:27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3384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VLOOKUP(F481,[2]Wait!$H$225:$I$260,2,0)</f>
        <v>#N/A</v>
      </c>
    </row>
    <row r="482" spans="1:27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3385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VLOOKUP(F482,[2]Wait!$H$225:$I$260,2,0)</f>
        <v>#N/A</v>
      </c>
    </row>
    <row r="483" spans="1:27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VLOOKUP(F483,[2]Wait!$H$225:$I$260,2,0)</f>
        <v>#N/A</v>
      </c>
    </row>
    <row r="484" spans="1:27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VLOOKUP(F484,[2]Wait!$H$225:$I$260,2,0)</f>
        <v>#N/A</v>
      </c>
    </row>
    <row r="485" spans="1:27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VLOOKUP(F485,[2]Wait!$H$225:$I$260,2,0)</f>
        <v>#N/A</v>
      </c>
    </row>
    <row r="486" spans="1:27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VLOOKUP(F486,[2]Wait!$H$225:$I$260,2,0)</f>
        <v>#N/A</v>
      </c>
    </row>
    <row r="487" spans="1:27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VLOOKUP(F487,[2]Wait!$H$225:$I$260,2,0)</f>
        <v>#N/A</v>
      </c>
    </row>
    <row r="488" spans="1:27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VLOOKUP(F488,[2]Wait!$H$225:$I$260,2,0)</f>
        <v>#N/A</v>
      </c>
    </row>
    <row r="489" spans="1:27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VLOOKUP(F489,[2]Wait!$H$225:$I$260,2,0)</f>
        <v>#N/A</v>
      </c>
    </row>
    <row r="490" spans="1:27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VLOOKUP(F490,[2]Wait!$H$225:$I$260,2,0)</f>
        <v>#N/A</v>
      </c>
    </row>
    <row r="491" spans="1:27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VLOOKUP(F491,[2]Wait!$H$225:$I$260,2,0)</f>
        <v>#N/A</v>
      </c>
    </row>
    <row r="492" spans="1:27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VLOOKUP(F492,[2]Wait!$H$225:$I$260,2,0)</f>
        <v>#N/A</v>
      </c>
    </row>
    <row r="493" spans="1:27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VLOOKUP(F493,[2]Wait!$H$225:$I$260,2,0)</f>
        <v>#N/A</v>
      </c>
    </row>
    <row r="494" spans="1:27" x14ac:dyDescent="0.25">
      <c r="A494" s="9">
        <f t="shared" si="7"/>
        <v>487</v>
      </c>
      <c r="B494" s="19" t="s">
        <v>926</v>
      </c>
      <c r="C494" s="20" t="s">
        <v>927</v>
      </c>
      <c r="D494" s="20" t="s">
        <v>2273</v>
      </c>
      <c r="E494" s="20" t="s">
        <v>2274</v>
      </c>
      <c r="F494" s="20" t="s">
        <v>2274</v>
      </c>
      <c r="G494" s="20" t="s">
        <v>194</v>
      </c>
      <c r="H494" s="20" t="s">
        <v>26</v>
      </c>
      <c r="I494" s="21">
        <v>46258</v>
      </c>
      <c r="J494" s="20" t="s">
        <v>683</v>
      </c>
      <c r="K494" s="20" t="s">
        <v>28</v>
      </c>
      <c r="L494" s="20" t="s">
        <v>2275</v>
      </c>
      <c r="M494" s="20" t="s">
        <v>249</v>
      </c>
      <c r="N494" s="22" t="s">
        <v>250</v>
      </c>
      <c r="O494" s="20" t="s">
        <v>1044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VLOOKUP(F494,[2]Wait!$H$225:$I$260,2,0)</f>
        <v>#N/A</v>
      </c>
    </row>
    <row r="495" spans="1:27" x14ac:dyDescent="0.25">
      <c r="A495" s="9">
        <f t="shared" si="7"/>
        <v>488</v>
      </c>
      <c r="B495" s="19" t="s">
        <v>926</v>
      </c>
      <c r="C495" s="20" t="s">
        <v>927</v>
      </c>
      <c r="D495" s="20" t="s">
        <v>2282</v>
      </c>
      <c r="E495" s="20" t="s">
        <v>2283</v>
      </c>
      <c r="F495" s="20" t="s">
        <v>2283</v>
      </c>
      <c r="G495" s="20" t="s">
        <v>194</v>
      </c>
      <c r="H495" s="20" t="s">
        <v>26</v>
      </c>
      <c r="I495" s="21">
        <v>46258</v>
      </c>
      <c r="J495" s="20" t="s">
        <v>683</v>
      </c>
      <c r="K495" s="20" t="s">
        <v>28</v>
      </c>
      <c r="L495" s="20" t="s">
        <v>2284</v>
      </c>
      <c r="M495" s="20" t="s">
        <v>249</v>
      </c>
      <c r="N495" s="22" t="s">
        <v>250</v>
      </c>
      <c r="O495" s="20" t="s">
        <v>1044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VLOOKUP(F495,[2]Wait!$H$225:$I$260,2,0)</f>
        <v>#N/A</v>
      </c>
    </row>
    <row r="496" spans="1:27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1617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VLOOKUP(F496,[2]Wait!$H$225:$I$260,2,0)</f>
        <v>#N/A</v>
      </c>
    </row>
    <row r="497" spans="1:27" x14ac:dyDescent="0.25">
      <c r="A497" s="9">
        <f t="shared" si="7"/>
        <v>490</v>
      </c>
      <c r="B497" s="19" t="s">
        <v>926</v>
      </c>
      <c r="C497" s="20" t="s">
        <v>927</v>
      </c>
      <c r="D497" s="20" t="s">
        <v>1620</v>
      </c>
      <c r="E497" s="20" t="s">
        <v>1618</v>
      </c>
      <c r="F497" s="20" t="s">
        <v>1618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1619</v>
      </c>
      <c r="M497" s="20" t="s">
        <v>249</v>
      </c>
      <c r="N497" s="22" t="s">
        <v>250</v>
      </c>
      <c r="O497" s="20" t="s">
        <v>1044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VLOOKUP(F497,[2]Wait!$H$225:$I$260,2,0)</f>
        <v>#N/A</v>
      </c>
    </row>
    <row r="498" spans="1:27" x14ac:dyDescent="0.25">
      <c r="A498" s="9">
        <f t="shared" si="7"/>
        <v>491</v>
      </c>
      <c r="B498" s="19" t="s">
        <v>926</v>
      </c>
      <c r="C498" s="20" t="s">
        <v>927</v>
      </c>
      <c r="D498" s="20" t="s">
        <v>1621</v>
      </c>
      <c r="E498" s="20" t="s">
        <v>1618</v>
      </c>
      <c r="F498" s="20" t="s">
        <v>1618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1619</v>
      </c>
      <c r="M498" s="20" t="s">
        <v>249</v>
      </c>
      <c r="N498" s="22" t="s">
        <v>250</v>
      </c>
      <c r="O498" s="20" t="s">
        <v>1044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VLOOKUP(F498,[2]Wait!$H$225:$I$260,2,0)</f>
        <v>#N/A</v>
      </c>
    </row>
    <row r="499" spans="1:27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2332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VLOOKUP(F499,[2]Wait!$H$225:$I$260,2,0)</f>
        <v>#N/A</v>
      </c>
    </row>
    <row r="500" spans="1:27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2335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VLOOKUP(F500,[2]Wait!$H$225:$I$260,2,0)</f>
        <v>#N/A</v>
      </c>
    </row>
    <row r="501" spans="1:27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2336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VLOOKUP(F501,[2]Wait!$H$225:$I$260,2,0)</f>
        <v>#N/A</v>
      </c>
    </row>
    <row r="502" spans="1:27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2337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683</v>
      </c>
      <c r="K502" s="20" t="s">
        <v>684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VLOOKUP(F502,[2]Wait!$H$225:$I$260,2,0)</f>
        <v>#N/A</v>
      </c>
    </row>
    <row r="503" spans="1:27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2338</v>
      </c>
      <c r="E503" s="20" t="s">
        <v>2333</v>
      </c>
      <c r="F503" s="20" t="s">
        <v>2333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557</v>
      </c>
      <c r="L503" s="20" t="s">
        <v>2334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VLOOKUP(F503,[2]Wait!$H$225:$I$260,2,0)</f>
        <v>#N/A</v>
      </c>
    </row>
    <row r="504" spans="1:27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2940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VLOOKUP(F504,[2]Wait!$H$225:$I$260,2,0)</f>
        <v>#N/A</v>
      </c>
    </row>
    <row r="505" spans="1:27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2943</v>
      </c>
      <c r="E505" s="20" t="s">
        <v>2941</v>
      </c>
      <c r="F505" s="20" t="s">
        <v>2941</v>
      </c>
      <c r="G505" s="20" t="s">
        <v>194</v>
      </c>
      <c r="H505" s="20" t="s">
        <v>26</v>
      </c>
      <c r="I505" s="21">
        <v>46258</v>
      </c>
      <c r="J505" s="20" t="s">
        <v>683</v>
      </c>
      <c r="K505" s="20" t="s">
        <v>58</v>
      </c>
      <c r="L505" s="20" t="s">
        <v>2942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VLOOKUP(F505,[2]Wait!$H$225:$I$260,2,0)</f>
        <v>#N/A</v>
      </c>
    </row>
    <row r="506" spans="1:27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2964</v>
      </c>
      <c r="E506" s="20" t="s">
        <v>2965</v>
      </c>
      <c r="F506" s="20" t="s">
        <v>2965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2966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VLOOKUP(F506,[2]Wait!$H$225:$I$260,2,0)</f>
        <v>#N/A</v>
      </c>
    </row>
    <row r="507" spans="1:27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2967</v>
      </c>
      <c r="E507" s="20" t="s">
        <v>2965</v>
      </c>
      <c r="F507" s="20" t="s">
        <v>2965</v>
      </c>
      <c r="G507" s="20" t="s">
        <v>194</v>
      </c>
      <c r="H507" s="20" t="s">
        <v>26</v>
      </c>
      <c r="I507" s="21">
        <v>46258</v>
      </c>
      <c r="J507" s="20" t="s">
        <v>683</v>
      </c>
      <c r="K507" s="20" t="s">
        <v>58</v>
      </c>
      <c r="L507" s="20" t="s">
        <v>2966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VLOOKUP(F507,[2]Wait!$H$225:$I$260,2,0)</f>
        <v>#N/A</v>
      </c>
    </row>
    <row r="508" spans="1:27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2971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2878</v>
      </c>
      <c r="Y508" s="21">
        <v>46289</v>
      </c>
      <c r="Z508" s="20" t="s">
        <v>226</v>
      </c>
      <c r="AA508" s="17" t="e">
        <f>VLOOKUP(F508,[2]Wait!$H$225:$I$260,2,0)</f>
        <v>#N/A</v>
      </c>
    </row>
    <row r="509" spans="1:27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2974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2878</v>
      </c>
      <c r="Y509" s="21">
        <v>46289</v>
      </c>
      <c r="Z509" s="20" t="s">
        <v>226</v>
      </c>
      <c r="AA509" s="17" t="e">
        <f>VLOOKUP(F509,[2]Wait!$H$225:$I$260,2,0)</f>
        <v>#N/A</v>
      </c>
    </row>
    <row r="510" spans="1:27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2975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  <c r="AA510" s="17" t="e">
        <f>VLOOKUP(F510,[2]Wait!$H$225:$I$260,2,0)</f>
        <v>#N/A</v>
      </c>
    </row>
    <row r="511" spans="1:27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2976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684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2878</v>
      </c>
      <c r="Y511" s="21">
        <v>46289</v>
      </c>
      <c r="Z511" s="20" t="s">
        <v>226</v>
      </c>
      <c r="AA511" s="17" t="e">
        <f>VLOOKUP(F511,[2]Wait!$H$225:$I$260,2,0)</f>
        <v>#N/A</v>
      </c>
    </row>
    <row r="512" spans="1:27" x14ac:dyDescent="0.25">
      <c r="A512" s="9">
        <f t="shared" si="7"/>
        <v>505</v>
      </c>
      <c r="B512" s="19" t="s">
        <v>926</v>
      </c>
      <c r="C512" s="20" t="s">
        <v>927</v>
      </c>
      <c r="D512" s="20" t="s">
        <v>2977</v>
      </c>
      <c r="E512" s="20" t="s">
        <v>2972</v>
      </c>
      <c r="F512" s="20" t="s">
        <v>2972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557</v>
      </c>
      <c r="L512" s="20" t="s">
        <v>2973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2878</v>
      </c>
      <c r="Y512" s="21">
        <v>46289</v>
      </c>
      <c r="Z512" s="20" t="s">
        <v>226</v>
      </c>
      <c r="AA512" s="17" t="e">
        <f>VLOOKUP(F512,[2]Wait!$H$225:$I$260,2,0)</f>
        <v>#N/A</v>
      </c>
    </row>
    <row r="513" spans="1:27" x14ac:dyDescent="0.25">
      <c r="A513" s="9">
        <f t="shared" si="7"/>
        <v>506</v>
      </c>
      <c r="B513" s="19" t="s">
        <v>926</v>
      </c>
      <c r="C513" s="20" t="s">
        <v>927</v>
      </c>
      <c r="D513" s="20" t="s">
        <v>2978</v>
      </c>
      <c r="E513" s="20" t="s">
        <v>2972</v>
      </c>
      <c r="F513" s="20" t="s">
        <v>2972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1141</v>
      </c>
      <c r="L513" s="20" t="s">
        <v>2973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2878</v>
      </c>
      <c r="Y513" s="21">
        <v>46289</v>
      </c>
      <c r="Z513" s="20" t="s">
        <v>226</v>
      </c>
      <c r="AA513" s="17" t="e">
        <f>VLOOKUP(F513,[2]Wait!$H$225:$I$260,2,0)</f>
        <v>#N/A</v>
      </c>
    </row>
    <row r="514" spans="1:27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2979</v>
      </c>
      <c r="E514" s="20" t="s">
        <v>2972</v>
      </c>
      <c r="F514" s="20" t="s">
        <v>2972</v>
      </c>
      <c r="G514" s="20" t="s">
        <v>194</v>
      </c>
      <c r="H514" s="20" t="s">
        <v>26</v>
      </c>
      <c r="I514" s="21">
        <v>46289</v>
      </c>
      <c r="J514" s="20" t="s">
        <v>683</v>
      </c>
      <c r="K514" s="20" t="s">
        <v>1143</v>
      </c>
      <c r="L514" s="20" t="s">
        <v>2973</v>
      </c>
      <c r="M514" s="20" t="s">
        <v>249</v>
      </c>
      <c r="N514" s="22" t="s">
        <v>250</v>
      </c>
      <c r="O514" s="20" t="s">
        <v>1044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2878</v>
      </c>
      <c r="Y514" s="21">
        <v>46289</v>
      </c>
      <c r="Z514" s="20" t="s">
        <v>226</v>
      </c>
      <c r="AA514" s="17" t="e">
        <f>VLOOKUP(F514,[2]Wait!$H$225:$I$260,2,0)</f>
        <v>#N/A</v>
      </c>
    </row>
    <row r="515" spans="1:27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2388</v>
      </c>
      <c r="E515" s="20" t="s">
        <v>26</v>
      </c>
      <c r="F515" s="20" t="s">
        <v>3386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2389</v>
      </c>
      <c r="M515" s="20" t="s">
        <v>3387</v>
      </c>
      <c r="N515" s="22" t="s">
        <v>250</v>
      </c>
      <c r="O515" s="20" t="s">
        <v>949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2390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VLOOKUP(F515,[2]Wait!$H$225:$I$260,2,0)</f>
        <v>#N/A</v>
      </c>
    </row>
    <row r="516" spans="1:27" x14ac:dyDescent="0.25">
      <c r="A516" s="9">
        <f t="shared" si="7"/>
        <v>509</v>
      </c>
      <c r="B516" s="19" t="s">
        <v>926</v>
      </c>
      <c r="C516" s="20" t="s">
        <v>927</v>
      </c>
      <c r="D516" s="20" t="s">
        <v>2460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1635</v>
      </c>
      <c r="N516" s="22" t="s">
        <v>250</v>
      </c>
      <c r="O516" s="20" t="s">
        <v>949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VLOOKUP(F516,[2]Wait!$H$225:$I$260,2,0)</f>
        <v>#N/A</v>
      </c>
    </row>
    <row r="517" spans="1:27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1636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1635</v>
      </c>
      <c r="N517" s="22" t="s">
        <v>250</v>
      </c>
      <c r="O517" s="20" t="s">
        <v>939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VLOOKUP(F517,[2]Wait!$H$225:$I$260,2,0)</f>
        <v>#N/A</v>
      </c>
    </row>
    <row r="518" spans="1:27" x14ac:dyDescent="0.25">
      <c r="A518" s="9">
        <f t="shared" si="7"/>
        <v>511</v>
      </c>
      <c r="B518" s="19" t="s">
        <v>926</v>
      </c>
      <c r="C518" s="20" t="s">
        <v>927</v>
      </c>
      <c r="D518" s="20" t="s">
        <v>1637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770</v>
      </c>
      <c r="M518" s="20" t="s">
        <v>1635</v>
      </c>
      <c r="N518" s="22" t="s">
        <v>250</v>
      </c>
      <c r="O518" s="20" t="s">
        <v>939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VLOOKUP(F518,[2]Wait!$H$225:$I$260,2,0)</f>
        <v>#N/A</v>
      </c>
    </row>
    <row r="519" spans="1:27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2012</v>
      </c>
      <c r="E519" s="20" t="s">
        <v>26</v>
      </c>
      <c r="F519" s="20" t="s">
        <v>3391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1635</v>
      </c>
      <c r="N519" s="22" t="s">
        <v>250</v>
      </c>
      <c r="O519" s="20" t="s">
        <v>1070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VLOOKUP(F519,[2]Wait!$H$225:$I$260,2,0)</f>
        <v>#N/A</v>
      </c>
    </row>
    <row r="520" spans="1:27" x14ac:dyDescent="0.25">
      <c r="A520" s="9">
        <f t="shared" si="7"/>
        <v>513</v>
      </c>
      <c r="B520" s="19" t="s">
        <v>926</v>
      </c>
      <c r="C520" s="20" t="s">
        <v>927</v>
      </c>
      <c r="D520" s="20" t="s">
        <v>3392</v>
      </c>
      <c r="E520" s="20" t="s">
        <v>3393</v>
      </c>
      <c r="F520" s="20" t="s">
        <v>3393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682</v>
      </c>
      <c r="M520" s="20" t="s">
        <v>1635</v>
      </c>
      <c r="N520" s="22" t="s">
        <v>250</v>
      </c>
      <c r="O520" s="20" t="s">
        <v>1044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3394</v>
      </c>
      <c r="Y520" s="21">
        <v>46292</v>
      </c>
      <c r="Z520" s="20" t="s">
        <v>226</v>
      </c>
      <c r="AA520" s="17" t="e">
        <f>VLOOKUP(F520,[2]Wait!$H$225:$I$260,2,0)</f>
        <v>#N/A</v>
      </c>
    </row>
    <row r="521" spans="1:27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1648</v>
      </c>
      <c r="E521" s="20" t="s">
        <v>1649</v>
      </c>
      <c r="F521" s="20" t="s">
        <v>3395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VLOOKUP(F521,[2]Wait!$H$225:$I$260,2,0)</f>
        <v>#N/A</v>
      </c>
    </row>
    <row r="522" spans="1:27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1653</v>
      </c>
      <c r="E522" s="20" t="s">
        <v>1649</v>
      </c>
      <c r="F522" s="20" t="s">
        <v>3395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VLOOKUP(F522,[2]Wait!$H$225:$I$260,2,0)</f>
        <v>#N/A</v>
      </c>
    </row>
    <row r="523" spans="1:27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1654</v>
      </c>
      <c r="E523" s="20" t="s">
        <v>1649</v>
      </c>
      <c r="F523" s="20" t="s">
        <v>3395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VLOOKUP(F523,[2]Wait!$H$225:$I$260,2,0)</f>
        <v>#N/A</v>
      </c>
    </row>
    <row r="524" spans="1:27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1655</v>
      </c>
      <c r="E524" s="20" t="s">
        <v>1649</v>
      </c>
      <c r="F524" s="20" t="s">
        <v>3395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684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VLOOKUP(F524,[2]Wait!$H$225:$I$260,2,0)</f>
        <v>#N/A</v>
      </c>
    </row>
    <row r="525" spans="1:27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1656</v>
      </c>
      <c r="E525" s="20" t="s">
        <v>1649</v>
      </c>
      <c r="F525" s="20" t="s">
        <v>3395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557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VLOOKUP(F525,[2]Wait!$H$225:$I$260,2,0)</f>
        <v>#N/A</v>
      </c>
    </row>
    <row r="526" spans="1:27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1657</v>
      </c>
      <c r="E526" s="20" t="s">
        <v>1649</v>
      </c>
      <c r="F526" s="20" t="s">
        <v>3395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1141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VLOOKUP(F526,[2]Wait!$H$225:$I$260,2,0)</f>
        <v>#N/A</v>
      </c>
    </row>
    <row r="527" spans="1:27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1658</v>
      </c>
      <c r="E527" s="20" t="s">
        <v>1649</v>
      </c>
      <c r="F527" s="20" t="s">
        <v>3395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1143</v>
      </c>
      <c r="L527" s="20" t="s">
        <v>1650</v>
      </c>
      <c r="M527" s="20" t="s">
        <v>1651</v>
      </c>
      <c r="N527" s="22" t="s">
        <v>250</v>
      </c>
      <c r="O527" s="20" t="s">
        <v>932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1652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VLOOKUP(F527,[2]Wait!$H$225:$I$260,2,0)</f>
        <v>#N/A</v>
      </c>
    </row>
    <row r="528" spans="1:27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1661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VLOOKUP(F528,[2]Wait!$H$225:$I$260,2,0)</f>
        <v>#N/A</v>
      </c>
    </row>
    <row r="529" spans="1:27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1664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VLOOKUP(F529,[2]Wait!$H$225:$I$260,2,0)</f>
        <v>#N/A</v>
      </c>
    </row>
    <row r="530" spans="1:27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1665</v>
      </c>
      <c r="E530" s="20" t="s">
        <v>1662</v>
      </c>
      <c r="F530" s="20" t="s">
        <v>1662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1663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VLOOKUP(F530,[2]Wait!$H$225:$I$260,2,0)</f>
        <v>#N/A</v>
      </c>
    </row>
    <row r="531" spans="1:27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1666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VLOOKUP(F531,[2]Wait!$H$225:$I$260,2,0)</f>
        <v>#N/A</v>
      </c>
    </row>
    <row r="532" spans="1:27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1669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VLOOKUP(F532,[2]Wait!$H$225:$I$260,2,0)</f>
        <v>#N/A</v>
      </c>
    </row>
    <row r="533" spans="1:27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1670</v>
      </c>
      <c r="E533" s="20" t="s">
        <v>1667</v>
      </c>
      <c r="F533" s="20" t="s">
        <v>1667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1668</v>
      </c>
      <c r="M533" s="20" t="s">
        <v>1651</v>
      </c>
      <c r="N533" s="22" t="s">
        <v>250</v>
      </c>
      <c r="O533" s="20" t="s">
        <v>1044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VLOOKUP(F533,[2]Wait!$H$225:$I$260,2,0)</f>
        <v>#N/A</v>
      </c>
    </row>
    <row r="534" spans="1:27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1659</v>
      </c>
      <c r="E534" s="20" t="s">
        <v>26</v>
      </c>
      <c r="F534" s="20" t="s">
        <v>3396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VLOOKUP(F534,[2]Wait!$H$225:$I$260,2,0)</f>
        <v>#N/A</v>
      </c>
    </row>
    <row r="535" spans="1:27" x14ac:dyDescent="0.25">
      <c r="A535" s="9">
        <f t="shared" si="8"/>
        <v>528</v>
      </c>
      <c r="B535" s="19" t="s">
        <v>926</v>
      </c>
      <c r="C535" s="20" t="s">
        <v>927</v>
      </c>
      <c r="D535" s="20" t="s">
        <v>1660</v>
      </c>
      <c r="E535" s="20" t="s">
        <v>26</v>
      </c>
      <c r="F535" s="20" t="s">
        <v>3396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1673</v>
      </c>
      <c r="N535" s="22" t="s">
        <v>250</v>
      </c>
      <c r="O535" s="20" t="s">
        <v>946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VLOOKUP(F535,[2]Wait!$H$225:$I$260,2,0)</f>
        <v>#N/A</v>
      </c>
    </row>
    <row r="536" spans="1:27" x14ac:dyDescent="0.25">
      <c r="A536" s="9">
        <f t="shared" si="8"/>
        <v>529</v>
      </c>
      <c r="B536" s="19" t="s">
        <v>926</v>
      </c>
      <c r="C536" s="20" t="s">
        <v>927</v>
      </c>
      <c r="D536" s="20" t="s">
        <v>2452</v>
      </c>
      <c r="E536" s="20" t="s">
        <v>2453</v>
      </c>
      <c r="F536" s="20" t="s">
        <v>3397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2454</v>
      </c>
      <c r="M536" s="20" t="s">
        <v>1673</v>
      </c>
      <c r="N536" s="22" t="s">
        <v>250</v>
      </c>
      <c r="O536" s="20" t="s">
        <v>1044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2455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VLOOKUP(F536,[2]Wait!$H$225:$I$260,2,0)</f>
        <v>#N/A</v>
      </c>
    </row>
    <row r="537" spans="1:27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1676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VLOOKUP(F537,[2]Wait!$H$225:$I$260,2,0)</f>
        <v>#N/A</v>
      </c>
    </row>
    <row r="538" spans="1:27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1679</v>
      </c>
      <c r="E538" s="20" t="s">
        <v>1677</v>
      </c>
      <c r="F538" s="20" t="s">
        <v>1677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1678</v>
      </c>
      <c r="M538" s="20" t="s">
        <v>1673</v>
      </c>
      <c r="N538" s="22" t="s">
        <v>250</v>
      </c>
      <c r="O538" s="20" t="s">
        <v>1044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VLOOKUP(F538,[2]Wait!$H$225:$I$260,2,0)</f>
        <v>#N/A</v>
      </c>
    </row>
    <row r="539" spans="1:27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1680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VLOOKUP(F539,[2]Wait!$H$225:$I$260,2,0)</f>
        <v>#N/A</v>
      </c>
    </row>
    <row r="540" spans="1:27" x14ac:dyDescent="0.25">
      <c r="A540" s="9">
        <f t="shared" si="8"/>
        <v>533</v>
      </c>
      <c r="B540" s="19" t="s">
        <v>926</v>
      </c>
      <c r="C540" s="20" t="s">
        <v>927</v>
      </c>
      <c r="D540" s="20" t="s">
        <v>1682</v>
      </c>
      <c r="E540" s="20" t="s">
        <v>1681</v>
      </c>
      <c r="F540" s="20" t="s">
        <v>1681</v>
      </c>
      <c r="G540" s="20" t="s">
        <v>194</v>
      </c>
      <c r="H540" s="20" t="s">
        <v>26</v>
      </c>
      <c r="I540" s="21">
        <v>46258</v>
      </c>
      <c r="J540" s="20" t="s">
        <v>683</v>
      </c>
      <c r="K540" s="20" t="s">
        <v>58</v>
      </c>
      <c r="L540" s="20" t="s">
        <v>682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VLOOKUP(F540,[2]Wait!$H$225:$I$260,2,0)</f>
        <v>#N/A</v>
      </c>
    </row>
    <row r="541" spans="1:27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2305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VLOOKUP(F541,[2]Wait!$H$225:$I$260,2,0)</f>
        <v>#N/A</v>
      </c>
    </row>
    <row r="542" spans="1:27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2308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VLOOKUP(F542,[2]Wait!$H$225:$I$260,2,0)</f>
        <v>#N/A</v>
      </c>
    </row>
    <row r="543" spans="1:27" x14ac:dyDescent="0.25">
      <c r="A543" s="9">
        <f t="shared" si="8"/>
        <v>536</v>
      </c>
      <c r="B543" s="19" t="s">
        <v>926</v>
      </c>
      <c r="C543" s="20" t="s">
        <v>927</v>
      </c>
      <c r="D543" s="20" t="s">
        <v>2309</v>
      </c>
      <c r="E543" s="20" t="s">
        <v>2306</v>
      </c>
      <c r="F543" s="20" t="s">
        <v>2306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2307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VLOOKUP(F543,[2]Wait!$H$225:$I$260,2,0)</f>
        <v>#N/A</v>
      </c>
    </row>
    <row r="544" spans="1:27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1639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VLOOKUP(F544,[2]Wait!$H$225:$I$260,2,0)</f>
        <v>#N/A</v>
      </c>
    </row>
    <row r="545" spans="1:27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1642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1643</v>
      </c>
      <c r="K545" s="20" t="s">
        <v>58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VLOOKUP(F545,[2]Wait!$H$225:$I$260,2,0)</f>
        <v>#N/A</v>
      </c>
    </row>
    <row r="546" spans="1:27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1644</v>
      </c>
      <c r="E546" s="20" t="s">
        <v>1640</v>
      </c>
      <c r="F546" s="20" t="s">
        <v>1640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1641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VLOOKUP(F546,[2]Wait!$H$225:$I$260,2,0)</f>
        <v>#N/A</v>
      </c>
    </row>
    <row r="547" spans="1:27" x14ac:dyDescent="0.25">
      <c r="A547" s="9">
        <f t="shared" si="8"/>
        <v>540</v>
      </c>
      <c r="B547" s="19" t="s">
        <v>926</v>
      </c>
      <c r="C547" s="20" t="s">
        <v>927</v>
      </c>
      <c r="D547" s="20" t="s">
        <v>1686</v>
      </c>
      <c r="E547" s="20" t="s">
        <v>1687</v>
      </c>
      <c r="F547" s="20" t="s">
        <v>1687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1688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1689</v>
      </c>
      <c r="Y547" s="21">
        <v>46276</v>
      </c>
      <c r="Z547" s="20" t="s">
        <v>226</v>
      </c>
      <c r="AA547" s="17" t="e">
        <f>VLOOKUP(F547,[2]Wait!$H$225:$I$260,2,0)</f>
        <v>#N/A</v>
      </c>
    </row>
    <row r="548" spans="1:27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2321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2324</v>
      </c>
      <c r="Y548" s="21">
        <v>46277</v>
      </c>
      <c r="Z548" s="20" t="s">
        <v>226</v>
      </c>
      <c r="AA548" s="17" t="e">
        <f>VLOOKUP(F548,[2]Wait!$H$225:$I$260,2,0)</f>
        <v>#N/A</v>
      </c>
    </row>
    <row r="549" spans="1:27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2325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2324</v>
      </c>
      <c r="Y549" s="21">
        <v>46277</v>
      </c>
      <c r="Z549" s="20" t="s">
        <v>226</v>
      </c>
      <c r="AA549" s="17" t="e">
        <f>VLOOKUP(F549,[2]Wait!$H$225:$I$260,2,0)</f>
        <v>#N/A</v>
      </c>
    </row>
    <row r="550" spans="1:27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2326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2324</v>
      </c>
      <c r="Y550" s="21">
        <v>46277</v>
      </c>
      <c r="Z550" s="20" t="s">
        <v>226</v>
      </c>
      <c r="AA550" s="17" t="e">
        <f>VLOOKUP(F550,[2]Wait!$H$225:$I$260,2,0)</f>
        <v>#N/A</v>
      </c>
    </row>
    <row r="551" spans="1:27" x14ac:dyDescent="0.25">
      <c r="A551" s="9">
        <f t="shared" si="8"/>
        <v>544</v>
      </c>
      <c r="B551" s="19" t="s">
        <v>926</v>
      </c>
      <c r="C551" s="20" t="s">
        <v>927</v>
      </c>
      <c r="D551" s="20" t="s">
        <v>2327</v>
      </c>
      <c r="E551" s="20" t="s">
        <v>2322</v>
      </c>
      <c r="F551" s="20" t="s">
        <v>2322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684</v>
      </c>
      <c r="L551" s="20" t="s">
        <v>2323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2324</v>
      </c>
      <c r="Y551" s="21">
        <v>46277</v>
      </c>
      <c r="Z551" s="20" t="s">
        <v>226</v>
      </c>
      <c r="AA551" s="17" t="e">
        <f>VLOOKUP(F551,[2]Wait!$H$225:$I$260,2,0)</f>
        <v>#N/A</v>
      </c>
    </row>
    <row r="552" spans="1:27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3398</v>
      </c>
      <c r="E552" s="20" t="s">
        <v>3399</v>
      </c>
      <c r="F552" s="20" t="s">
        <v>3399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3400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3401</v>
      </c>
      <c r="Y552" s="21">
        <v>46294</v>
      </c>
      <c r="Z552" s="20" t="s">
        <v>226</v>
      </c>
      <c r="AA552" s="17" t="e">
        <f>VLOOKUP(F552,[2]Wait!$H$225:$I$260,2,0)</f>
        <v>#N/A</v>
      </c>
    </row>
    <row r="553" spans="1:27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3399</v>
      </c>
      <c r="F553" s="20" t="s">
        <v>3399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3400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3401</v>
      </c>
      <c r="Y553" s="21">
        <v>46294</v>
      </c>
      <c r="Z553" s="20" t="s">
        <v>226</v>
      </c>
      <c r="AA553" s="17" t="e">
        <f>VLOOKUP(F553,[2]Wait!$H$225:$I$260,2,0)</f>
        <v>#N/A</v>
      </c>
    </row>
    <row r="554" spans="1:27" x14ac:dyDescent="0.25">
      <c r="A554" s="9">
        <f t="shared" si="8"/>
        <v>547</v>
      </c>
      <c r="B554" s="19" t="s">
        <v>926</v>
      </c>
      <c r="C554" s="20" t="s">
        <v>927</v>
      </c>
      <c r="D554" s="20" t="s">
        <v>3403</v>
      </c>
      <c r="E554" s="20" t="s">
        <v>3399</v>
      </c>
      <c r="F554" s="20" t="s">
        <v>3399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3400</v>
      </c>
      <c r="M554" s="20" t="s">
        <v>1673</v>
      </c>
      <c r="N554" s="22" t="s">
        <v>250</v>
      </c>
      <c r="O554" s="20" t="s">
        <v>1044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3401</v>
      </c>
      <c r="Y554" s="21">
        <v>46294</v>
      </c>
      <c r="Z554" s="20" t="s">
        <v>226</v>
      </c>
      <c r="AA554" s="17" t="e">
        <f>VLOOKUP(F554,[2]Wait!$H$225:$I$260,2,0)</f>
        <v>#N/A</v>
      </c>
    </row>
    <row r="555" spans="1:27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1690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VLOOKUP(F555,[2]Wait!$H$225:$I$260,2,0)</f>
        <v>#N/A</v>
      </c>
    </row>
    <row r="556" spans="1:27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1693</v>
      </c>
      <c r="E556" s="20" t="s">
        <v>1691</v>
      </c>
      <c r="F556" s="20" t="s">
        <v>1691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1692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VLOOKUP(F556,[2]Wait!$H$225:$I$260,2,0)</f>
        <v>#N/A</v>
      </c>
    </row>
    <row r="557" spans="1:27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1694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VLOOKUP(F557,[2]Wait!$H$225:$I$260,2,0)</f>
        <v>#N/A</v>
      </c>
    </row>
    <row r="558" spans="1:27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1697</v>
      </c>
      <c r="E558" s="20" t="s">
        <v>1695</v>
      </c>
      <c r="F558" s="20" t="s">
        <v>1695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1696</v>
      </c>
      <c r="M558" s="20" t="s">
        <v>680</v>
      </c>
      <c r="N558" s="22" t="s">
        <v>250</v>
      </c>
      <c r="O558" s="20" t="s">
        <v>1044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VLOOKUP(F558,[2]Wait!$H$225:$I$260,2,0)</f>
        <v>#N/A</v>
      </c>
    </row>
    <row r="559" spans="1:27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1698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1699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VLOOKUP(F559,[2]Wait!$H$225:$I$260,2,0)</f>
        <v>#N/A</v>
      </c>
    </row>
    <row r="560" spans="1:27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1700</v>
      </c>
      <c r="E560" s="20" t="s">
        <v>26</v>
      </c>
      <c r="F560" s="20" t="s">
        <v>3405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1701</v>
      </c>
      <c r="M560" s="20" t="s">
        <v>267</v>
      </c>
      <c r="N560" s="22" t="s">
        <v>250</v>
      </c>
      <c r="O560" s="20" t="s">
        <v>946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958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VLOOKUP(F560,[2]Wait!$H$225:$I$260,2,0)</f>
        <v>#N/A</v>
      </c>
    </row>
    <row r="561" spans="1:27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1702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VLOOKUP(F561,[2]Wait!$H$225:$I$260,2,0)</f>
        <v>#N/A</v>
      </c>
    </row>
    <row r="562" spans="1:27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1705</v>
      </c>
      <c r="E562" s="20" t="s">
        <v>1703</v>
      </c>
      <c r="F562" s="20" t="s">
        <v>1703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1704</v>
      </c>
      <c r="M562" s="20" t="s">
        <v>267</v>
      </c>
      <c r="N562" s="22" t="s">
        <v>250</v>
      </c>
      <c r="O562" s="20" t="s">
        <v>1044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VLOOKUP(F562,[2]Wait!$H$225:$I$260,2,0)</f>
        <v>#N/A</v>
      </c>
    </row>
    <row r="563" spans="1:27" x14ac:dyDescent="0.25">
      <c r="A563" s="9">
        <f t="shared" si="8"/>
        <v>556</v>
      </c>
      <c r="B563" s="19" t="s">
        <v>926</v>
      </c>
      <c r="C563" s="20" t="s">
        <v>927</v>
      </c>
      <c r="D563" s="20" t="s">
        <v>2778</v>
      </c>
      <c r="E563" s="20" t="s">
        <v>2779</v>
      </c>
      <c r="F563" s="20" t="s">
        <v>2779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2780</v>
      </c>
      <c r="M563" s="20" t="s">
        <v>267</v>
      </c>
      <c r="N563" s="22" t="s">
        <v>250</v>
      </c>
      <c r="O563" s="20" t="s">
        <v>1044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VLOOKUP(F563,[2]Wait!$H$225:$I$260,2,0)</f>
        <v>#N/A</v>
      </c>
    </row>
    <row r="564" spans="1:27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1706</v>
      </c>
      <c r="E564" s="20" t="s">
        <v>1707</v>
      </c>
      <c r="F564" s="20" t="s">
        <v>3406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VLOOKUP(F564,[2]Wait!$H$225:$I$260,2,0)</f>
        <v>#N/A</v>
      </c>
    </row>
    <row r="565" spans="1:27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1710</v>
      </c>
      <c r="E565" s="20" t="s">
        <v>1707</v>
      </c>
      <c r="F565" s="20" t="s">
        <v>3406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1708</v>
      </c>
      <c r="M565" s="20" t="s">
        <v>262</v>
      </c>
      <c r="N565" s="22" t="s">
        <v>250</v>
      </c>
      <c r="O565" s="20" t="s">
        <v>932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1709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VLOOKUP(F565,[2]Wait!$H$225:$I$260,2,0)</f>
        <v>#N/A</v>
      </c>
    </row>
    <row r="566" spans="1:27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1711</v>
      </c>
      <c r="E566" s="20" t="s">
        <v>1707</v>
      </c>
      <c r="F566" s="20" t="s">
        <v>3406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1708</v>
      </c>
      <c r="M566" s="20" t="s">
        <v>262</v>
      </c>
      <c r="N566" s="22" t="s">
        <v>250</v>
      </c>
      <c r="O566" s="20" t="s">
        <v>932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1709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VLOOKUP(F566,[2]Wait!$H$225:$I$260,2,0)</f>
        <v>#N/A</v>
      </c>
    </row>
    <row r="567" spans="1:27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1712</v>
      </c>
      <c r="E567" s="20" t="s">
        <v>26</v>
      </c>
      <c r="F567" s="20" t="s">
        <v>3407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1713</v>
      </c>
      <c r="M567" s="20" t="s">
        <v>262</v>
      </c>
      <c r="N567" s="22" t="s">
        <v>250</v>
      </c>
      <c r="O567" s="20" t="s">
        <v>949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1714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VLOOKUP(F567,[2]Wait!$H$225:$I$260,2,0)</f>
        <v>#N/A</v>
      </c>
    </row>
    <row r="568" spans="1:27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1715</v>
      </c>
      <c r="E568" s="20" t="s">
        <v>26</v>
      </c>
      <c r="F568" s="20" t="s">
        <v>3407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1713</v>
      </c>
      <c r="M568" s="20" t="s">
        <v>262</v>
      </c>
      <c r="N568" s="22" t="s">
        <v>250</v>
      </c>
      <c r="O568" s="20" t="s">
        <v>949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1714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VLOOKUP(F568,[2]Wait!$H$225:$I$260,2,0)</f>
        <v>#N/A</v>
      </c>
    </row>
    <row r="569" spans="1:27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1716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VLOOKUP(F569,[2]Wait!$H$225:$I$260,2,0)</f>
        <v>#N/A</v>
      </c>
    </row>
    <row r="570" spans="1:27" x14ac:dyDescent="0.25">
      <c r="A570" s="9">
        <f t="shared" si="8"/>
        <v>563</v>
      </c>
      <c r="B570" s="19" t="s">
        <v>926</v>
      </c>
      <c r="C570" s="20" t="s">
        <v>927</v>
      </c>
      <c r="D570" s="20" t="s">
        <v>1719</v>
      </c>
      <c r="E570" s="20" t="s">
        <v>1717</v>
      </c>
      <c r="F570" s="20" t="s">
        <v>1717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1718</v>
      </c>
      <c r="M570" s="20" t="s">
        <v>262</v>
      </c>
      <c r="N570" s="22" t="s">
        <v>250</v>
      </c>
      <c r="O570" s="20" t="s">
        <v>1044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VLOOKUP(F570,[2]Wait!$H$225:$I$260,2,0)</f>
        <v>#N/A</v>
      </c>
    </row>
    <row r="571" spans="1:27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1720</v>
      </c>
      <c r="E571" s="20" t="s">
        <v>1717</v>
      </c>
      <c r="F571" s="20" t="s">
        <v>1717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1718</v>
      </c>
      <c r="M571" s="20" t="s">
        <v>262</v>
      </c>
      <c r="N571" s="22" t="s">
        <v>250</v>
      </c>
      <c r="O571" s="20" t="s">
        <v>1044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VLOOKUP(F571,[2]Wait!$H$225:$I$260,2,0)</f>
        <v>#N/A</v>
      </c>
    </row>
    <row r="572" spans="1:27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1721</v>
      </c>
      <c r="E572" s="20" t="s">
        <v>1722</v>
      </c>
      <c r="F572" s="20" t="s">
        <v>3408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VLOOKUP(F572,[2]Wait!$H$225:$I$260,2,0)</f>
        <v>#N/A</v>
      </c>
    </row>
    <row r="573" spans="1:27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1723</v>
      </c>
      <c r="E573" s="20" t="s">
        <v>1722</v>
      </c>
      <c r="F573" s="20" t="s">
        <v>3408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1044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VLOOKUP(F573,[2]Wait!$H$225:$I$260,2,0)</f>
        <v>#N/A</v>
      </c>
    </row>
    <row r="574" spans="1:27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1730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1731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1099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VLOOKUP(F574,[2]Wait!$H$225:$I$260,2,0)</f>
        <v>#N/A</v>
      </c>
    </row>
    <row r="575" spans="1:27" x14ac:dyDescent="0.25">
      <c r="A575" s="9">
        <f t="shared" si="8"/>
        <v>568</v>
      </c>
      <c r="B575" s="19" t="s">
        <v>926</v>
      </c>
      <c r="C575" s="20" t="s">
        <v>927</v>
      </c>
      <c r="D575" s="20" t="s">
        <v>1732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850</v>
      </c>
      <c r="M575" s="20" t="s">
        <v>256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VLOOKUP(F575,[2]Wait!$H$225:$I$260,2,0)</f>
        <v>#N/A</v>
      </c>
    </row>
    <row r="576" spans="1:27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2707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2708</v>
      </c>
      <c r="M576" s="20" t="s">
        <v>256</v>
      </c>
      <c r="N576" s="22" t="s">
        <v>250</v>
      </c>
      <c r="O576" s="20" t="s">
        <v>955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2709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VLOOKUP(F576,[2]Wait!$H$225:$I$260,2,0)</f>
        <v>#N/A</v>
      </c>
    </row>
    <row r="577" spans="1:27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2820</v>
      </c>
      <c r="E577" s="20" t="s">
        <v>26</v>
      </c>
      <c r="F577" s="20" t="s">
        <v>3412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VLOOKUP(F577,[2]Wait!$H$225:$I$260,2,0)</f>
        <v>#N/A</v>
      </c>
    </row>
    <row r="578" spans="1:27" x14ac:dyDescent="0.25">
      <c r="A578" s="9">
        <f t="shared" si="8"/>
        <v>571</v>
      </c>
      <c r="B578" s="19" t="s">
        <v>926</v>
      </c>
      <c r="C578" s="20" t="s">
        <v>927</v>
      </c>
      <c r="D578" s="20" t="s">
        <v>2821</v>
      </c>
      <c r="E578" s="20" t="s">
        <v>26</v>
      </c>
      <c r="F578" s="20" t="s">
        <v>3412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878</v>
      </c>
      <c r="M578" s="20" t="s">
        <v>256</v>
      </c>
      <c r="N578" s="22" t="s">
        <v>250</v>
      </c>
      <c r="O578" s="20" t="s">
        <v>961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879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VLOOKUP(F578,[2]Wait!$H$225:$I$260,2,0)</f>
        <v>#N/A</v>
      </c>
    </row>
    <row r="579" spans="1:27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1733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VLOOKUP(F579,[2]Wait!$H$225:$I$260,2,0)</f>
        <v>#N/A</v>
      </c>
    </row>
    <row r="580" spans="1:27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1736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VLOOKUP(F580,[2]Wait!$H$225:$I$260,2,0)</f>
        <v>#N/A</v>
      </c>
    </row>
    <row r="581" spans="1:27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1737</v>
      </c>
      <c r="E581" s="20" t="s">
        <v>1734</v>
      </c>
      <c r="F581" s="20" t="s">
        <v>1734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1735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VLOOKUP(F581,[2]Wait!$H$225:$I$260,2,0)</f>
        <v>#N/A</v>
      </c>
    </row>
    <row r="582" spans="1:27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1738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VLOOKUP(F582,[2]Wait!$H$225:$I$260,2,0)</f>
        <v>#N/A</v>
      </c>
    </row>
    <row r="583" spans="1:27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1741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VLOOKUP(F583,[2]Wait!$H$225:$I$260,2,0)</f>
        <v>#N/A</v>
      </c>
    </row>
    <row r="584" spans="1:27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1742</v>
      </c>
      <c r="E584" s="20" t="s">
        <v>1739</v>
      </c>
      <c r="F584" s="20" t="s">
        <v>1739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1740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VLOOKUP(F584,[2]Wait!$H$225:$I$260,2,0)</f>
        <v>#N/A</v>
      </c>
    </row>
    <row r="585" spans="1:27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1743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VLOOKUP(F585,[2]Wait!$H$225:$I$260,2,0)</f>
        <v>#N/A</v>
      </c>
    </row>
    <row r="586" spans="1:27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1746</v>
      </c>
      <c r="E586" s="20" t="s">
        <v>1744</v>
      </c>
      <c r="F586" s="20" t="s">
        <v>1744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1745</v>
      </c>
      <c r="M586" s="20" t="s">
        <v>256</v>
      </c>
      <c r="N586" s="22" t="s">
        <v>250</v>
      </c>
      <c r="O586" s="20" t="s">
        <v>1044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VLOOKUP(F586,[2]Wait!$H$225:$I$260,2,0)</f>
        <v>#N/A</v>
      </c>
    </row>
    <row r="587" spans="1:27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1747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VLOOKUP(F587,[2]Wait!$H$225:$I$260,2,0)</f>
        <v>#N/A</v>
      </c>
    </row>
    <row r="588" spans="1:27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1752</v>
      </c>
      <c r="E588" s="20" t="s">
        <v>1748</v>
      </c>
      <c r="F588" s="20" t="s">
        <v>1748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1749</v>
      </c>
      <c r="M588" s="20" t="s">
        <v>256</v>
      </c>
      <c r="N588" s="22" t="s">
        <v>250</v>
      </c>
      <c r="O588" s="20" t="s">
        <v>1044</v>
      </c>
      <c r="P588" s="20" t="s">
        <v>1750</v>
      </c>
      <c r="Q588" s="20" t="s">
        <v>1751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VLOOKUP(F588,[2]Wait!$H$225:$I$260,2,0)</f>
        <v>#N/A</v>
      </c>
    </row>
    <row r="589" spans="1:27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1753</v>
      </c>
      <c r="E589" s="20" t="s">
        <v>26</v>
      </c>
      <c r="F589" s="20" t="s">
        <v>3413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VLOOKUP(F589,[2]Wait!$H$225:$I$260,2,0)</f>
        <v>#N/A</v>
      </c>
    </row>
    <row r="590" spans="1:27" x14ac:dyDescent="0.25">
      <c r="A590" s="9">
        <f t="shared" si="9"/>
        <v>583</v>
      </c>
      <c r="B590" s="19" t="s">
        <v>926</v>
      </c>
      <c r="C590" s="20" t="s">
        <v>927</v>
      </c>
      <c r="D590" s="20" t="s">
        <v>1755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1754</v>
      </c>
      <c r="N590" s="22" t="s">
        <v>250</v>
      </c>
      <c r="O590" s="20" t="s">
        <v>949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VLOOKUP(F590,[2]Wait!$H$225:$I$260,2,0)</f>
        <v>#N/A</v>
      </c>
    </row>
    <row r="591" spans="1:27" x14ac:dyDescent="0.25">
      <c r="A591" s="9">
        <f t="shared" si="9"/>
        <v>584</v>
      </c>
      <c r="B591" s="19" t="s">
        <v>926</v>
      </c>
      <c r="C591" s="20" t="s">
        <v>927</v>
      </c>
      <c r="D591" s="20" t="s">
        <v>2099</v>
      </c>
      <c r="E591" s="20" t="s">
        <v>26</v>
      </c>
      <c r="F591" s="20" t="s">
        <v>3414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2100</v>
      </c>
      <c r="M591" s="20" t="s">
        <v>1754</v>
      </c>
      <c r="N591" s="22" t="s">
        <v>250</v>
      </c>
      <c r="O591" s="20" t="s">
        <v>949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2101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VLOOKUP(F591,[2]Wait!$H$225:$I$260,2,0)</f>
        <v>#N/A</v>
      </c>
    </row>
    <row r="592" spans="1:27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VLOOKUP(F592,[2]Wait!$H$225:$I$260,2,0)</f>
        <v>#N/A</v>
      </c>
    </row>
    <row r="593" spans="1:27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VLOOKUP(F593,[2]Wait!$H$225:$I$260,2,0)</f>
        <v>#N/A</v>
      </c>
    </row>
    <row r="594" spans="1:27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3415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VLOOKUP(F594,[2]Wait!$H$225:$I$260,2,0)</f>
        <v>#N/A</v>
      </c>
    </row>
    <row r="595" spans="1:27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3416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VLOOKUP(F595,[2]Wait!$H$225:$I$260,2,0)</f>
        <v>#N/A</v>
      </c>
    </row>
    <row r="596" spans="1:27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3417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VLOOKUP(F596,[2]Wait!$H$225:$I$260,2,0)</f>
        <v>#N/A</v>
      </c>
    </row>
    <row r="597" spans="1:27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3418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VLOOKUP(F597,[2]Wait!$H$225:$I$260,2,0)</f>
        <v>#N/A</v>
      </c>
    </row>
    <row r="598" spans="1:27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3419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VLOOKUP(F598,[2]Wait!$H$225:$I$260,2,0)</f>
        <v>#N/A</v>
      </c>
    </row>
    <row r="599" spans="1:27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3420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VLOOKUP(F599,[2]Wait!$H$225:$I$260,2,0)</f>
        <v>#N/A</v>
      </c>
    </row>
    <row r="600" spans="1:27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3421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VLOOKUP(F600,[2]Wait!$H$225:$I$260,2,0)</f>
        <v>#N/A</v>
      </c>
    </row>
    <row r="601" spans="1:27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3422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VLOOKUP(F601,[2]Wait!$H$225:$I$260,2,0)</f>
        <v>#N/A</v>
      </c>
    </row>
    <row r="602" spans="1:27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3423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VLOOKUP(F602,[2]Wait!$H$225:$I$260,2,0)</f>
        <v>#N/A</v>
      </c>
    </row>
    <row r="603" spans="1:27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3424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VLOOKUP(F603,[2]Wait!$H$225:$I$260,2,0)</f>
        <v>#N/A</v>
      </c>
    </row>
    <row r="604" spans="1:27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3425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VLOOKUP(F604,[2]Wait!$H$225:$I$260,2,0)</f>
        <v>#N/A</v>
      </c>
    </row>
    <row r="605" spans="1:27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3426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VLOOKUP(F605,[2]Wait!$H$225:$I$260,2,0)</f>
        <v>#N/A</v>
      </c>
    </row>
    <row r="606" spans="1:27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3427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VLOOKUP(F606,[2]Wait!$H$225:$I$260,2,0)</f>
        <v>#N/A</v>
      </c>
    </row>
    <row r="607" spans="1:27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VLOOKUP(F607,[2]Wait!$H$225:$I$260,2,0)</f>
        <v>#N/A</v>
      </c>
    </row>
    <row r="608" spans="1:27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3429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VLOOKUP(F608,[2]Wait!$H$225:$I$260,2,0)</f>
        <v>#N/A</v>
      </c>
    </row>
    <row r="609" spans="1:29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3430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VLOOKUP(F609,[2]Wait!$H$225:$I$260,2,0)</f>
        <v>#N/A</v>
      </c>
    </row>
    <row r="610" spans="1:29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3431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VLOOKUP(F610,[2]Wait!$H$225:$I$260,2,0)</f>
        <v>#N/A</v>
      </c>
    </row>
    <row r="611" spans="1:29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3432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VLOOKUP(F611,[2]Wait!$H$225:$I$260,2,0)</f>
        <v>#N/A</v>
      </c>
    </row>
    <row r="612" spans="1:29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3433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VLOOKUP(F612,[2]Wait!$H$225:$I$260,2,0)</f>
        <v>#N/A</v>
      </c>
    </row>
    <row r="613" spans="1:29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3434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VLOOKUP(F613,[2]Wait!$H$225:$I$260,2,0)</f>
        <v>#N/A</v>
      </c>
    </row>
    <row r="614" spans="1:29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3435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VLOOKUP(F614,[2]Wait!$H$225:$I$260,2,0)</f>
        <v>#N/A</v>
      </c>
    </row>
    <row r="615" spans="1:29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3436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VLOOKUP(F615,[2]Wait!$H$225:$I$260,2,0)</f>
        <v>#N/A</v>
      </c>
    </row>
    <row r="616" spans="1:29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3437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VLOOKUP(F616,[2]Wait!$H$225:$I$260,2,0)</f>
        <v>#N/A</v>
      </c>
    </row>
    <row r="617" spans="1:29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3438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VLOOKUP(F617,[2]Wait!$H$225:$I$260,2,0)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3439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VLOOKUP(F618,[2]Wait!$H$225:$I$260,2,0)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3440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VLOOKUP(F619,[2]Wait!$H$225:$I$260,2,0)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VLOOKUP(F620,[2]Wait!$H$225:$I$260,2,0)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3442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VLOOKUP(F621,[2]Wait!$H$225:$I$260,2,0)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3443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VLOOKUP(F622,[2]Wait!$H$225:$I$260,2,0)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3444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VLOOKUP(F623,[2]Wait!$H$225:$I$260,2,0)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3445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VLOOKUP(F624,[2]Wait!$H$225:$I$260,2,0)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3446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VLOOKUP(F625,[2]Wait!$H$225:$I$260,2,0)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3447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VLOOKUP(F626,[2]Wait!$H$225:$I$260,2,0)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3448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VLOOKUP(F627,[2]Wait!$H$225:$I$260,2,0)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3449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VLOOKUP(F628,[2]Wait!$H$225:$I$260,2,0)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3450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VLOOKUP(F629,[2]Wait!$H$225:$I$260,2,0)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3451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VLOOKUP(F630,[2]Wait!$H$225:$I$260,2,0)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3452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VLOOKUP(F631,[2]Wait!$H$225:$I$260,2,0)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3453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VLOOKUP(F632,[2]Wait!$H$225:$I$260,2,0)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3454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VLOOKUP(F633,[2]Wait!$H$225:$I$260,2,0)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3455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VLOOKUP(F634,[2]Wait!$H$225:$I$260,2,0)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3456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VLOOKUP(F635,[2]Wait!$H$225:$I$260,2,0)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3457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VLOOKUP(F636,[2]Wait!$H$225:$I$260,2,0)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3458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VLOOKUP(F637,[2]Wait!$H$225:$I$260,2,0)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3459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VLOOKUP(F638,[2]Wait!$H$225:$I$260,2,0)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VLOOKUP(F639,[2]Wait!$H$225:$I$260,2,0)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VLOOKUP(F640,[2]Wait!$H$225:$I$260,2,0)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3462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VLOOKUP(F641,[2]Wait!$H$225:$I$260,2,0)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3463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VLOOKUP(F642,[2]Wait!$H$225:$I$260,2,0)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3464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VLOOKUP(F643,[2]Wait!$H$225:$I$260,2,0)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3465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VLOOKUP(F644,[2]Wait!$H$225:$I$260,2,0)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3466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VLOOKUP(F645,[2]Wait!$H$225:$I$260,2,0)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3467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VLOOKUP(F646,[2]Wait!$H$225:$I$260,2,0)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3468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VLOOKUP(F647,[2]Wait!$H$225:$I$260,2,0)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3469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VLOOKUP(F648,[2]Wait!$H$225:$I$260,2,0)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3470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VLOOKUP(F649,[2]Wait!$H$225:$I$260,2,0)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3471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VLOOKUP(F650,[2]Wait!$H$225:$I$260,2,0)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3472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VLOOKUP(F651,[2]Wait!$H$225:$I$260,2,0)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3473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VLOOKUP(F652,[2]Wait!$H$225:$I$260,2,0)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3474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VLOOKUP(F653,[2]Wait!$H$225:$I$260,2,0)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3475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VLOOKUP(F654,[2]Wait!$H$225:$I$260,2,0)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3476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VLOOKUP(F655,[2]Wait!$H$225:$I$260,2,0)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3477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VLOOKUP(F656,[2]Wait!$H$225:$I$260,2,0)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3478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VLOOKUP(F657,[2]Wait!$H$225:$I$260,2,0)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3479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VLOOKUP(F658,[2]Wait!$H$225:$I$260,2,0)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3480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VLOOKUP(F659,[2]Wait!$H$225:$I$260,2,0)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3481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VLOOKUP(F660,[2]Wait!$H$225:$I$260,2,0)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3482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VLOOKUP(F661,[2]Wait!$H$225:$I$260,2,0)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3483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VLOOKUP(F662,[2]Wait!$H$225:$I$260,2,0)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3484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VLOOKUP(F663,[2]Wait!$H$225:$I$260,2,0)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3485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VLOOKUP(F664,[2]Wait!$H$225:$I$260,2,0)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3486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VLOOKUP(F665,[2]Wait!$H$225:$I$260,2,0)</f>
        <v>#N/A</v>
      </c>
    </row>
    <row r="666" spans="1:29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3487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VLOOKUP(F666,[2]Wait!$H$225:$I$260,2,0)</f>
        <v>#N/A</v>
      </c>
    </row>
    <row r="667" spans="1:29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3488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VLOOKUP(F667,[2]Wait!$H$225:$I$260,2,0)</f>
        <v>#N/A</v>
      </c>
    </row>
    <row r="668" spans="1:29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3489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VLOOKUP(F668,[2]Wait!$H$225:$I$260,2,0)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3490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VLOOKUP(F669,[2]Wait!$H$225:$I$260,2,0)</f>
        <v>#N/A</v>
      </c>
    </row>
    <row r="670" spans="1:29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3491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VLOOKUP(F670,[2]Wait!$H$225:$I$260,2,0)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3492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VLOOKUP(F671,[2]Wait!$H$225:$I$260,2,0)</f>
        <v>#N/A</v>
      </c>
    </row>
    <row r="672" spans="1:29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3493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VLOOKUP(F672,[2]Wait!$H$225:$I$260,2,0)</f>
        <v>#N/A</v>
      </c>
    </row>
    <row r="673" spans="1:27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3494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VLOOKUP(F673,[2]Wait!$H$225:$I$260,2,0)</f>
        <v>#N/A</v>
      </c>
    </row>
    <row r="674" spans="1:27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3495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VLOOKUP(F674,[2]Wait!$H$225:$I$260,2,0)</f>
        <v>#N/A</v>
      </c>
    </row>
    <row r="675" spans="1:27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3496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VLOOKUP(F675,[2]Wait!$H$225:$I$260,2,0)</f>
        <v>#N/A</v>
      </c>
    </row>
    <row r="676" spans="1:27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3497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VLOOKUP(F676,[2]Wait!$H$225:$I$260,2,0)</f>
        <v>#N/A</v>
      </c>
    </row>
    <row r="677" spans="1:27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3498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VLOOKUP(F677,[2]Wait!$H$225:$I$260,2,0)</f>
        <v>#N/A</v>
      </c>
    </row>
    <row r="678" spans="1:27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3499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VLOOKUP(F678,[2]Wait!$H$225:$I$260,2,0)</f>
        <v>#N/A</v>
      </c>
    </row>
    <row r="679" spans="1:27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3500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VLOOKUP(F679,[2]Wait!$H$225:$I$260,2,0)</f>
        <v>#N/A</v>
      </c>
    </row>
    <row r="680" spans="1:27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3501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VLOOKUP(F680,[2]Wait!$H$225:$I$260,2,0)</f>
        <v>#N/A</v>
      </c>
    </row>
    <row r="681" spans="1:27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3502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VLOOKUP(F681,[2]Wait!$H$225:$I$260,2,0)</f>
        <v>#N/A</v>
      </c>
    </row>
    <row r="682" spans="1:27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3503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VLOOKUP(F682,[2]Wait!$H$225:$I$260,2,0)</f>
        <v>#N/A</v>
      </c>
    </row>
    <row r="683" spans="1:27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3504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VLOOKUP(F683,[2]Wait!$H$225:$I$260,2,0)</f>
        <v>#N/A</v>
      </c>
    </row>
    <row r="684" spans="1:27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3505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VLOOKUP(F684,[2]Wait!$H$225:$I$260,2,0)</f>
        <v>#N/A</v>
      </c>
    </row>
    <row r="685" spans="1:27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3506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VLOOKUP(F685,[2]Wait!$H$225:$I$260,2,0)</f>
        <v>#N/A</v>
      </c>
    </row>
    <row r="686" spans="1:27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3507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VLOOKUP(F686,[2]Wait!$H$225:$I$260,2,0)</f>
        <v>#N/A</v>
      </c>
    </row>
    <row r="687" spans="1:27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3508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VLOOKUP(F687,[2]Wait!$H$225:$I$260,2,0)</f>
        <v>#N/A</v>
      </c>
    </row>
    <row r="688" spans="1:27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3509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VLOOKUP(F688,[2]Wait!$H$225:$I$260,2,0)</f>
        <v>#N/A</v>
      </c>
    </row>
    <row r="689" spans="1:27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3510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VLOOKUP(F689,[2]Wait!$H$225:$I$260,2,0)</f>
        <v>#N/A</v>
      </c>
    </row>
    <row r="690" spans="1:27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3511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VLOOKUP(F690,[2]Wait!$H$225:$I$260,2,0)</f>
        <v>#N/A</v>
      </c>
    </row>
    <row r="691" spans="1:27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3512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VLOOKUP(F691,[2]Wait!$H$225:$I$260,2,0)</f>
        <v>#N/A</v>
      </c>
    </row>
    <row r="692" spans="1:27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3513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VLOOKUP(F692,[2]Wait!$H$225:$I$260,2,0)</f>
        <v>#N/A</v>
      </c>
    </row>
    <row r="693" spans="1:27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3514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VLOOKUP(F693,[2]Wait!$H$225:$I$260,2,0)</f>
        <v>#N/A</v>
      </c>
    </row>
    <row r="694" spans="1:27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3515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VLOOKUP(F694,[2]Wait!$H$225:$I$260,2,0)</f>
        <v>#N/A</v>
      </c>
    </row>
    <row r="695" spans="1:27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3516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VLOOKUP(F695,[2]Wait!$H$225:$I$260,2,0)</f>
        <v>#N/A</v>
      </c>
    </row>
    <row r="696" spans="1:27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3516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VLOOKUP(F696,[2]Wait!$H$225:$I$260,2,0)</f>
        <v>#N/A</v>
      </c>
    </row>
    <row r="697" spans="1:27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3517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VLOOKUP(F697,[2]Wait!$H$225:$I$260,2,0)</f>
        <v>#N/A</v>
      </c>
    </row>
    <row r="698" spans="1:27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3518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VLOOKUP(F698,[2]Wait!$H$225:$I$260,2,0)</f>
        <v>#N/A</v>
      </c>
    </row>
    <row r="699" spans="1:27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3519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VLOOKUP(F699,[2]Wait!$H$225:$I$260,2,0)</f>
        <v>#N/A</v>
      </c>
    </row>
    <row r="700" spans="1:27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3520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VLOOKUP(F700,[2]Wait!$H$225:$I$260,2,0)</f>
        <v>#N/A</v>
      </c>
    </row>
    <row r="701" spans="1:27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3521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VLOOKUP(F701,[2]Wait!$H$225:$I$260,2,0)</f>
        <v>#N/A</v>
      </c>
    </row>
    <row r="702" spans="1:27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3522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VLOOKUP(F702,[2]Wait!$H$225:$I$260,2,0)</f>
        <v>#N/A</v>
      </c>
    </row>
    <row r="703" spans="1:27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3523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VLOOKUP(F703,[2]Wait!$H$225:$I$260,2,0)</f>
        <v>#N/A</v>
      </c>
    </row>
    <row r="704" spans="1:27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3523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VLOOKUP(F704,[2]Wait!$H$225:$I$260,2,0)</f>
        <v>#N/A</v>
      </c>
    </row>
    <row r="705" spans="1:27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3524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VLOOKUP(F705,[2]Wait!$H$225:$I$260,2,0)</f>
        <v>#N/A</v>
      </c>
    </row>
    <row r="706" spans="1:27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3524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VLOOKUP(F706,[2]Wait!$H$225:$I$260,2,0)</f>
        <v>#N/A</v>
      </c>
    </row>
    <row r="707" spans="1:27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3525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VLOOKUP(F707,[2]Wait!$H$225:$I$260,2,0)</f>
        <v>#N/A</v>
      </c>
    </row>
    <row r="708" spans="1:27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3525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VLOOKUP(F708,[2]Wait!$H$225:$I$260,2,0)</f>
        <v>#N/A</v>
      </c>
    </row>
    <row r="709" spans="1:27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3526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VLOOKUP(F709,[2]Wait!$H$225:$I$260,2,0)</f>
        <v>#N/A</v>
      </c>
    </row>
    <row r="710" spans="1:27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3526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VLOOKUP(F710,[2]Wait!$H$225:$I$260,2,0)</f>
        <v>#N/A</v>
      </c>
    </row>
    <row r="711" spans="1:27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3527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VLOOKUP(F711,[2]Wait!$H$225:$I$260,2,0)</f>
        <v>#N/A</v>
      </c>
    </row>
    <row r="712" spans="1:27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3527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VLOOKUP(F712,[2]Wait!$H$225:$I$260,2,0)</f>
        <v>#N/A</v>
      </c>
    </row>
    <row r="713" spans="1:27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3528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VLOOKUP(F713,[2]Wait!$H$225:$I$260,2,0)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3528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VLOOKUP(F714,[2]Wait!$H$225:$I$260,2,0)</f>
        <v>#N/A</v>
      </c>
    </row>
    <row r="715" spans="1:27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3529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VLOOKUP(F715,[2]Wait!$H$225:$I$260,2,0)</f>
        <v>#N/A</v>
      </c>
    </row>
    <row r="716" spans="1:27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3530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VLOOKUP(F716,[2]Wait!$H$225:$I$260,2,0)</f>
        <v>#N/A</v>
      </c>
    </row>
    <row r="717" spans="1:27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3530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VLOOKUP(F717,[2]Wait!$H$225:$I$260,2,0)</f>
        <v>#N/A</v>
      </c>
    </row>
    <row r="718" spans="1:27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3531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VLOOKUP(F718,[2]Wait!$H$225:$I$260,2,0)</f>
        <v>#N/A</v>
      </c>
    </row>
    <row r="719" spans="1:27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3532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VLOOKUP(F719,[2]Wait!$H$225:$I$260,2,0)</f>
        <v>#N/A</v>
      </c>
    </row>
    <row r="720" spans="1:27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3533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VLOOKUP(F720,[2]Wait!$H$225:$I$260,2,0)</f>
        <v>#N/A</v>
      </c>
    </row>
    <row r="721" spans="1:27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3534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VLOOKUP(F721,[2]Wait!$H$225:$I$260,2,0)</f>
        <v>#N/A</v>
      </c>
    </row>
    <row r="722" spans="1:27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3535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VLOOKUP(F722,[2]Wait!$H$225:$I$260,2,0)</f>
        <v>#N/A</v>
      </c>
    </row>
    <row r="723" spans="1:27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3536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VLOOKUP(F723,[2]Wait!$H$225:$I$260,2,0)</f>
        <v>#N/A</v>
      </c>
    </row>
    <row r="724" spans="1:27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3537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VLOOKUP(F724,[2]Wait!$H$225:$I$260,2,0)</f>
        <v>#N/A</v>
      </c>
    </row>
    <row r="725" spans="1:27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3538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VLOOKUP(F725,[2]Wait!$H$225:$I$260,2,0)</f>
        <v>#N/A</v>
      </c>
    </row>
    <row r="726" spans="1:27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3539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VLOOKUP(F726,[2]Wait!$H$225:$I$260,2,0)</f>
        <v>#N/A</v>
      </c>
    </row>
    <row r="727" spans="1:27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3540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VLOOKUP(F727,[2]Wait!$H$225:$I$260,2,0)</f>
        <v>#N/A</v>
      </c>
    </row>
    <row r="728" spans="1:27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3541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VLOOKUP(F728,[2]Wait!$H$225:$I$260,2,0)</f>
        <v>#N/A</v>
      </c>
    </row>
    <row r="729" spans="1:27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3542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VLOOKUP(F729,[2]Wait!$H$225:$I$260,2,0)</f>
        <v>#N/A</v>
      </c>
    </row>
    <row r="730" spans="1:27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3543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VLOOKUP(F730,[2]Wait!$H$225:$I$260,2,0)</f>
        <v>#N/A</v>
      </c>
    </row>
    <row r="731" spans="1:27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3544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VLOOKUP(F731,[2]Wait!$H$225:$I$260,2,0)</f>
        <v>#N/A</v>
      </c>
    </row>
    <row r="732" spans="1:27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3545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VLOOKUP(F732,[2]Wait!$H$225:$I$260,2,0)</f>
        <v>#N/A</v>
      </c>
    </row>
    <row r="733" spans="1:27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3546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VLOOKUP(F733,[2]Wait!$H$225:$I$260,2,0)</f>
        <v>#N/A</v>
      </c>
    </row>
    <row r="734" spans="1:27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3547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VLOOKUP(F734,[2]Wait!$H$225:$I$260,2,0)</f>
        <v>#N/A</v>
      </c>
    </row>
    <row r="735" spans="1:27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3548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VLOOKUP(F735,[2]Wait!$H$225:$I$260,2,0)</f>
        <v>#N/A</v>
      </c>
    </row>
    <row r="736" spans="1:27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3549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VLOOKUP(F736,[2]Wait!$H$225:$I$260,2,0)</f>
        <v>#N/A</v>
      </c>
    </row>
    <row r="737" spans="1:29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3550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VLOOKUP(F737,[2]Wait!$H$225:$I$260,2,0)</f>
        <v>#N/A</v>
      </c>
    </row>
    <row r="738" spans="1:29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3551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VLOOKUP(F738,[2]Wait!$H$225:$I$260,2,0)</f>
        <v>#N/A</v>
      </c>
    </row>
    <row r="739" spans="1:29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3552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VLOOKUP(F739,[2]Wait!$H$225:$I$260,2,0)</f>
        <v>#N/A</v>
      </c>
    </row>
    <row r="740" spans="1:29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3553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VLOOKUP(F740,[2]Wait!$H$225:$I$260,2,0)</f>
        <v>#N/A</v>
      </c>
    </row>
    <row r="741" spans="1:29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3554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VLOOKUP(F741,[2]Wait!$H$225:$I$260,2,0)</f>
        <v>#N/A</v>
      </c>
    </row>
    <row r="742" spans="1:29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3555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VLOOKUP(F742,[2]Wait!$H$225:$I$260,2,0)</f>
        <v>#N/A</v>
      </c>
    </row>
    <row r="743" spans="1:29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3556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VLOOKUP(F743,[2]Wait!$H$225:$I$260,2,0)</f>
        <v>#N/A</v>
      </c>
    </row>
    <row r="744" spans="1:29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3557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VLOOKUP(F744,[2]Wait!$H$225:$I$260,2,0)</f>
        <v>#N/A</v>
      </c>
    </row>
    <row r="745" spans="1:29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3558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VLOOKUP(F745,[2]Wait!$H$225:$I$260,2,0)</f>
        <v>#N/A</v>
      </c>
    </row>
    <row r="746" spans="1:29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3559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VLOOKUP(F746,[2]Wait!$H$225:$I$260,2,0)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3560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VLOOKUP(F747,[2]Wait!$H$225:$I$260,2,0)</f>
        <v>#N/A</v>
      </c>
    </row>
    <row r="748" spans="1:29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3561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VLOOKUP(F748,[2]Wait!$H$225:$I$260,2,0)</f>
        <v>#N/A</v>
      </c>
    </row>
    <row r="749" spans="1:29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3562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VLOOKUP(F749,[2]Wait!$H$225:$I$260,2,0)</f>
        <v>#N/A</v>
      </c>
    </row>
    <row r="750" spans="1:29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3563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VLOOKUP(F750,[2]Wait!$H$225:$I$260,2,0)</f>
        <v>#N/A</v>
      </c>
    </row>
    <row r="751" spans="1:29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3564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VLOOKUP(F751,[2]Wait!$H$225:$I$260,2,0)</f>
        <v>#N/A</v>
      </c>
    </row>
    <row r="752" spans="1:29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3565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VLOOKUP(F752,[2]Wait!$H$225:$I$260,2,0)</f>
        <v>#N/A</v>
      </c>
    </row>
    <row r="753" spans="1:27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3566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VLOOKUP(F753,[2]Wait!$H$225:$I$260,2,0)</f>
        <v>#N/A</v>
      </c>
    </row>
    <row r="754" spans="1:27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3567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VLOOKUP(F754,[2]Wait!$H$225:$I$260,2,0)</f>
        <v>#N/A</v>
      </c>
    </row>
    <row r="755" spans="1:27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3568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VLOOKUP(F755,[2]Wait!$H$225:$I$260,2,0)</f>
        <v>#N/A</v>
      </c>
    </row>
    <row r="756" spans="1:27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3569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VLOOKUP(F756,[2]Wait!$H$225:$I$260,2,0)</f>
        <v>#N/A</v>
      </c>
    </row>
    <row r="757" spans="1:27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3570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VLOOKUP(F757,[2]Wait!$H$225:$I$260,2,0)</f>
        <v>#N/A</v>
      </c>
    </row>
    <row r="758" spans="1:27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3571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VLOOKUP(F758,[2]Wait!$H$225:$I$260,2,0)</f>
        <v>#N/A</v>
      </c>
    </row>
    <row r="759" spans="1:27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3572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VLOOKUP(F759,[2]Wait!$H$225:$I$260,2,0)</f>
        <v>#N/A</v>
      </c>
    </row>
    <row r="760" spans="1:27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3573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VLOOKUP(F760,[2]Wait!$H$225:$I$260,2,0)</f>
        <v>#N/A</v>
      </c>
    </row>
    <row r="761" spans="1:27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3574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VLOOKUP(F761,[2]Wait!$H$225:$I$260,2,0)</f>
        <v>#N/A</v>
      </c>
    </row>
    <row r="762" spans="1:27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3575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VLOOKUP(F762,[2]Wait!$H$225:$I$260,2,0)</f>
        <v>#N/A</v>
      </c>
    </row>
    <row r="763" spans="1:27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3576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VLOOKUP(F763,[2]Wait!$H$225:$I$260,2,0)</f>
        <v>#N/A</v>
      </c>
    </row>
    <row r="764" spans="1:27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3577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VLOOKUP(F764,[2]Wait!$H$225:$I$260,2,0)</f>
        <v>#N/A</v>
      </c>
    </row>
    <row r="765" spans="1:27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3578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VLOOKUP(F765,[2]Wait!$H$225:$I$260,2,0)</f>
        <v>#N/A</v>
      </c>
    </row>
    <row r="766" spans="1:27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3579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VLOOKUP(F766,[2]Wait!$H$225:$I$260,2,0)</f>
        <v>#N/A</v>
      </c>
    </row>
    <row r="767" spans="1:27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3580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VLOOKUP(F767,[2]Wait!$H$225:$I$260,2,0)</f>
        <v>#N/A</v>
      </c>
    </row>
    <row r="768" spans="1:27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3581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VLOOKUP(F768,[2]Wait!$H$225:$I$260,2,0)</f>
        <v>#N/A</v>
      </c>
    </row>
    <row r="769" spans="1:27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3582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VLOOKUP(F769,[2]Wait!$H$225:$I$260,2,0)</f>
        <v>#N/A</v>
      </c>
    </row>
    <row r="770" spans="1:27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3583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VLOOKUP(F770,[2]Wait!$H$225:$I$260,2,0)</f>
        <v>#N/A</v>
      </c>
    </row>
    <row r="771" spans="1:27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3584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VLOOKUP(F771,[2]Wait!$H$225:$I$260,2,0)</f>
        <v>#N/A</v>
      </c>
    </row>
    <row r="772" spans="1:27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3585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VLOOKUP(F772,[2]Wait!$H$225:$I$260,2,0)</f>
        <v>#N/A</v>
      </c>
    </row>
    <row r="773" spans="1:27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3586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VLOOKUP(F773,[2]Wait!$H$225:$I$260,2,0)</f>
        <v>#N/A</v>
      </c>
    </row>
    <row r="774" spans="1:27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3587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VLOOKUP(F774,[2]Wait!$H$225:$I$260,2,0)</f>
        <v>#N/A</v>
      </c>
    </row>
    <row r="775" spans="1:27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3588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VLOOKUP(F775,[2]Wait!$H$225:$I$260,2,0)</f>
        <v>#N/A</v>
      </c>
    </row>
    <row r="776" spans="1:27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3589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VLOOKUP(F776,[2]Wait!$H$225:$I$260,2,0)</f>
        <v>#N/A</v>
      </c>
    </row>
    <row r="777" spans="1:27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3590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VLOOKUP(F777,[2]Wait!$H$225:$I$260,2,0)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3591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VLOOKUP(F778,[2]Wait!$H$225:$I$260,2,0)</f>
        <v>#N/A</v>
      </c>
    </row>
    <row r="779" spans="1:27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3592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VLOOKUP(F779,[2]Wait!$H$225:$I$260,2,0)</f>
        <v>#N/A</v>
      </c>
    </row>
    <row r="780" spans="1:27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3593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VLOOKUP(F780,[2]Wait!$H$225:$I$260,2,0)</f>
        <v>#N/A</v>
      </c>
    </row>
    <row r="781" spans="1:27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3594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VLOOKUP(F781,[2]Wait!$H$225:$I$260,2,0)</f>
        <v>#N/A</v>
      </c>
    </row>
    <row r="782" spans="1:27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3595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VLOOKUP(F782,[2]Wait!$H$225:$I$260,2,0)</f>
        <v>#N/A</v>
      </c>
    </row>
    <row r="783" spans="1:27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3596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VLOOKUP(F783,[2]Wait!$H$225:$I$260,2,0)</f>
        <v>#N/A</v>
      </c>
    </row>
    <row r="784" spans="1:27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3597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VLOOKUP(F784,[2]Wait!$H$225:$I$260,2,0)</f>
        <v>#N/A</v>
      </c>
    </row>
    <row r="785" spans="1:29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3598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VLOOKUP(F785,[2]Wait!$H$225:$I$260,2,0)</f>
        <v>#N/A</v>
      </c>
    </row>
    <row r="786" spans="1:29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3599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VLOOKUP(F786,[2]Wait!$H$225:$I$260,2,0)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3600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VLOOKUP(F787,[2]Wait!$H$225:$I$260,2,0)</f>
        <v>#N/A</v>
      </c>
    </row>
    <row r="788" spans="1:29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3601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VLOOKUP(F788,[2]Wait!$H$225:$I$260,2,0)</f>
        <v>#N/A</v>
      </c>
    </row>
    <row r="789" spans="1:29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3602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VLOOKUP(F789,[2]Wait!$H$225:$I$260,2,0)</f>
        <v>#N/A</v>
      </c>
    </row>
    <row r="790" spans="1:29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3603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VLOOKUP(F790,[2]Wait!$H$225:$I$260,2,0)</f>
        <v>#N/A</v>
      </c>
    </row>
    <row r="791" spans="1:29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3604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VLOOKUP(F791,[2]Wait!$H$225:$I$260,2,0)</f>
        <v>#N/A</v>
      </c>
    </row>
    <row r="792" spans="1:29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3605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VLOOKUP(F792,[2]Wait!$H$225:$I$260,2,0)</f>
        <v>#N/A</v>
      </c>
    </row>
    <row r="793" spans="1:29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3606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VLOOKUP(F793,[2]Wait!$H$225:$I$260,2,0)</f>
        <v>#N/A</v>
      </c>
    </row>
    <row r="794" spans="1:29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3607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VLOOKUP(F794,[2]Wait!$H$225:$I$260,2,0)</f>
        <v>#N/A</v>
      </c>
    </row>
    <row r="795" spans="1:29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3608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VLOOKUP(F795,[2]Wait!$H$225:$I$260,2,0)</f>
        <v>#N/A</v>
      </c>
    </row>
    <row r="796" spans="1:29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3609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VLOOKUP(F796,[2]Wait!$H$225:$I$260,2,0)</f>
        <v>#N/A</v>
      </c>
    </row>
    <row r="797" spans="1:29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3610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VLOOKUP(F797,[2]Wait!$H$225:$I$260,2,0)</f>
        <v>#N/A</v>
      </c>
    </row>
    <row r="798" spans="1:29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3611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VLOOKUP(F798,[2]Wait!$H$225:$I$260,2,0)</f>
        <v>#N/A</v>
      </c>
    </row>
    <row r="799" spans="1:29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3612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VLOOKUP(F799,[2]Wait!$H$225:$I$260,2,0)</f>
        <v>#N/A</v>
      </c>
    </row>
    <row r="800" spans="1:29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3613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VLOOKUP(F800,[2]Wait!$H$225:$I$260,2,0)</f>
        <v>#N/A</v>
      </c>
    </row>
    <row r="801" spans="1:29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3614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VLOOKUP(F801,[2]Wait!$H$225:$I$260,2,0)</f>
        <v>#N/A</v>
      </c>
    </row>
    <row r="802" spans="1:29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3615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VLOOKUP(F802,[2]Wait!$H$225:$I$260,2,0)</f>
        <v>#N/A</v>
      </c>
    </row>
    <row r="803" spans="1:29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3616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VLOOKUP(F803,[2]Wait!$H$225:$I$260,2,0)</f>
        <v>#N/A</v>
      </c>
    </row>
    <row r="804" spans="1:29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3617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VLOOKUP(F804,[2]Wait!$H$225:$I$260,2,0)</f>
        <v>#N/A</v>
      </c>
    </row>
    <row r="805" spans="1:29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3618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VLOOKUP(F805,[2]Wait!$H$225:$I$260,2,0)</f>
        <v>#N/A</v>
      </c>
    </row>
    <row r="806" spans="1:29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3619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VLOOKUP(F806,[2]Wait!$H$225:$I$260,2,0)</f>
        <v>#N/A</v>
      </c>
    </row>
    <row r="807" spans="1:29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3620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VLOOKUP(F807,[2]Wait!$H$225:$I$260,2,0)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3621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VLOOKUP(F808,[2]Wait!$H$225:$I$260,2,0)</f>
        <v>#N/A</v>
      </c>
    </row>
    <row r="809" spans="1:29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3622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VLOOKUP(F809,[2]Wait!$H$225:$I$260,2,0)</f>
        <v>#N/A</v>
      </c>
    </row>
    <row r="810" spans="1:29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3623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VLOOKUP(F810,[2]Wait!$H$225:$I$260,2,0)</f>
        <v>#N/A</v>
      </c>
    </row>
    <row r="811" spans="1:29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3624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VLOOKUP(F811,[2]Wait!$H$225:$I$260,2,0)</f>
        <v>#N/A</v>
      </c>
    </row>
    <row r="812" spans="1:29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3625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VLOOKUP(F812,[2]Wait!$H$225:$I$260,2,0)</f>
        <v>#N/A</v>
      </c>
    </row>
    <row r="813" spans="1:29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3626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VLOOKUP(F813,[2]Wait!$H$225:$I$260,2,0)</f>
        <v>#N/A</v>
      </c>
    </row>
    <row r="814" spans="1:29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3627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VLOOKUP(F814,[2]Wait!$H$225:$I$260,2,0)</f>
        <v>#N/A</v>
      </c>
    </row>
    <row r="815" spans="1:29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3628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VLOOKUP(F815,[2]Wait!$H$225:$I$260,2,0)</f>
        <v>#N/A</v>
      </c>
    </row>
    <row r="816" spans="1:29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3629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VLOOKUP(F816,[2]Wait!$H$225:$I$260,2,0)</f>
        <v>#N/A</v>
      </c>
    </row>
    <row r="817" spans="1:28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3630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VLOOKUP(F817,[2]Wait!$H$225:$I$260,2,0)</f>
        <v>#N/A</v>
      </c>
    </row>
    <row r="818" spans="1:28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3631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VLOOKUP(F818,[2]Wait!$H$225:$I$260,2,0)</f>
        <v>#N/A</v>
      </c>
    </row>
    <row r="819" spans="1:28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3632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VLOOKUP(F819,[2]Wait!$H$225:$I$260,2,0)</f>
        <v>#N/A</v>
      </c>
    </row>
    <row r="820" spans="1:28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3633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VLOOKUP(F820,[2]Wait!$H$225:$I$260,2,0)</f>
        <v>#N/A</v>
      </c>
    </row>
    <row r="821" spans="1:28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3634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VLOOKUP(F821,[2]Wait!$H$225:$I$260,2,0)</f>
        <v>#N/A</v>
      </c>
    </row>
    <row r="822" spans="1:28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3635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VLOOKUP(F822,[2]Wait!$H$225:$I$260,2,0)</f>
        <v>#N/A</v>
      </c>
    </row>
    <row r="823" spans="1:28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3636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VLOOKUP(F823,[2]Wait!$H$225:$I$260,2,0)</f>
        <v>#N/A</v>
      </c>
    </row>
    <row r="824" spans="1:28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3637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VLOOKUP(F824,[2]Wait!$H$225:$I$260,2,0)</f>
        <v>#N/A</v>
      </c>
    </row>
    <row r="825" spans="1:28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3638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VLOOKUP(F825,[2]Wait!$H$225:$I$260,2,0)</f>
        <v>#N/A</v>
      </c>
    </row>
    <row r="826" spans="1:28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3639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VLOOKUP(F826,[2]Wait!$H$225:$I$260,2,0)</f>
        <v>#N/A</v>
      </c>
    </row>
    <row r="827" spans="1:28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3640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VLOOKUP(F827,[2]Wait!$H$225:$I$260,2,0)</f>
        <v>#N/A</v>
      </c>
    </row>
    <row r="828" spans="1:28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3641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VLOOKUP(F828,[2]Wait!$H$225:$I$260,2,0)</f>
        <v>#N/A</v>
      </c>
    </row>
    <row r="829" spans="1:28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3642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VLOOKUP(F829,[2]Wait!$H$225:$I$260,2,0)</f>
        <v>#N/A</v>
      </c>
    </row>
    <row r="830" spans="1:28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VLOOKUP(F830,[2]Wait!$H$225:$I$260,2,0)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VLOOKUP(F831,[2]Wait!$H$225:$I$260,2,0)</f>
        <v>#N/A</v>
      </c>
    </row>
    <row r="832" spans="1:28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VLOOKUP(F832,[2]Wait!$H$225:$I$260,2,0)</f>
        <v>#N/A</v>
      </c>
    </row>
    <row r="833" spans="1:29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VLOOKUP(F833,[2]Wait!$H$225:$I$260,2,0)</f>
        <v>#N/A</v>
      </c>
    </row>
    <row r="834" spans="1:29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VLOOKUP(F834,[2]Wait!$H$225:$I$260,2,0)</f>
        <v>#N/A</v>
      </c>
    </row>
    <row r="835" spans="1:29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VLOOKUP(F835,[2]Wait!$H$225:$I$260,2,0)</f>
        <v>#N/A</v>
      </c>
    </row>
    <row r="836" spans="1:29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VLOOKUP(F836,[2]Wait!$H$225:$I$260,2,0)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VLOOKUP(F837,[2]Wait!$H$225:$I$260,2,0)</f>
        <v>#N/A</v>
      </c>
    </row>
    <row r="838" spans="1:29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VLOOKUP(F838,[2]Wait!$H$225:$I$260,2,0)</f>
        <v>#N/A</v>
      </c>
    </row>
    <row r="839" spans="1:29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VLOOKUP(F839,[2]Wait!$H$225:$I$260,2,0)</f>
        <v>#N/A</v>
      </c>
    </row>
    <row r="840" spans="1:29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VLOOKUP(F840,[2]Wait!$H$225:$I$260,2,0)</f>
        <v>#N/A</v>
      </c>
    </row>
    <row r="841" spans="1:29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VLOOKUP(F841,[2]Wait!$H$225:$I$260,2,0)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VLOOKUP(F842,[2]Wait!$H$225:$I$260,2,0)</f>
        <v>#N/A</v>
      </c>
    </row>
    <row r="843" spans="1:29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VLOOKUP(F843,[2]Wait!$H$225:$I$260,2,0)</f>
        <v>#N/A</v>
      </c>
    </row>
    <row r="844" spans="1:29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VLOOKUP(F844,[2]Wait!$H$225:$I$260,2,0)</f>
        <v>#N/A</v>
      </c>
    </row>
    <row r="845" spans="1:29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VLOOKUP(F845,[2]Wait!$H$225:$I$260,2,0)</f>
        <v>#N/A</v>
      </c>
    </row>
    <row r="846" spans="1:29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VLOOKUP(F846,[2]Wait!$H$225:$I$260,2,0)</f>
        <v>#N/A</v>
      </c>
    </row>
    <row r="847" spans="1:29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VLOOKUP(F847,[2]Wait!$H$225:$I$260,2,0)</f>
        <v>#N/A</v>
      </c>
    </row>
    <row r="848" spans="1:29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VLOOKUP(F848,[2]Wait!$H$225:$I$260,2,0)</f>
        <v>#N/A</v>
      </c>
    </row>
    <row r="849" spans="1:29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VLOOKUP(F849,[2]Wait!$H$225:$I$260,2,0)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VLOOKUP(F850,[2]Wait!$H$225:$I$260,2,0)</f>
        <v>#N/A</v>
      </c>
    </row>
    <row r="851" spans="1:29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VLOOKUP(F851,[2]Wait!$H$225:$I$260,2,0)</f>
        <v>#N/A</v>
      </c>
    </row>
    <row r="852" spans="1:29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VLOOKUP(F852,[2]Wait!$H$225:$I$260,2,0)</f>
        <v>#N/A</v>
      </c>
    </row>
    <row r="853" spans="1:29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VLOOKUP(F853,[2]Wait!$H$225:$I$260,2,0)</f>
        <v>#N/A</v>
      </c>
    </row>
    <row r="854" spans="1:29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VLOOKUP(F854,[2]Wait!$H$225:$I$260,2,0)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VLOOKUP(F855,[2]Wait!$H$225:$I$260,2,0)</f>
        <v>#N/A</v>
      </c>
    </row>
    <row r="856" spans="1:29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VLOOKUP(F856,[2]Wait!$H$225:$I$260,2,0)</f>
        <v>#N/A</v>
      </c>
    </row>
    <row r="857" spans="1:29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VLOOKUP(F857,[2]Wait!$H$225:$I$260,2,0)</f>
        <v>#N/A</v>
      </c>
    </row>
    <row r="858" spans="1:29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VLOOKUP(F858,[2]Wait!$H$225:$I$260,2,0)</f>
        <v>#N/A</v>
      </c>
    </row>
    <row r="859" spans="1:29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VLOOKUP(F859,[2]Wait!$H$225:$I$260,2,0)</f>
        <v>#N/A</v>
      </c>
    </row>
    <row r="860" spans="1:29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VLOOKUP(F860,[2]Wait!$H$225:$I$260,2,0)</f>
        <v>#N/A</v>
      </c>
    </row>
    <row r="861" spans="1:29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VLOOKUP(F861,[2]Wait!$H$225:$I$260,2,0)</f>
        <v>#N/A</v>
      </c>
    </row>
    <row r="862" spans="1:29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2279</v>
      </c>
      <c r="E862" s="20" t="s">
        <v>2280</v>
      </c>
      <c r="F862" s="20" t="s">
        <v>2280</v>
      </c>
      <c r="G862" s="20" t="s">
        <v>194</v>
      </c>
      <c r="H862" s="20" t="s">
        <v>26</v>
      </c>
      <c r="I862" s="21">
        <v>46258</v>
      </c>
      <c r="J862" s="20" t="s">
        <v>683</v>
      </c>
      <c r="K862" s="20" t="s">
        <v>28</v>
      </c>
      <c r="L862" s="20" t="s">
        <v>2281</v>
      </c>
      <c r="M862" s="20" t="s">
        <v>259</v>
      </c>
      <c r="N862" s="22" t="s">
        <v>250</v>
      </c>
      <c r="O862" s="20" t="s">
        <v>1044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VLOOKUP(F862,[2]Wait!$H$225:$I$260,2,0)</f>
        <v>#N/A</v>
      </c>
    </row>
    <row r="863" spans="1:29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2285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VLOOKUP(F863,[2]Wait!$H$225:$I$260,2,0)</f>
        <v>#N/A</v>
      </c>
    </row>
    <row r="864" spans="1:29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2288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VLOOKUP(F864,[2]Wait!$H$225:$I$260,2,0)</f>
        <v>#N/A</v>
      </c>
    </row>
    <row r="865" spans="1:29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2289</v>
      </c>
      <c r="E865" s="20" t="s">
        <v>2286</v>
      </c>
      <c r="F865" s="20" t="s">
        <v>2286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2287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VLOOKUP(F865,[2]Wait!$H$225:$I$260,2,0)</f>
        <v>#N/A</v>
      </c>
    </row>
    <row r="866" spans="1:29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2290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VLOOKUP(F866,[2]Wait!$H$225:$I$260,2,0)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2293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VLOOKUP(F867,[2]Wait!$H$225:$I$260,2,0)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2294</v>
      </c>
      <c r="E868" s="20" t="s">
        <v>2291</v>
      </c>
      <c r="F868" s="20" t="s">
        <v>2291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2292</v>
      </c>
      <c r="M868" s="20" t="s">
        <v>259</v>
      </c>
      <c r="N868" s="22" t="s">
        <v>250</v>
      </c>
      <c r="O868" s="20" t="s">
        <v>1044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VLOOKUP(F868,[2]Wait!$H$225:$I$260,2,0)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2298</v>
      </c>
      <c r="E869" s="20" t="s">
        <v>2299</v>
      </c>
      <c r="F869" s="20" t="s">
        <v>2299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2300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VLOOKUP(F869,[2]Wait!$H$225:$I$260,2,0)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2909</v>
      </c>
      <c r="E870" s="20" t="s">
        <v>2910</v>
      </c>
      <c r="F870" s="20" t="s">
        <v>2910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2911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VLOOKUP(F870,[2]Wait!$H$225:$I$260,2,0)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2912</v>
      </c>
      <c r="E871" s="20" t="s">
        <v>2913</v>
      </c>
      <c r="F871" s="20" t="s">
        <v>2913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2914</v>
      </c>
      <c r="M871" s="20" t="s">
        <v>259</v>
      </c>
      <c r="N871" s="22" t="s">
        <v>250</v>
      </c>
      <c r="O871" s="20" t="s">
        <v>1044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VLOOKUP(F871,[2]Wait!$H$225:$I$260,2,0)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2301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VLOOKUP(F872,[2]Wait!$H$225:$I$260,2,0)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2304</v>
      </c>
      <c r="E873" s="20" t="s">
        <v>2302</v>
      </c>
      <c r="F873" s="20" t="s">
        <v>2302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2303</v>
      </c>
      <c r="M873" s="20" t="s">
        <v>259</v>
      </c>
      <c r="N873" s="22" t="s">
        <v>250</v>
      </c>
      <c r="O873" s="20" t="s">
        <v>1044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VLOOKUP(F873,[2]Wait!$H$225:$I$260,2,0)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2313</v>
      </c>
      <c r="E874" s="20" t="s">
        <v>2314</v>
      </c>
      <c r="F874" s="20" t="s">
        <v>2314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VLOOKUP(F874,[2]Wait!$H$225:$I$260,2,0)</f>
        <v>#N/A</v>
      </c>
    </row>
    <row r="875" spans="1:29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2315</v>
      </c>
      <c r="E875" s="20" t="s">
        <v>2316</v>
      </c>
      <c r="F875" s="20" t="s">
        <v>2316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916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VLOOKUP(F875,[2]Wait!$H$225:$I$260,2,0)</f>
        <v>#N/A</v>
      </c>
    </row>
    <row r="876" spans="1:29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2317</v>
      </c>
      <c r="E876" s="20" t="s">
        <v>2318</v>
      </c>
      <c r="F876" s="20" t="s">
        <v>2318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2319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2320</v>
      </c>
      <c r="Y876" s="21">
        <v>46276</v>
      </c>
      <c r="Z876" s="20" t="s">
        <v>226</v>
      </c>
      <c r="AA876" s="17" t="e">
        <f>VLOOKUP(F876,[2]Wait!$H$225:$I$260,2,0)</f>
        <v>#N/A</v>
      </c>
    </row>
    <row r="877" spans="1:29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2328</v>
      </c>
      <c r="E877" s="20" t="s">
        <v>2329</v>
      </c>
      <c r="F877" s="20" t="s">
        <v>2329</v>
      </c>
      <c r="G877" s="20" t="s">
        <v>194</v>
      </c>
      <c r="H877" s="20" t="s">
        <v>26</v>
      </c>
      <c r="I877" s="21">
        <v>46277</v>
      </c>
      <c r="J877" s="20" t="s">
        <v>683</v>
      </c>
      <c r="K877" s="20" t="s">
        <v>28</v>
      </c>
      <c r="L877" s="20" t="s">
        <v>2330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683</v>
      </c>
      <c r="T877" s="20" t="s">
        <v>195</v>
      </c>
      <c r="U877" s="20" t="s">
        <v>26</v>
      </c>
      <c r="V877" s="21"/>
      <c r="W877" s="21">
        <v>46277</v>
      </c>
      <c r="X877" s="20" t="s">
        <v>2331</v>
      </c>
      <c r="Y877" s="21">
        <v>46284</v>
      </c>
      <c r="Z877" s="20" t="s">
        <v>1135</v>
      </c>
      <c r="AA877" s="17" t="e">
        <f>VLOOKUP(F877,[2]Wait!$H$225:$I$260,2,0)</f>
        <v>#N/A</v>
      </c>
    </row>
    <row r="878" spans="1:29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2933</v>
      </c>
      <c r="E878" s="20" t="s">
        <v>2934</v>
      </c>
      <c r="F878" s="20" t="s">
        <v>2934</v>
      </c>
      <c r="G878" s="20" t="s">
        <v>194</v>
      </c>
      <c r="H878" s="20" t="s">
        <v>26</v>
      </c>
      <c r="I878" s="21">
        <v>46288</v>
      </c>
      <c r="J878" s="20" t="s">
        <v>683</v>
      </c>
      <c r="K878" s="20" t="s">
        <v>28</v>
      </c>
      <c r="L878" s="20" t="s">
        <v>2935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1625</v>
      </c>
      <c r="Y878" s="21">
        <v>46289</v>
      </c>
      <c r="Z878" s="20" t="s">
        <v>226</v>
      </c>
      <c r="AA878" s="17" t="e">
        <f>VLOOKUP(F878,[2]Wait!$H$225:$I$260,2,0)</f>
        <v>#N/A</v>
      </c>
    </row>
    <row r="879" spans="1:29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2936</v>
      </c>
      <c r="E879" s="20" t="s">
        <v>2937</v>
      </c>
      <c r="F879" s="20" t="s">
        <v>2937</v>
      </c>
      <c r="G879" s="20" t="s">
        <v>194</v>
      </c>
      <c r="H879" s="20" t="s">
        <v>26</v>
      </c>
      <c r="I879" s="21">
        <v>46288</v>
      </c>
      <c r="J879" s="20" t="s">
        <v>683</v>
      </c>
      <c r="K879" s="20" t="s">
        <v>28</v>
      </c>
      <c r="L879" s="20" t="s">
        <v>2938</v>
      </c>
      <c r="M879" s="20" t="s">
        <v>259</v>
      </c>
      <c r="N879" s="22" t="s">
        <v>250</v>
      </c>
      <c r="O879" s="20" t="s">
        <v>1044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2939</v>
      </c>
      <c r="Y879" s="21">
        <v>46289</v>
      </c>
      <c r="Z879" s="20" t="s">
        <v>226</v>
      </c>
      <c r="AA879" s="17" t="e">
        <f>VLOOKUP(F879,[2]Wait!$H$225:$I$260,2,0)</f>
        <v>#N/A</v>
      </c>
    </row>
    <row r="880" spans="1:29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2968</v>
      </c>
      <c r="E880" s="20" t="s">
        <v>2969</v>
      </c>
      <c r="F880" s="20" t="s">
        <v>2969</v>
      </c>
      <c r="G880" s="20" t="s">
        <v>194</v>
      </c>
      <c r="H880" s="20" t="s">
        <v>26</v>
      </c>
      <c r="I880" s="21">
        <v>46258</v>
      </c>
      <c r="J880" s="20" t="s">
        <v>683</v>
      </c>
      <c r="K880" s="20" t="s">
        <v>28</v>
      </c>
      <c r="L880" s="20" t="s">
        <v>2970</v>
      </c>
      <c r="M880" s="20" t="s">
        <v>259</v>
      </c>
      <c r="N880" s="22" t="s">
        <v>250</v>
      </c>
      <c r="O880" s="20" t="s">
        <v>1044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VLOOKUP(F880,[2]Wait!$H$225:$I$260,2,0)</f>
        <v>#N/A</v>
      </c>
    </row>
    <row r="881" spans="1:29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3643</v>
      </c>
      <c r="E881" s="20" t="s">
        <v>3644</v>
      </c>
      <c r="F881" s="20" t="s">
        <v>3644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916</v>
      </c>
      <c r="M881" s="20" t="s">
        <v>259</v>
      </c>
      <c r="N881" s="22" t="s">
        <v>250</v>
      </c>
      <c r="O881" s="20" t="s">
        <v>1044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3645</v>
      </c>
      <c r="Y881" s="21">
        <v>46292</v>
      </c>
      <c r="Z881" s="20" t="s">
        <v>226</v>
      </c>
      <c r="AA881" s="17" t="e">
        <f>VLOOKUP(F881,[2]Wait!$H$225:$I$260,2,0)</f>
        <v>#N/A</v>
      </c>
    </row>
    <row r="882" spans="1:29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3646</v>
      </c>
      <c r="E882" s="20" t="s">
        <v>3647</v>
      </c>
      <c r="F882" s="20" t="s">
        <v>3647</v>
      </c>
      <c r="G882" s="20" t="s">
        <v>194</v>
      </c>
      <c r="H882" s="20" t="s">
        <v>26</v>
      </c>
      <c r="I882" s="21">
        <v>46258</v>
      </c>
      <c r="J882" s="20" t="s">
        <v>683</v>
      </c>
      <c r="K882" s="20" t="s">
        <v>28</v>
      </c>
      <c r="L882" s="20" t="s">
        <v>3648</v>
      </c>
      <c r="M882" s="20" t="s">
        <v>259</v>
      </c>
      <c r="N882" s="22" t="s">
        <v>250</v>
      </c>
      <c r="O882" s="20" t="s">
        <v>1044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VLOOKUP(F882,[2]Wait!$H$225:$I$260,2,0)</f>
        <v>#N/A</v>
      </c>
    </row>
    <row r="883" spans="1:29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2351</v>
      </c>
      <c r="E883" s="20" t="s">
        <v>2352</v>
      </c>
      <c r="F883" s="20" t="s">
        <v>3649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2353</v>
      </c>
      <c r="M883" s="20" t="s">
        <v>263</v>
      </c>
      <c r="N883" s="22" t="s">
        <v>250</v>
      </c>
      <c r="O883" s="20" t="s">
        <v>932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685</v>
      </c>
      <c r="U883" s="20" t="s">
        <v>2354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VLOOKUP(F883,[2]Wait!$H$225:$I$260,2,0)</f>
        <v>#N/A</v>
      </c>
    </row>
    <row r="884" spans="1:29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2355</v>
      </c>
      <c r="E884" s="20" t="s">
        <v>2352</v>
      </c>
      <c r="F884" s="20" t="s">
        <v>3649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2353</v>
      </c>
      <c r="M884" s="20" t="s">
        <v>263</v>
      </c>
      <c r="N884" s="22" t="s">
        <v>250</v>
      </c>
      <c r="O884" s="20" t="s">
        <v>932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685</v>
      </c>
      <c r="U884" s="20" t="s">
        <v>2354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VLOOKUP(F884,[2]Wait!$H$225:$I$260,2,0)</f>
        <v>#N/A</v>
      </c>
    </row>
    <row r="885" spans="1:29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2356</v>
      </c>
      <c r="E885" s="20" t="s">
        <v>26</v>
      </c>
      <c r="F885" s="20" t="s">
        <v>3650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2357</v>
      </c>
      <c r="M885" s="20" t="s">
        <v>263</v>
      </c>
      <c r="N885" s="22" t="s">
        <v>250</v>
      </c>
      <c r="O885" s="20" t="s">
        <v>961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1110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VLOOKUP(F885,[2]Wait!$H$225:$I$260,2,0)</f>
        <v>#N/A</v>
      </c>
    </row>
    <row r="886" spans="1:29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1968</v>
      </c>
      <c r="E886" s="20" t="s">
        <v>26</v>
      </c>
      <c r="F886" s="20" t="s">
        <v>3651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939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VLOOKUP(F886,[2]Wait!$H$225:$I$260,2,0)</f>
        <v>#N/A</v>
      </c>
    </row>
    <row r="887" spans="1:29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1969</v>
      </c>
      <c r="E887" s="20" t="s">
        <v>26</v>
      </c>
      <c r="F887" s="20" t="s">
        <v>3652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939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VLOOKUP(F887,[2]Wait!$H$225:$I$260,2,0)</f>
        <v>#N/A</v>
      </c>
    </row>
    <row r="888" spans="1:29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2984</v>
      </c>
      <c r="E888" s="20" t="s">
        <v>2985</v>
      </c>
      <c r="F888" s="20" t="s">
        <v>2985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2986</v>
      </c>
      <c r="M888" s="20" t="s">
        <v>263</v>
      </c>
      <c r="N888" s="22" t="s">
        <v>250</v>
      </c>
      <c r="O888" s="20" t="s">
        <v>1044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VLOOKUP(F888,[2]Wait!$H$225:$I$260,2,0)</f>
        <v>#N/A</v>
      </c>
    </row>
    <row r="889" spans="1:29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2930</v>
      </c>
      <c r="E889" s="20" t="s">
        <v>2931</v>
      </c>
      <c r="F889" s="20" t="s">
        <v>2931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2932</v>
      </c>
      <c r="M889" s="20" t="s">
        <v>263</v>
      </c>
      <c r="N889" s="22" t="s">
        <v>250</v>
      </c>
      <c r="O889" s="20" t="s">
        <v>1044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VLOOKUP(F889,[2]Wait!$H$225:$I$260,2,0)</f>
        <v>#N/A</v>
      </c>
    </row>
    <row r="890" spans="1:29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2369</v>
      </c>
      <c r="E890" s="20" t="s">
        <v>26</v>
      </c>
      <c r="F890" s="20" t="s">
        <v>3653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2370</v>
      </c>
      <c r="M890" s="20" t="s">
        <v>278</v>
      </c>
      <c r="N890" s="22" t="s">
        <v>250</v>
      </c>
      <c r="O890" s="20" t="s">
        <v>939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2371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VLOOKUP(F890,[2]Wait!$H$225:$I$260,2,0)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2372</v>
      </c>
      <c r="E891" s="20" t="s">
        <v>26</v>
      </c>
      <c r="F891" s="20" t="s">
        <v>3654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2373</v>
      </c>
      <c r="M891" s="20" t="s">
        <v>278</v>
      </c>
      <c r="N891" s="22" t="s">
        <v>250</v>
      </c>
      <c r="O891" s="20" t="s">
        <v>939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2371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VLOOKUP(F891,[2]Wait!$H$225:$I$260,2,0)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2374</v>
      </c>
      <c r="E892" s="20" t="s">
        <v>26</v>
      </c>
      <c r="F892" s="20" t="s">
        <v>3655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2375</v>
      </c>
      <c r="M892" s="20" t="s">
        <v>278</v>
      </c>
      <c r="N892" s="22" t="s">
        <v>250</v>
      </c>
      <c r="O892" s="20" t="s">
        <v>1070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691</v>
      </c>
      <c r="U892" s="20" t="s">
        <v>2376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VLOOKUP(F892,[2]Wait!$H$225:$I$260,2,0)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2377</v>
      </c>
      <c r="E893" s="20" t="s">
        <v>26</v>
      </c>
      <c r="F893" s="20" t="s">
        <v>3656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2378</v>
      </c>
      <c r="M893" s="20" t="s">
        <v>278</v>
      </c>
      <c r="N893" s="22" t="s">
        <v>250</v>
      </c>
      <c r="O893" s="20" t="s">
        <v>1070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691</v>
      </c>
      <c r="U893" s="20" t="s">
        <v>2376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VLOOKUP(F893,[2]Wait!$H$225:$I$260,2,0)</f>
        <v>#N/A</v>
      </c>
    </row>
    <row r="894" spans="1:29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2379</v>
      </c>
      <c r="E894" s="20" t="s">
        <v>26</v>
      </c>
      <c r="F894" s="20" t="s">
        <v>3657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692</v>
      </c>
      <c r="M894" s="20" t="s">
        <v>278</v>
      </c>
      <c r="N894" s="22" t="s">
        <v>250</v>
      </c>
      <c r="O894" s="20" t="s">
        <v>1013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693</v>
      </c>
      <c r="U894" s="20" t="s">
        <v>694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VLOOKUP(F894,[2]Wait!$H$225:$I$260,2,0)</f>
        <v>#N/A</v>
      </c>
    </row>
    <row r="895" spans="1:29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2406</v>
      </c>
      <c r="E895" s="20" t="s">
        <v>26</v>
      </c>
      <c r="F895" s="20" t="s">
        <v>3658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732</v>
      </c>
      <c r="M895" s="20" t="s">
        <v>278</v>
      </c>
      <c r="N895" s="22" t="s">
        <v>250</v>
      </c>
      <c r="O895" s="20" t="s">
        <v>991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733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VLOOKUP(F895,[2]Wait!$H$225:$I$260,2,0)</f>
        <v>#N/A</v>
      </c>
    </row>
    <row r="896" spans="1:29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2407</v>
      </c>
      <c r="E896" s="20" t="s">
        <v>26</v>
      </c>
      <c r="F896" s="20" t="s">
        <v>3659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735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736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VLOOKUP(F896,[2]Wait!$H$225:$I$260,2,0)</f>
        <v>#N/A</v>
      </c>
    </row>
    <row r="897" spans="1:27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2408</v>
      </c>
      <c r="E897" s="20" t="s">
        <v>26</v>
      </c>
      <c r="F897" s="20" t="s">
        <v>3660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737</v>
      </c>
      <c r="M897" s="20" t="s">
        <v>278</v>
      </c>
      <c r="N897" s="22" t="s">
        <v>250</v>
      </c>
      <c r="O897" s="20" t="s">
        <v>1070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VLOOKUP(F897,[2]Wait!$H$225:$I$260,2,0)</f>
        <v>#N/A</v>
      </c>
    </row>
    <row r="898" spans="1:27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2409</v>
      </c>
      <c r="E898" s="20" t="s">
        <v>26</v>
      </c>
      <c r="F898" s="20" t="s">
        <v>3661</v>
      </c>
      <c r="G898" s="20" t="s">
        <v>35</v>
      </c>
      <c r="H898" s="20" t="s">
        <v>26</v>
      </c>
      <c r="I898" s="21">
        <v>46261</v>
      </c>
      <c r="J898" s="20" t="s">
        <v>683</v>
      </c>
      <c r="K898" s="20" t="s">
        <v>28</v>
      </c>
      <c r="L898" s="20" t="s">
        <v>2410</v>
      </c>
      <c r="M898" s="20" t="s">
        <v>278</v>
      </c>
      <c r="N898" s="22" t="s">
        <v>250</v>
      </c>
      <c r="O898" s="20" t="s">
        <v>939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736</v>
      </c>
      <c r="U898" s="20" t="s">
        <v>1328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VLOOKUP(F898,[2]Wait!$H$225:$I$260,2,0)</f>
        <v>#N/A</v>
      </c>
    </row>
    <row r="899" spans="1:27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2411</v>
      </c>
      <c r="E899" s="20" t="s">
        <v>26</v>
      </c>
      <c r="F899" s="20" t="s">
        <v>3662</v>
      </c>
      <c r="G899" s="20" t="s">
        <v>35</v>
      </c>
      <c r="H899" s="20" t="s">
        <v>26</v>
      </c>
      <c r="I899" s="21">
        <v>46261</v>
      </c>
      <c r="J899" s="20" t="s">
        <v>683</v>
      </c>
      <c r="K899" s="20" t="s">
        <v>28</v>
      </c>
      <c r="L899" s="20" t="s">
        <v>740</v>
      </c>
      <c r="M899" s="20" t="s">
        <v>278</v>
      </c>
      <c r="N899" s="22" t="s">
        <v>250</v>
      </c>
      <c r="O899" s="20" t="s">
        <v>939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736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VLOOKUP(F899,[2]Wait!$H$225:$I$260,2,0)</f>
        <v>#N/A</v>
      </c>
    </row>
    <row r="900" spans="1:27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2417</v>
      </c>
      <c r="E900" s="20" t="s">
        <v>26</v>
      </c>
      <c r="F900" s="20" t="s">
        <v>3663</v>
      </c>
      <c r="G900" s="20" t="s">
        <v>35</v>
      </c>
      <c r="H900" s="20" t="s">
        <v>26</v>
      </c>
      <c r="I900" s="21">
        <v>46261</v>
      </c>
      <c r="J900" s="20" t="s">
        <v>683</v>
      </c>
      <c r="K900" s="20" t="s">
        <v>28</v>
      </c>
      <c r="L900" s="20" t="s">
        <v>2418</v>
      </c>
      <c r="M900" s="20" t="s">
        <v>278</v>
      </c>
      <c r="N900" s="22" t="s">
        <v>250</v>
      </c>
      <c r="O900" s="20" t="s">
        <v>939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736</v>
      </c>
      <c r="U900" s="20" t="s">
        <v>1454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VLOOKUP(F900,[2]Wait!$H$225:$I$260,2,0)</f>
        <v>#N/A</v>
      </c>
    </row>
    <row r="901" spans="1:27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2419</v>
      </c>
      <c r="E901" s="20" t="s">
        <v>26</v>
      </c>
      <c r="F901" s="20" t="s">
        <v>3664</v>
      </c>
      <c r="G901" s="20" t="s">
        <v>35</v>
      </c>
      <c r="H901" s="20" t="s">
        <v>26</v>
      </c>
      <c r="I901" s="21">
        <v>46261</v>
      </c>
      <c r="J901" s="20" t="s">
        <v>683</v>
      </c>
      <c r="K901" s="20" t="s">
        <v>28</v>
      </c>
      <c r="L901" s="20" t="s">
        <v>747</v>
      </c>
      <c r="M901" s="20" t="s">
        <v>278</v>
      </c>
      <c r="N901" s="22" t="s">
        <v>250</v>
      </c>
      <c r="O901" s="20" t="s">
        <v>939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736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VLOOKUP(F901,[2]Wait!$H$225:$I$260,2,0)</f>
        <v>#N/A</v>
      </c>
    </row>
    <row r="902" spans="1:27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2420</v>
      </c>
      <c r="E902" s="20" t="s">
        <v>26</v>
      </c>
      <c r="F902" s="20" t="s">
        <v>3665</v>
      </c>
      <c r="G902" s="20" t="s">
        <v>35</v>
      </c>
      <c r="H902" s="20" t="s">
        <v>26</v>
      </c>
      <c r="I902" s="21">
        <v>46267</v>
      </c>
      <c r="J902" s="20" t="s">
        <v>683</v>
      </c>
      <c r="K902" s="20" t="s">
        <v>28</v>
      </c>
      <c r="L902" s="20" t="s">
        <v>748</v>
      </c>
      <c r="M902" s="20" t="s">
        <v>278</v>
      </c>
      <c r="N902" s="22" t="s">
        <v>250</v>
      </c>
      <c r="O902" s="20" t="s">
        <v>961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736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VLOOKUP(F902,[2]Wait!$H$225:$I$260,2,0)</f>
        <v>#N/A</v>
      </c>
    </row>
    <row r="903" spans="1:27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2421</v>
      </c>
      <c r="E903" s="20" t="s">
        <v>26</v>
      </c>
      <c r="F903" s="20" t="s">
        <v>3666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749</v>
      </c>
      <c r="M903" s="20" t="s">
        <v>278</v>
      </c>
      <c r="N903" s="22" t="s">
        <v>250</v>
      </c>
      <c r="O903" s="20" t="s">
        <v>1070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VLOOKUP(F903,[2]Wait!$H$225:$I$260,2,0)</f>
        <v>#N/A</v>
      </c>
    </row>
    <row r="904" spans="1:27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2422</v>
      </c>
      <c r="E904" s="20" t="s">
        <v>26</v>
      </c>
      <c r="F904" s="20" t="s">
        <v>3667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750</v>
      </c>
      <c r="M904" s="20" t="s">
        <v>278</v>
      </c>
      <c r="N904" s="22" t="s">
        <v>250</v>
      </c>
      <c r="O904" s="20" t="s">
        <v>1070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751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VLOOKUP(F904,[2]Wait!$H$225:$I$260,2,0)</f>
        <v>#N/A</v>
      </c>
    </row>
    <row r="905" spans="1:27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2423</v>
      </c>
      <c r="E905" s="20" t="s">
        <v>26</v>
      </c>
      <c r="F905" s="20" t="s">
        <v>3668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2424</v>
      </c>
      <c r="M905" s="20" t="s">
        <v>278</v>
      </c>
      <c r="N905" s="22" t="s">
        <v>250</v>
      </c>
      <c r="O905" s="20" t="s">
        <v>955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2425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VLOOKUP(F905,[2]Wait!$H$225:$I$260,2,0)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2427</v>
      </c>
      <c r="E906" s="20" t="s">
        <v>26</v>
      </c>
      <c r="F906" s="20" t="s">
        <v>3669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754</v>
      </c>
      <c r="M906" s="20" t="s">
        <v>278</v>
      </c>
      <c r="N906" s="22" t="s">
        <v>250</v>
      </c>
      <c r="O906" s="20" t="s">
        <v>961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691</v>
      </c>
      <c r="U906" s="20" t="s">
        <v>755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VLOOKUP(F906,[2]Wait!$H$225:$I$260,2,0)</f>
        <v>#N/A</v>
      </c>
    </row>
    <row r="907" spans="1:27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2428</v>
      </c>
      <c r="E907" s="20" t="s">
        <v>26</v>
      </c>
      <c r="F907" s="20" t="s">
        <v>3670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756</v>
      </c>
      <c r="M907" s="20" t="s">
        <v>278</v>
      </c>
      <c r="N907" s="22" t="s">
        <v>250</v>
      </c>
      <c r="O907" s="20" t="s">
        <v>1070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691</v>
      </c>
      <c r="U907" s="20" t="s">
        <v>757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VLOOKUP(F907,[2]Wait!$H$225:$I$260,2,0)</f>
        <v>#N/A</v>
      </c>
    </row>
    <row r="908" spans="1:27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2429</v>
      </c>
      <c r="E908" s="20" t="s">
        <v>26</v>
      </c>
      <c r="F908" s="20" t="s">
        <v>3671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756</v>
      </c>
      <c r="M908" s="20" t="s">
        <v>278</v>
      </c>
      <c r="N908" s="22" t="s">
        <v>250</v>
      </c>
      <c r="O908" s="20" t="s">
        <v>1070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691</v>
      </c>
      <c r="U908" s="20" t="s">
        <v>758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VLOOKUP(F908,[2]Wait!$H$225:$I$260,2,0)</f>
        <v>#N/A</v>
      </c>
    </row>
    <row r="909" spans="1:27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2430</v>
      </c>
      <c r="E909" s="20" t="s">
        <v>26</v>
      </c>
      <c r="F909" s="20" t="s">
        <v>3672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761</v>
      </c>
      <c r="M909" s="20" t="s">
        <v>278</v>
      </c>
      <c r="N909" s="22" t="s">
        <v>250</v>
      </c>
      <c r="O909" s="20" t="s">
        <v>955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581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VLOOKUP(F909,[2]Wait!$H$225:$I$260,2,0)</f>
        <v>#N/A</v>
      </c>
    </row>
    <row r="910" spans="1:27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2431</v>
      </c>
      <c r="E910" s="20" t="s">
        <v>26</v>
      </c>
      <c r="F910" s="20" t="s">
        <v>3673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762</v>
      </c>
      <c r="M910" s="20" t="s">
        <v>278</v>
      </c>
      <c r="N910" s="22" t="s">
        <v>250</v>
      </c>
      <c r="O910" s="20" t="s">
        <v>961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VLOOKUP(F910,[2]Wait!$H$225:$I$260,2,0)</f>
        <v>#N/A</v>
      </c>
    </row>
    <row r="911" spans="1:27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2432</v>
      </c>
      <c r="E911" s="20" t="s">
        <v>26</v>
      </c>
      <c r="F911" s="20" t="s">
        <v>3674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764</v>
      </c>
      <c r="M911" s="20" t="s">
        <v>278</v>
      </c>
      <c r="N911" s="22" t="s">
        <v>250</v>
      </c>
      <c r="O911" s="20" t="s">
        <v>1013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765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VLOOKUP(F911,[2]Wait!$H$225:$I$260,2,0)</f>
        <v>#N/A</v>
      </c>
    </row>
    <row r="912" spans="1:27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2438</v>
      </c>
      <c r="E912" s="20" t="s">
        <v>26</v>
      </c>
      <c r="F912" s="20" t="s">
        <v>3675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766</v>
      </c>
      <c r="M912" s="20" t="s">
        <v>278</v>
      </c>
      <c r="N912" s="22" t="s">
        <v>250</v>
      </c>
      <c r="O912" s="20" t="s">
        <v>1013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767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VLOOKUP(F912,[2]Wait!$H$225:$I$260,2,0)</f>
        <v>#N/A</v>
      </c>
    </row>
    <row r="913" spans="1:27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2439</v>
      </c>
      <c r="E913" s="20" t="s">
        <v>2440</v>
      </c>
      <c r="F913" s="20" t="s">
        <v>3676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2441</v>
      </c>
      <c r="M913" s="20" t="s">
        <v>278</v>
      </c>
      <c r="N913" s="22" t="s">
        <v>250</v>
      </c>
      <c r="O913" s="20" t="s">
        <v>1044</v>
      </c>
      <c r="P913" s="20" t="s">
        <v>41</v>
      </c>
      <c r="Q913" s="20" t="s">
        <v>42</v>
      </c>
      <c r="R913" s="20" t="s">
        <v>2442</v>
      </c>
      <c r="S913" s="20" t="s">
        <v>32</v>
      </c>
      <c r="T913" s="20" t="s">
        <v>195</v>
      </c>
      <c r="U913" s="20" t="s">
        <v>2443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VLOOKUP(F913,[2]Wait!$H$225:$I$260,2,0)</f>
        <v>#N/A</v>
      </c>
    </row>
    <row r="914" spans="1:27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2444</v>
      </c>
      <c r="E914" s="20" t="s">
        <v>2445</v>
      </c>
      <c r="F914" s="20" t="s">
        <v>3677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2446</v>
      </c>
      <c r="M914" s="20" t="s">
        <v>278</v>
      </c>
      <c r="N914" s="22" t="s">
        <v>250</v>
      </c>
      <c r="O914" s="20" t="s">
        <v>1044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2447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VLOOKUP(F914,[2]Wait!$H$225:$I$260,2,0)</f>
        <v>#N/A</v>
      </c>
    </row>
    <row r="915" spans="1:27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2448</v>
      </c>
      <c r="E915" s="20" t="s">
        <v>2449</v>
      </c>
      <c r="F915" s="20" t="s">
        <v>3678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2450</v>
      </c>
      <c r="M915" s="20" t="s">
        <v>278</v>
      </c>
      <c r="N915" s="22" t="s">
        <v>250</v>
      </c>
      <c r="O915" s="20" t="s">
        <v>1044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2451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VLOOKUP(F915,[2]Wait!$H$225:$I$260,2,0)</f>
        <v>#N/A</v>
      </c>
    </row>
    <row r="916" spans="1:27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2456</v>
      </c>
      <c r="E916" s="20" t="s">
        <v>2457</v>
      </c>
      <c r="F916" s="20" t="s">
        <v>2457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2458</v>
      </c>
      <c r="M916" s="20" t="s">
        <v>278</v>
      </c>
      <c r="N916" s="22" t="s">
        <v>250</v>
      </c>
      <c r="O916" s="20" t="s">
        <v>1044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VLOOKUP(F916,[2]Wait!$H$225:$I$260,2,0)</f>
        <v>#N/A</v>
      </c>
    </row>
    <row r="917" spans="1:27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3679</v>
      </c>
      <c r="E917" s="20" t="s">
        <v>3680</v>
      </c>
      <c r="F917" s="20" t="s">
        <v>3680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682</v>
      </c>
      <c r="M917" s="20" t="s">
        <v>278</v>
      </c>
      <c r="N917" s="22" t="s">
        <v>250</v>
      </c>
      <c r="O917" s="20" t="s">
        <v>1044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3681</v>
      </c>
      <c r="Y917" s="21">
        <v>46292</v>
      </c>
      <c r="Z917" s="20" t="s">
        <v>226</v>
      </c>
      <c r="AA917" s="17" t="e">
        <f>VLOOKUP(F917,[2]Wait!$H$225:$I$260,2,0)</f>
        <v>#N/A</v>
      </c>
    </row>
    <row r="918" spans="1:27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3682</v>
      </c>
      <c r="E918" s="20" t="s">
        <v>3683</v>
      </c>
      <c r="F918" s="20" t="s">
        <v>3683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916</v>
      </c>
      <c r="M918" s="20" t="s">
        <v>278</v>
      </c>
      <c r="N918" s="22" t="s">
        <v>250</v>
      </c>
      <c r="O918" s="20" t="s">
        <v>1044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3684</v>
      </c>
      <c r="Y918" s="21">
        <v>46292</v>
      </c>
      <c r="Z918" s="20" t="s">
        <v>226</v>
      </c>
      <c r="AA918" s="17" t="e">
        <f>VLOOKUP(F918,[2]Wait!$H$225:$I$260,2,0)</f>
        <v>#N/A</v>
      </c>
    </row>
    <row r="919" spans="1:27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1772</v>
      </c>
      <c r="E919" s="20" t="s">
        <v>26</v>
      </c>
      <c r="F919" s="20" t="s">
        <v>3685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1771</v>
      </c>
      <c r="M919" s="20" t="s">
        <v>269</v>
      </c>
      <c r="N919" s="22" t="s">
        <v>250</v>
      </c>
      <c r="O919" s="20" t="s">
        <v>961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1765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VLOOKUP(F919,[2]Wait!$H$225:$I$260,2,0)</f>
        <v>#N/A</v>
      </c>
    </row>
    <row r="920" spans="1:27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2459</v>
      </c>
      <c r="E920" s="20" t="s">
        <v>26</v>
      </c>
      <c r="F920" s="20" t="s">
        <v>3686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955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VLOOKUP(F920,[2]Wait!$H$225:$I$260,2,0)</f>
        <v>#N/A</v>
      </c>
    </row>
    <row r="921" spans="1:27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2461</v>
      </c>
      <c r="E921" s="20" t="s">
        <v>26</v>
      </c>
      <c r="F921" s="20" t="s">
        <v>3687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2462</v>
      </c>
      <c r="M921" s="20" t="s">
        <v>269</v>
      </c>
      <c r="N921" s="22" t="s">
        <v>250</v>
      </c>
      <c r="O921" s="20" t="s">
        <v>946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1110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VLOOKUP(F921,[2]Wait!$H$225:$I$260,2,0)</f>
        <v>#N/A</v>
      </c>
    </row>
    <row r="922" spans="1:27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2464</v>
      </c>
      <c r="E922" s="20" t="s">
        <v>26</v>
      </c>
      <c r="F922" s="20" t="s">
        <v>3688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2465</v>
      </c>
      <c r="M922" s="20" t="s">
        <v>269</v>
      </c>
      <c r="N922" s="22" t="s">
        <v>250</v>
      </c>
      <c r="O922" s="20" t="s">
        <v>949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982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VLOOKUP(F922,[2]Wait!$H$225:$I$260,2,0)</f>
        <v>#N/A</v>
      </c>
    </row>
    <row r="923" spans="1:27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2059</v>
      </c>
      <c r="E923" s="20" t="s">
        <v>26</v>
      </c>
      <c r="F923" s="20" t="s">
        <v>3689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2060</v>
      </c>
      <c r="M923" s="20" t="s">
        <v>269</v>
      </c>
      <c r="N923" s="22" t="s">
        <v>250</v>
      </c>
      <c r="O923" s="20" t="s">
        <v>939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2061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VLOOKUP(F923,[2]Wait!$H$225:$I$260,2,0)</f>
        <v>#N/A</v>
      </c>
    </row>
    <row r="924" spans="1:27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2466</v>
      </c>
      <c r="E924" s="20" t="s">
        <v>26</v>
      </c>
      <c r="F924" s="20" t="s">
        <v>3690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773</v>
      </c>
      <c r="M924" s="20" t="s">
        <v>269</v>
      </c>
      <c r="N924" s="22" t="s">
        <v>250</v>
      </c>
      <c r="O924" s="20" t="s">
        <v>939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774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VLOOKUP(F924,[2]Wait!$H$225:$I$260,2,0)</f>
        <v>#N/A</v>
      </c>
    </row>
    <row r="925" spans="1:27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2467</v>
      </c>
      <c r="E925" s="20" t="s">
        <v>26</v>
      </c>
      <c r="F925" s="20" t="s">
        <v>3691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2468</v>
      </c>
      <c r="M925" s="20" t="s">
        <v>269</v>
      </c>
      <c r="N925" s="22" t="s">
        <v>250</v>
      </c>
      <c r="O925" s="20" t="s">
        <v>949</v>
      </c>
      <c r="P925" s="20" t="s">
        <v>30</v>
      </c>
      <c r="Q925" s="20" t="s">
        <v>31</v>
      </c>
      <c r="R925" s="20" t="s">
        <v>603</v>
      </c>
      <c r="S925" s="20" t="s">
        <v>32</v>
      </c>
      <c r="T925" s="20" t="s">
        <v>33</v>
      </c>
      <c r="U925" s="20" t="s">
        <v>2157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VLOOKUP(F925,[2]Wait!$H$225:$I$260,2,0)</f>
        <v>#N/A</v>
      </c>
    </row>
    <row r="926" spans="1:27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2203</v>
      </c>
      <c r="E926" s="20" t="s">
        <v>26</v>
      </c>
      <c r="F926" s="20" t="s">
        <v>3692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2204</v>
      </c>
      <c r="M926" s="20" t="s">
        <v>269</v>
      </c>
      <c r="N926" s="22" t="s">
        <v>250</v>
      </c>
      <c r="O926" s="20" t="s">
        <v>955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2205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VLOOKUP(F926,[2]Wait!$H$225:$I$260,2,0)</f>
        <v>#N/A</v>
      </c>
    </row>
    <row r="927" spans="1:27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2469</v>
      </c>
      <c r="E927" s="20" t="s">
        <v>2470</v>
      </c>
      <c r="F927" s="20" t="s">
        <v>2470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2471</v>
      </c>
      <c r="M927" s="20" t="s">
        <v>269</v>
      </c>
      <c r="N927" s="22" t="s">
        <v>250</v>
      </c>
      <c r="O927" s="20" t="s">
        <v>1044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VLOOKUP(F927,[2]Wait!$H$225:$I$260,2,0)</f>
        <v>#N/A</v>
      </c>
    </row>
    <row r="928" spans="1:27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2472</v>
      </c>
      <c r="E928" s="20" t="s">
        <v>2470</v>
      </c>
      <c r="F928" s="20" t="s">
        <v>2470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2471</v>
      </c>
      <c r="M928" s="20" t="s">
        <v>269</v>
      </c>
      <c r="N928" s="22" t="s">
        <v>250</v>
      </c>
      <c r="O928" s="20" t="s">
        <v>1044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VLOOKUP(F928,[2]Wait!$H$225:$I$260,2,0)</f>
        <v>#N/A</v>
      </c>
    </row>
    <row r="929" spans="1:27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2473</v>
      </c>
      <c r="E929" s="20" t="s">
        <v>2474</v>
      </c>
      <c r="F929" s="20" t="s">
        <v>2474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2475</v>
      </c>
      <c r="M929" s="20" t="s">
        <v>269</v>
      </c>
      <c r="N929" s="22" t="s">
        <v>250</v>
      </c>
      <c r="O929" s="20" t="s">
        <v>1044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VLOOKUP(F929,[2]Wait!$H$225:$I$260,2,0)</f>
        <v>#N/A</v>
      </c>
    </row>
    <row r="930" spans="1:27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2476</v>
      </c>
      <c r="E930" s="20" t="s">
        <v>2474</v>
      </c>
      <c r="F930" s="20" t="s">
        <v>2474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2475</v>
      </c>
      <c r="M930" s="20" t="s">
        <v>269</v>
      </c>
      <c r="N930" s="22" t="s">
        <v>250</v>
      </c>
      <c r="O930" s="20" t="s">
        <v>1044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VLOOKUP(F930,[2]Wait!$H$225:$I$260,2,0)</f>
        <v>#N/A</v>
      </c>
    </row>
    <row r="931" spans="1:27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2477</v>
      </c>
      <c r="E931" s="20" t="s">
        <v>2478</v>
      </c>
      <c r="F931" s="20" t="s">
        <v>2478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2479</v>
      </c>
      <c r="M931" s="20" t="s">
        <v>269</v>
      </c>
      <c r="N931" s="22" t="s">
        <v>250</v>
      </c>
      <c r="O931" s="20" t="s">
        <v>1044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VLOOKUP(F931,[2]Wait!$H$225:$I$260,2,0)</f>
        <v>#N/A</v>
      </c>
    </row>
    <row r="932" spans="1:27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1776</v>
      </c>
      <c r="E932" s="20" t="s">
        <v>26</v>
      </c>
      <c r="F932" s="20" t="s">
        <v>3693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1777</v>
      </c>
      <c r="M932" s="20" t="s">
        <v>776</v>
      </c>
      <c r="N932" s="22" t="s">
        <v>250</v>
      </c>
      <c r="O932" s="20" t="s">
        <v>946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1775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VLOOKUP(F932,[2]Wait!$H$225:$I$260,2,0)</f>
        <v>#N/A</v>
      </c>
    </row>
    <row r="933" spans="1:27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2480</v>
      </c>
      <c r="E933" s="20" t="s">
        <v>26</v>
      </c>
      <c r="F933" s="20" t="s">
        <v>3694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2481</v>
      </c>
      <c r="M933" s="20" t="s">
        <v>776</v>
      </c>
      <c r="N933" s="22" t="s">
        <v>250</v>
      </c>
      <c r="O933" s="20" t="s">
        <v>939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2482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VLOOKUP(F933,[2]Wait!$H$225:$I$260,2,0)</f>
        <v>#N/A</v>
      </c>
    </row>
    <row r="934" spans="1:27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2483</v>
      </c>
      <c r="E934" s="20" t="s">
        <v>26</v>
      </c>
      <c r="F934" s="20" t="s">
        <v>3695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785</v>
      </c>
      <c r="M934" s="20" t="s">
        <v>776</v>
      </c>
      <c r="N934" s="22" t="s">
        <v>250</v>
      </c>
      <c r="O934" s="20" t="s">
        <v>1070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786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VLOOKUP(F934,[2]Wait!$H$225:$I$260,2,0)</f>
        <v>#N/A</v>
      </c>
    </row>
    <row r="935" spans="1:27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2484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785</v>
      </c>
      <c r="M935" s="20" t="s">
        <v>776</v>
      </c>
      <c r="N935" s="22" t="s">
        <v>250</v>
      </c>
      <c r="O935" s="20" t="s">
        <v>1070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786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VLOOKUP(F935,[2]Wait!$H$225:$I$260,2,0)</f>
        <v>#N/A</v>
      </c>
    </row>
    <row r="936" spans="1:27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2485</v>
      </c>
      <c r="E936" s="20" t="s">
        <v>26</v>
      </c>
      <c r="F936" s="20" t="s">
        <v>3695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785</v>
      </c>
      <c r="M936" s="20" t="s">
        <v>776</v>
      </c>
      <c r="N936" s="22" t="s">
        <v>250</v>
      </c>
      <c r="O936" s="20" t="s">
        <v>1070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786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VLOOKUP(F936,[2]Wait!$H$225:$I$260,2,0)</f>
        <v>#N/A</v>
      </c>
    </row>
    <row r="937" spans="1:27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2360</v>
      </c>
      <c r="E937" s="20" t="s">
        <v>26</v>
      </c>
      <c r="F937" s="20" t="s">
        <v>3696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688</v>
      </c>
      <c r="M937" s="20" t="s">
        <v>776</v>
      </c>
      <c r="N937" s="22" t="s">
        <v>250</v>
      </c>
      <c r="O937" s="20" t="s">
        <v>1070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VLOOKUP(F937,[2]Wait!$H$225:$I$260,2,0)</f>
        <v>#N/A</v>
      </c>
    </row>
    <row r="938" spans="1:27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2486</v>
      </c>
      <c r="E938" s="20" t="s">
        <v>26</v>
      </c>
      <c r="F938" s="20" t="s">
        <v>3697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2487</v>
      </c>
      <c r="M938" s="20" t="s">
        <v>776</v>
      </c>
      <c r="N938" s="22" t="s">
        <v>250</v>
      </c>
      <c r="O938" s="20" t="s">
        <v>939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2488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VLOOKUP(F938,[2]Wait!$H$225:$I$260,2,0)</f>
        <v>#N/A</v>
      </c>
    </row>
    <row r="939" spans="1:27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2489</v>
      </c>
      <c r="E939" s="20" t="s">
        <v>26</v>
      </c>
      <c r="F939" s="20" t="s">
        <v>3698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2490</v>
      </c>
      <c r="M939" s="20" t="s">
        <v>776</v>
      </c>
      <c r="N939" s="22" t="s">
        <v>250</v>
      </c>
      <c r="O939" s="20" t="s">
        <v>955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2491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VLOOKUP(F939,[2]Wait!$H$225:$I$260,2,0)</f>
        <v>#N/A</v>
      </c>
    </row>
    <row r="940" spans="1:27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2492</v>
      </c>
      <c r="E940" s="20" t="s">
        <v>2493</v>
      </c>
      <c r="F940" s="20" t="s">
        <v>2493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2494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2495</v>
      </c>
      <c r="Y940" s="21">
        <v>46279</v>
      </c>
      <c r="Z940" s="20" t="s">
        <v>2496</v>
      </c>
      <c r="AA940" s="17" t="e">
        <f>VLOOKUP(F940,[2]Wait!$H$225:$I$260,2,0)</f>
        <v>#N/A</v>
      </c>
    </row>
    <row r="941" spans="1:27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2497</v>
      </c>
      <c r="E941" s="20" t="s">
        <v>2493</v>
      </c>
      <c r="F941" s="20" t="s">
        <v>2493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2494</v>
      </c>
      <c r="M941" s="20" t="s">
        <v>776</v>
      </c>
      <c r="N941" s="22" t="s">
        <v>250</v>
      </c>
      <c r="O941" s="20" t="s">
        <v>1044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2495</v>
      </c>
      <c r="Y941" s="21">
        <v>46279</v>
      </c>
      <c r="Z941" s="20" t="s">
        <v>2496</v>
      </c>
      <c r="AA941" s="17" t="e">
        <f>VLOOKUP(F941,[2]Wait!$H$225:$I$260,2,0)</f>
        <v>#N/A</v>
      </c>
    </row>
    <row r="942" spans="1:27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2498</v>
      </c>
      <c r="E942" s="20" t="s">
        <v>2499</v>
      </c>
      <c r="F942" s="20" t="s">
        <v>2499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2500</v>
      </c>
      <c r="M942" s="20" t="s">
        <v>776</v>
      </c>
      <c r="N942" s="22" t="s">
        <v>250</v>
      </c>
      <c r="O942" s="20" t="s">
        <v>1044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2501</v>
      </c>
      <c r="Y942" s="21">
        <v>46279</v>
      </c>
      <c r="Z942" s="20" t="s">
        <v>2496</v>
      </c>
      <c r="AA942" s="17" t="e">
        <f>VLOOKUP(F942,[2]Wait!$H$225:$I$260,2,0)</f>
        <v>#N/A</v>
      </c>
    </row>
    <row r="943" spans="1:27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2987</v>
      </c>
      <c r="E943" s="20" t="s">
        <v>2988</v>
      </c>
      <c r="F943" s="20" t="s">
        <v>2988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2989</v>
      </c>
      <c r="M943" s="20" t="s">
        <v>776</v>
      </c>
      <c r="N943" s="22" t="s">
        <v>250</v>
      </c>
      <c r="O943" s="20" t="s">
        <v>1044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VLOOKUP(F943,[2]Wait!$H$225:$I$260,2,0)</f>
        <v>#N/A</v>
      </c>
    </row>
    <row r="944" spans="1:27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2502</v>
      </c>
      <c r="E944" s="20" t="s">
        <v>2503</v>
      </c>
      <c r="F944" s="20" t="s">
        <v>3699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2504</v>
      </c>
      <c r="M944" s="20" t="s">
        <v>279</v>
      </c>
      <c r="N944" s="22" t="s">
        <v>250</v>
      </c>
      <c r="O944" s="20" t="s">
        <v>1727</v>
      </c>
      <c r="P944" s="20" t="s">
        <v>148</v>
      </c>
      <c r="Q944" s="20" t="s">
        <v>149</v>
      </c>
      <c r="R944" s="20" t="s">
        <v>2505</v>
      </c>
      <c r="S944" s="20" t="s">
        <v>32</v>
      </c>
      <c r="T944" s="20" t="s">
        <v>195</v>
      </c>
      <c r="U944" s="20" t="s">
        <v>2506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VLOOKUP(F944,[2]Wait!$H$225:$I$260,2,0)</f>
        <v>#N/A</v>
      </c>
    </row>
    <row r="945" spans="1:27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2507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781</v>
      </c>
      <c r="M945" s="20" t="s">
        <v>279</v>
      </c>
      <c r="N945" s="22" t="s">
        <v>250</v>
      </c>
      <c r="O945" s="20" t="s">
        <v>1176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782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VLOOKUP(F945,[2]Wait!$H$225:$I$260,2,0)</f>
        <v>#N/A</v>
      </c>
    </row>
    <row r="946" spans="1:27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2508</v>
      </c>
      <c r="E946" s="20" t="s">
        <v>26</v>
      </c>
      <c r="F946" s="20" t="s">
        <v>3701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1764</v>
      </c>
      <c r="M946" s="20" t="s">
        <v>279</v>
      </c>
      <c r="N946" s="22" t="s">
        <v>250</v>
      </c>
      <c r="O946" s="20" t="s">
        <v>946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1765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VLOOKUP(F946,[2]Wait!$H$225:$I$260,2,0)</f>
        <v>#N/A</v>
      </c>
    </row>
    <row r="947" spans="1:27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2511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689</v>
      </c>
      <c r="M947" s="20" t="s">
        <v>279</v>
      </c>
      <c r="N947" s="22" t="s">
        <v>250</v>
      </c>
      <c r="O947" s="20" t="s">
        <v>939</v>
      </c>
      <c r="P947" s="20" t="s">
        <v>613</v>
      </c>
      <c r="Q947" s="20" t="s">
        <v>614</v>
      </c>
      <c r="R947" s="20" t="s">
        <v>84</v>
      </c>
      <c r="S947" s="20" t="s">
        <v>32</v>
      </c>
      <c r="T947" s="20" t="s">
        <v>367</v>
      </c>
      <c r="U947" s="20" t="s">
        <v>690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VLOOKUP(F947,[2]Wait!$H$225:$I$260,2,0)</f>
        <v>#N/A</v>
      </c>
    </row>
    <row r="948" spans="1:27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2514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784</v>
      </c>
      <c r="M948" s="20" t="s">
        <v>279</v>
      </c>
      <c r="N948" s="22" t="s">
        <v>250</v>
      </c>
      <c r="O948" s="20" t="s">
        <v>1176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VLOOKUP(F948,[2]Wait!$H$225:$I$260,2,0)</f>
        <v>#N/A</v>
      </c>
    </row>
    <row r="949" spans="1:27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2515</v>
      </c>
      <c r="E949" s="20" t="s">
        <v>26</v>
      </c>
      <c r="F949" s="20" t="s">
        <v>3704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2516</v>
      </c>
      <c r="M949" s="20" t="s">
        <v>279</v>
      </c>
      <c r="N949" s="22" t="s">
        <v>250</v>
      </c>
      <c r="O949" s="20" t="s">
        <v>939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2482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VLOOKUP(F949,[2]Wait!$H$225:$I$260,2,0)</f>
        <v>#N/A</v>
      </c>
    </row>
    <row r="950" spans="1:27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2517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2518</v>
      </c>
      <c r="M950" s="20" t="s">
        <v>279</v>
      </c>
      <c r="N950" s="22" t="s">
        <v>250</v>
      </c>
      <c r="O950" s="20" t="s">
        <v>946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1714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VLOOKUP(F950,[2]Wait!$H$225:$I$260,2,0)</f>
        <v>#N/A</v>
      </c>
    </row>
    <row r="951" spans="1:27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2519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2520</v>
      </c>
      <c r="M951" s="20" t="s">
        <v>279</v>
      </c>
      <c r="N951" s="22" t="s">
        <v>250</v>
      </c>
      <c r="O951" s="20" t="s">
        <v>961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964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VLOOKUP(F951,[2]Wait!$H$225:$I$260,2,0)</f>
        <v>#N/A</v>
      </c>
    </row>
    <row r="952" spans="1:27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2521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1070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VLOOKUP(F952,[2]Wait!$H$225:$I$260,2,0)</f>
        <v>#N/A</v>
      </c>
    </row>
    <row r="953" spans="1:27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2384</v>
      </c>
      <c r="E953" s="20" t="s">
        <v>26</v>
      </c>
      <c r="F953" s="20" t="s">
        <v>3708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695</v>
      </c>
      <c r="M953" s="20" t="s">
        <v>279</v>
      </c>
      <c r="N953" s="22" t="s">
        <v>250</v>
      </c>
      <c r="O953" s="20" t="s">
        <v>1070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691</v>
      </c>
      <c r="U953" s="20" t="s">
        <v>696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VLOOKUP(F953,[2]Wait!$H$225:$I$260,2,0)</f>
        <v>#N/A</v>
      </c>
    </row>
    <row r="954" spans="1:27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2522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2523</v>
      </c>
      <c r="M954" s="20" t="s">
        <v>279</v>
      </c>
      <c r="N954" s="22" t="s">
        <v>250</v>
      </c>
      <c r="O954" s="20" t="s">
        <v>955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1936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VLOOKUP(F954,[2]Wait!$H$225:$I$260,2,0)</f>
        <v>#N/A</v>
      </c>
    </row>
    <row r="955" spans="1:27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2524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787</v>
      </c>
      <c r="M955" s="20" t="s">
        <v>279</v>
      </c>
      <c r="N955" s="22" t="s">
        <v>250</v>
      </c>
      <c r="O955" s="20" t="s">
        <v>939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788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VLOOKUP(F955,[2]Wait!$H$225:$I$260,2,0)</f>
        <v>#N/A</v>
      </c>
    </row>
    <row r="956" spans="1:27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2525</v>
      </c>
      <c r="E956" s="20" t="s">
        <v>26</v>
      </c>
      <c r="F956" s="20" t="s">
        <v>3710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787</v>
      </c>
      <c r="M956" s="20" t="s">
        <v>279</v>
      </c>
      <c r="N956" s="22" t="s">
        <v>250</v>
      </c>
      <c r="O956" s="20" t="s">
        <v>939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788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VLOOKUP(F956,[2]Wait!$H$225:$I$260,2,0)</f>
        <v>#N/A</v>
      </c>
    </row>
    <row r="957" spans="1:27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2526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1141</v>
      </c>
      <c r="L957" s="20" t="s">
        <v>787</v>
      </c>
      <c r="M957" s="20" t="s">
        <v>279</v>
      </c>
      <c r="N957" s="22" t="s">
        <v>250</v>
      </c>
      <c r="O957" s="20" t="s">
        <v>939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788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VLOOKUP(F957,[2]Wait!$H$225:$I$260,2,0)</f>
        <v>#N/A</v>
      </c>
    </row>
    <row r="958" spans="1:27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2527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2528</v>
      </c>
      <c r="M958" s="20" t="s">
        <v>279</v>
      </c>
      <c r="N958" s="22" t="s">
        <v>250</v>
      </c>
      <c r="O958" s="20" t="s">
        <v>961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2529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VLOOKUP(F958,[2]Wait!$H$225:$I$260,2,0)</f>
        <v>#N/A</v>
      </c>
    </row>
    <row r="959" spans="1:27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2533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790</v>
      </c>
      <c r="M959" s="20" t="s">
        <v>279</v>
      </c>
      <c r="N959" s="22" t="s">
        <v>250</v>
      </c>
      <c r="O959" s="20" t="s">
        <v>955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791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VLOOKUP(F959,[2]Wait!$H$225:$I$260,2,0)</f>
        <v>#N/A</v>
      </c>
    </row>
    <row r="960" spans="1:27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2426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752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691</v>
      </c>
      <c r="U960" s="20" t="s">
        <v>753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VLOOKUP(F960,[2]Wait!$H$225:$I$260,2,0)</f>
        <v>#N/A</v>
      </c>
    </row>
    <row r="961" spans="1:27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2534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2535</v>
      </c>
      <c r="M961" s="20" t="s">
        <v>279</v>
      </c>
      <c r="N961" s="22" t="s">
        <v>250</v>
      </c>
      <c r="O961" s="20" t="s">
        <v>946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2536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VLOOKUP(F961,[2]Wait!$H$225:$I$260,2,0)</f>
        <v>#N/A</v>
      </c>
    </row>
    <row r="962" spans="1:27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2537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2538</v>
      </c>
      <c r="M962" s="20" t="s">
        <v>279</v>
      </c>
      <c r="N962" s="22" t="s">
        <v>250</v>
      </c>
      <c r="O962" s="20" t="s">
        <v>1070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2536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VLOOKUP(F962,[2]Wait!$H$225:$I$260,2,0)</f>
        <v>#N/A</v>
      </c>
    </row>
    <row r="963" spans="1:27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2539</v>
      </c>
      <c r="E963" s="20" t="s">
        <v>26</v>
      </c>
      <c r="F963" s="20" t="s">
        <v>3716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763</v>
      </c>
      <c r="M963" s="20" t="s">
        <v>279</v>
      </c>
      <c r="N963" s="22" t="s">
        <v>250</v>
      </c>
      <c r="O963" s="20" t="s">
        <v>961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VLOOKUP(F963,[2]Wait!$H$225:$I$260,2,0)</f>
        <v>#N/A</v>
      </c>
    </row>
    <row r="964" spans="1:27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2540</v>
      </c>
      <c r="E964" s="20" t="s">
        <v>26</v>
      </c>
      <c r="F964" s="20" t="s">
        <v>3717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792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793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VLOOKUP(F964,[2]Wait!$H$225:$I$260,2,0)</f>
        <v>#N/A</v>
      </c>
    </row>
    <row r="965" spans="1:27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2541</v>
      </c>
      <c r="E965" s="20" t="s">
        <v>26</v>
      </c>
      <c r="F965" s="20" t="s">
        <v>3718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794</v>
      </c>
      <c r="M965" s="20" t="s">
        <v>279</v>
      </c>
      <c r="N965" s="22" t="s">
        <v>250</v>
      </c>
      <c r="O965" s="20" t="s">
        <v>1176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795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VLOOKUP(F965,[2]Wait!$H$225:$I$260,2,0)</f>
        <v>#N/A</v>
      </c>
    </row>
    <row r="966" spans="1:27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2630</v>
      </c>
      <c r="E966" s="20" t="s">
        <v>2631</v>
      </c>
      <c r="F966" s="20" t="s">
        <v>2631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2632</v>
      </c>
      <c r="M966" s="20" t="s">
        <v>279</v>
      </c>
      <c r="N966" s="22" t="s">
        <v>250</v>
      </c>
      <c r="O966" s="20" t="s">
        <v>1044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VLOOKUP(F966,[2]Wait!$H$225:$I$260,2,0)</f>
        <v>#N/A</v>
      </c>
    </row>
    <row r="967" spans="1:27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2361</v>
      </c>
      <c r="E967" s="20" t="s">
        <v>2362</v>
      </c>
      <c r="F967" s="20" t="s">
        <v>2362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2363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VLOOKUP(F967,[2]Wait!$H$225:$I$260,2,0)</f>
        <v>#N/A</v>
      </c>
    </row>
    <row r="968" spans="1:27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2545</v>
      </c>
      <c r="E968" s="20" t="s">
        <v>2546</v>
      </c>
      <c r="F968" s="20" t="s">
        <v>2546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2547</v>
      </c>
      <c r="M968" s="20" t="s">
        <v>279</v>
      </c>
      <c r="N968" s="22" t="s">
        <v>250</v>
      </c>
      <c r="O968" s="20" t="s">
        <v>1044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VLOOKUP(F968,[2]Wait!$H$225:$I$260,2,0)</f>
        <v>#N/A</v>
      </c>
    </row>
    <row r="969" spans="1:27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2548</v>
      </c>
      <c r="E969" s="20" t="s">
        <v>2546</v>
      </c>
      <c r="F969" s="20" t="s">
        <v>2546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2547</v>
      </c>
      <c r="M969" s="20" t="s">
        <v>279</v>
      </c>
      <c r="N969" s="22" t="s">
        <v>250</v>
      </c>
      <c r="O969" s="20" t="s">
        <v>1044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VLOOKUP(F969,[2]Wait!$H$225:$I$260,2,0)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2549</v>
      </c>
      <c r="E970" s="20" t="s">
        <v>2550</v>
      </c>
      <c r="F970" s="20" t="s">
        <v>2550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682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VLOOKUP(F970,[2]Wait!$H$225:$I$260,2,0)</f>
        <v>#N/A</v>
      </c>
    </row>
    <row r="971" spans="1:27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2295</v>
      </c>
      <c r="E971" s="20" t="s">
        <v>2296</v>
      </c>
      <c r="F971" s="20" t="s">
        <v>2296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2297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VLOOKUP(F971,[2]Wait!$H$225:$I$260,2,0)</f>
        <v>#N/A</v>
      </c>
    </row>
    <row r="972" spans="1:27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2555</v>
      </c>
      <c r="E972" s="20" t="s">
        <v>2556</v>
      </c>
      <c r="F972" s="20" t="s">
        <v>2556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2557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2558</v>
      </c>
      <c r="Y972" s="21">
        <v>46273</v>
      </c>
      <c r="Z972" s="20" t="s">
        <v>226</v>
      </c>
      <c r="AA972" s="17" t="e">
        <f>VLOOKUP(F972,[2]Wait!$H$225:$I$260,2,0)</f>
        <v>#N/A</v>
      </c>
    </row>
    <row r="973" spans="1:27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2559</v>
      </c>
      <c r="E973" s="20" t="s">
        <v>2560</v>
      </c>
      <c r="F973" s="20" t="s">
        <v>2560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2561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2562</v>
      </c>
      <c r="Y973" s="21">
        <v>46273</v>
      </c>
      <c r="Z973" s="20" t="s">
        <v>226</v>
      </c>
      <c r="AA973" s="17" t="e">
        <f>VLOOKUP(F973,[2]Wait!$H$225:$I$260,2,0)</f>
        <v>#N/A</v>
      </c>
    </row>
    <row r="974" spans="1:27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2563</v>
      </c>
      <c r="E974" s="20" t="s">
        <v>2564</v>
      </c>
      <c r="F974" s="20" t="s">
        <v>2564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2565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VLOOKUP(F974,[2]Wait!$H$225:$I$260,2,0)</f>
        <v>#N/A</v>
      </c>
    </row>
    <row r="975" spans="1:27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2566</v>
      </c>
      <c r="E975" s="20" t="s">
        <v>2564</v>
      </c>
      <c r="F975" s="20" t="s">
        <v>2564</v>
      </c>
      <c r="G975" s="20" t="s">
        <v>194</v>
      </c>
      <c r="H975" s="20" t="s">
        <v>26</v>
      </c>
      <c r="I975" s="21">
        <v>46258</v>
      </c>
      <c r="J975" s="20" t="s">
        <v>683</v>
      </c>
      <c r="K975" s="20" t="s">
        <v>58</v>
      </c>
      <c r="L975" s="20" t="s">
        <v>2565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VLOOKUP(F975,[2]Wait!$H$225:$I$260,2,0)</f>
        <v>#N/A</v>
      </c>
    </row>
    <row r="976" spans="1:27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2567</v>
      </c>
      <c r="E976" s="20" t="s">
        <v>2568</v>
      </c>
      <c r="F976" s="20" t="s">
        <v>2568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2569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VLOOKUP(F976,[2]Wait!$H$225:$I$260,2,0)</f>
        <v>#N/A</v>
      </c>
    </row>
    <row r="977" spans="1:27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2570</v>
      </c>
      <c r="E977" s="20" t="s">
        <v>2571</v>
      </c>
      <c r="F977" s="20" t="s">
        <v>2571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2572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VLOOKUP(F977,[2]Wait!$H$225:$I$260,2,0)</f>
        <v>#N/A</v>
      </c>
    </row>
    <row r="978" spans="1:27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2339</v>
      </c>
      <c r="E978" s="20" t="s">
        <v>2340</v>
      </c>
      <c r="F978" s="20" t="s">
        <v>2340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2341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2342</v>
      </c>
      <c r="Y978" s="21">
        <v>46278</v>
      </c>
      <c r="Z978" s="20" t="s">
        <v>226</v>
      </c>
      <c r="AA978" s="17" t="e">
        <f>VLOOKUP(F978,[2]Wait!$H$225:$I$260,2,0)</f>
        <v>#N/A</v>
      </c>
    </row>
    <row r="979" spans="1:27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2343</v>
      </c>
      <c r="E979" s="20" t="s">
        <v>2340</v>
      </c>
      <c r="F979" s="20" t="s">
        <v>2340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2341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2342</v>
      </c>
      <c r="Y979" s="21">
        <v>46278</v>
      </c>
      <c r="Z979" s="20" t="s">
        <v>226</v>
      </c>
      <c r="AA979" s="17" t="e">
        <f>VLOOKUP(F979,[2]Wait!$H$225:$I$260,2,0)</f>
        <v>#N/A</v>
      </c>
    </row>
    <row r="980" spans="1:27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2344</v>
      </c>
      <c r="E980" s="20" t="s">
        <v>2340</v>
      </c>
      <c r="F980" s="20" t="s">
        <v>2340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2341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2342</v>
      </c>
      <c r="Y980" s="21">
        <v>46278</v>
      </c>
      <c r="Z980" s="20" t="s">
        <v>226</v>
      </c>
      <c r="AA980" s="17" t="e">
        <f>VLOOKUP(F980,[2]Wait!$H$225:$I$260,2,0)</f>
        <v>#N/A</v>
      </c>
    </row>
    <row r="981" spans="1:27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2947</v>
      </c>
      <c r="E981" s="20" t="s">
        <v>2948</v>
      </c>
      <c r="F981" s="20" t="s">
        <v>2948</v>
      </c>
      <c r="G981" s="20" t="s">
        <v>194</v>
      </c>
      <c r="H981" s="20" t="s">
        <v>26</v>
      </c>
      <c r="I981" s="21">
        <v>46288</v>
      </c>
      <c r="J981" s="20" t="s">
        <v>683</v>
      </c>
      <c r="K981" s="20" t="s">
        <v>28</v>
      </c>
      <c r="L981" s="20" t="s">
        <v>2949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2950</v>
      </c>
      <c r="Y981" s="21">
        <v>46289</v>
      </c>
      <c r="Z981" s="20" t="s">
        <v>226</v>
      </c>
      <c r="AA981" s="17" t="e">
        <f>VLOOKUP(F981,[2]Wait!$H$225:$I$260,2,0)</f>
        <v>#N/A</v>
      </c>
    </row>
    <row r="982" spans="1:27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2990</v>
      </c>
      <c r="E982" s="20" t="s">
        <v>2991</v>
      </c>
      <c r="F982" s="20" t="s">
        <v>2991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2992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VLOOKUP(F982,[2]Wait!$H$225:$I$260,2,0)</f>
        <v>#N/A</v>
      </c>
    </row>
    <row r="983" spans="1:27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2583</v>
      </c>
      <c r="E983" s="20" t="s">
        <v>2584</v>
      </c>
      <c r="F983" s="20" t="s">
        <v>2584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2585</v>
      </c>
      <c r="M983" s="20" t="s">
        <v>2586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VLOOKUP(F983,[2]Wait!$H$225:$I$260,2,0)</f>
        <v>#N/A</v>
      </c>
    </row>
    <row r="984" spans="1:27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2587</v>
      </c>
      <c r="E984" s="20" t="s">
        <v>2588</v>
      </c>
      <c r="F984" s="20" t="s">
        <v>2588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2589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VLOOKUP(F984,[2]Wait!$H$225:$I$260,2,0)</f>
        <v>#N/A</v>
      </c>
    </row>
    <row r="985" spans="1:27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2951</v>
      </c>
      <c r="E985" s="20" t="s">
        <v>2952</v>
      </c>
      <c r="F985" s="20" t="s">
        <v>2952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2953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VLOOKUP(F985,[2]Wait!$H$225:$I$260,2,0)</f>
        <v>#N/A</v>
      </c>
    </row>
    <row r="986" spans="1:27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2590</v>
      </c>
      <c r="E986" s="20" t="s">
        <v>2591</v>
      </c>
      <c r="F986" s="20" t="s">
        <v>3719</v>
      </c>
      <c r="G986" s="20" t="s">
        <v>25</v>
      </c>
      <c r="H986" s="20" t="s">
        <v>26</v>
      </c>
      <c r="I986" s="21">
        <v>46256</v>
      </c>
      <c r="J986" s="20" t="s">
        <v>2592</v>
      </c>
      <c r="K986" s="20" t="s">
        <v>28</v>
      </c>
      <c r="L986" s="20" t="s">
        <v>2593</v>
      </c>
      <c r="M986" s="20" t="s">
        <v>796</v>
      </c>
      <c r="N986" s="22" t="s">
        <v>250</v>
      </c>
      <c r="O986" s="20" t="s">
        <v>932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2594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VLOOKUP(F986,[2]Wait!$H$225:$I$260,2,0)</f>
        <v>#N/A</v>
      </c>
    </row>
    <row r="987" spans="1:27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2595</v>
      </c>
      <c r="E987" s="20" t="s">
        <v>2591</v>
      </c>
      <c r="F987" s="20" t="s">
        <v>3719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2593</v>
      </c>
      <c r="M987" s="20" t="s">
        <v>796</v>
      </c>
      <c r="N987" s="22" t="s">
        <v>250</v>
      </c>
      <c r="O987" s="20" t="s">
        <v>932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2594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VLOOKUP(F987,[2]Wait!$H$225:$I$260,2,0)</f>
        <v>#N/A</v>
      </c>
    </row>
    <row r="988" spans="1:27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2596</v>
      </c>
      <c r="E988" s="20" t="s">
        <v>2591</v>
      </c>
      <c r="F988" s="20" t="s">
        <v>3719</v>
      </c>
      <c r="G988" s="20" t="s">
        <v>25</v>
      </c>
      <c r="H988" s="20" t="s">
        <v>26</v>
      </c>
      <c r="I988" s="21">
        <v>46256</v>
      </c>
      <c r="J988" s="20" t="s">
        <v>683</v>
      </c>
      <c r="K988" s="20" t="s">
        <v>59</v>
      </c>
      <c r="L988" s="20" t="s">
        <v>2593</v>
      </c>
      <c r="M988" s="20" t="s">
        <v>796</v>
      </c>
      <c r="N988" s="22" t="s">
        <v>250</v>
      </c>
      <c r="O988" s="20" t="s">
        <v>932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2594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VLOOKUP(F988,[2]Wait!$H$225:$I$260,2,0)</f>
        <v>#N/A</v>
      </c>
    </row>
    <row r="989" spans="1:27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2597</v>
      </c>
      <c r="E989" s="20" t="s">
        <v>2598</v>
      </c>
      <c r="F989" s="20" t="s">
        <v>3720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2599</v>
      </c>
      <c r="M989" s="20" t="s">
        <v>261</v>
      </c>
      <c r="N989" s="22" t="s">
        <v>250</v>
      </c>
      <c r="O989" s="20" t="s">
        <v>1193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2600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VLOOKUP(F989,[2]Wait!$H$225:$I$260,2,0)</f>
        <v>#N/A</v>
      </c>
    </row>
    <row r="990" spans="1:27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2607</v>
      </c>
      <c r="E990" s="20" t="s">
        <v>2608</v>
      </c>
      <c r="F990" s="20" t="s">
        <v>3721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2609</v>
      </c>
      <c r="M990" s="20" t="s">
        <v>261</v>
      </c>
      <c r="N990" s="22" t="s">
        <v>250</v>
      </c>
      <c r="O990" s="20" t="s">
        <v>932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685</v>
      </c>
      <c r="U990" s="20" t="s">
        <v>2610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VLOOKUP(F990,[2]Wait!$H$225:$I$260,2,0)</f>
        <v>#N/A</v>
      </c>
    </row>
    <row r="991" spans="1:27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2611</v>
      </c>
      <c r="E991" s="20" t="s">
        <v>2608</v>
      </c>
      <c r="F991" s="20" t="s">
        <v>3721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2609</v>
      </c>
      <c r="M991" s="20" t="s">
        <v>261</v>
      </c>
      <c r="N991" s="22" t="s">
        <v>250</v>
      </c>
      <c r="O991" s="20" t="s">
        <v>932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685</v>
      </c>
      <c r="U991" s="20" t="s">
        <v>2610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VLOOKUP(F991,[2]Wait!$H$225:$I$260,2,0)</f>
        <v>#N/A</v>
      </c>
    </row>
    <row r="992" spans="1:27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2612</v>
      </c>
      <c r="E992" s="20" t="s">
        <v>2608</v>
      </c>
      <c r="F992" s="20" t="s">
        <v>3721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2609</v>
      </c>
      <c r="M992" s="20" t="s">
        <v>261</v>
      </c>
      <c r="N992" s="22" t="s">
        <v>250</v>
      </c>
      <c r="O992" s="20" t="s">
        <v>932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685</v>
      </c>
      <c r="U992" s="20" t="s">
        <v>2610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VLOOKUP(F992,[2]Wait!$H$225:$I$260,2,0)</f>
        <v>#N/A</v>
      </c>
    </row>
    <row r="993" spans="1:27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2613</v>
      </c>
      <c r="E993" s="20" t="s">
        <v>2608</v>
      </c>
      <c r="F993" s="20" t="s">
        <v>3721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684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VLOOKUP(F993,[2]Wait!$H$225:$I$260,2,0)</f>
        <v>#N/A</v>
      </c>
    </row>
    <row r="994" spans="1:27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2614</v>
      </c>
      <c r="E994" s="20" t="s">
        <v>26</v>
      </c>
      <c r="F994" s="20" t="s">
        <v>3722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797</v>
      </c>
      <c r="M994" s="20" t="s">
        <v>261</v>
      </c>
      <c r="N994" s="22" t="s">
        <v>250</v>
      </c>
      <c r="O994" s="20" t="s">
        <v>991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798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VLOOKUP(F994,[2]Wait!$H$225:$I$260,2,0)</f>
        <v>#N/A</v>
      </c>
    </row>
    <row r="995" spans="1:27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2615</v>
      </c>
      <c r="E995" s="20" t="s">
        <v>26</v>
      </c>
      <c r="F995" s="20" t="s">
        <v>3723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799</v>
      </c>
      <c r="M995" s="20" t="s">
        <v>261</v>
      </c>
      <c r="N995" s="22" t="s">
        <v>250</v>
      </c>
      <c r="O995" s="20" t="s">
        <v>991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798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VLOOKUP(F995,[2]Wait!$H$225:$I$260,2,0)</f>
        <v>#N/A</v>
      </c>
    </row>
    <row r="996" spans="1:27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2618</v>
      </c>
      <c r="E996" s="20" t="s">
        <v>26</v>
      </c>
      <c r="F996" s="20" t="s">
        <v>3724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2619</v>
      </c>
      <c r="M996" s="20" t="s">
        <v>261</v>
      </c>
      <c r="N996" s="22" t="s">
        <v>250</v>
      </c>
      <c r="O996" s="20" t="s">
        <v>939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2620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VLOOKUP(F996,[2]Wait!$H$225:$I$260,2,0)</f>
        <v>#N/A</v>
      </c>
    </row>
    <row r="997" spans="1:27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2621</v>
      </c>
      <c r="E997" s="20" t="s">
        <v>26</v>
      </c>
      <c r="F997" s="20" t="s">
        <v>3725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803</v>
      </c>
      <c r="M997" s="20" t="s">
        <v>261</v>
      </c>
      <c r="N997" s="22" t="s">
        <v>250</v>
      </c>
      <c r="O997" s="20" t="s">
        <v>949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804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VLOOKUP(F997,[2]Wait!$H$225:$I$260,2,0)</f>
        <v>#N/A</v>
      </c>
    </row>
    <row r="998" spans="1:27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2622</v>
      </c>
      <c r="E998" s="20" t="s">
        <v>26</v>
      </c>
      <c r="F998" s="20" t="s">
        <v>3725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803</v>
      </c>
      <c r="M998" s="20" t="s">
        <v>261</v>
      </c>
      <c r="N998" s="22" t="s">
        <v>250</v>
      </c>
      <c r="O998" s="20" t="s">
        <v>949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804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VLOOKUP(F998,[2]Wait!$H$225:$I$260,2,0)</f>
        <v>#N/A</v>
      </c>
    </row>
    <row r="999" spans="1:27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2625</v>
      </c>
      <c r="E999" s="20" t="s">
        <v>26</v>
      </c>
      <c r="F999" s="20" t="s">
        <v>3726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2626</v>
      </c>
      <c r="M999" s="20" t="s">
        <v>261</v>
      </c>
      <c r="N999" s="22" t="s">
        <v>250</v>
      </c>
      <c r="O999" s="20" t="s">
        <v>949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2627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VLOOKUP(F999,[2]Wait!$H$225:$I$260,2,0)</f>
        <v>#N/A</v>
      </c>
    </row>
    <row r="1000" spans="1:27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3727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VLOOKUP(F1000,[2]Wait!$H$225:$I$260,2,0)</f>
        <v>#N/A</v>
      </c>
    </row>
    <row r="1001" spans="1:27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3727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VLOOKUP(F1001,[2]Wait!$H$225:$I$260,2,0)</f>
        <v>#N/A</v>
      </c>
    </row>
    <row r="1002" spans="1:27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VLOOKUP(F1002,[2]Wait!$H$225:$I$260,2,0)</f>
        <v>#N/A</v>
      </c>
    </row>
    <row r="1003" spans="1:27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VLOOKUP(F1003,[2]Wait!$H$225:$I$260,2,0)</f>
        <v>#N/A</v>
      </c>
    </row>
    <row r="1004" spans="1:27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VLOOKUP(F1004,[2]Wait!$H$225:$I$260,2,0)</f>
        <v>#N/A</v>
      </c>
    </row>
    <row r="1005" spans="1:27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2639</v>
      </c>
      <c r="E1005" s="20" t="s">
        <v>2640</v>
      </c>
      <c r="F1005" s="20" t="s">
        <v>2640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2641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VLOOKUP(F1005,[2]Wait!$H$225:$I$260,2,0)</f>
        <v>#N/A</v>
      </c>
    </row>
    <row r="1006" spans="1:27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2915</v>
      </c>
      <c r="E1006" s="20" t="s">
        <v>2916</v>
      </c>
      <c r="F1006" s="20" t="s">
        <v>2916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2917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VLOOKUP(F1006,[2]Wait!$H$225:$I$260,2,0)</f>
        <v>#N/A</v>
      </c>
    </row>
    <row r="1007" spans="1:27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2918</v>
      </c>
      <c r="E1007" s="20" t="s">
        <v>2919</v>
      </c>
      <c r="F1007" s="20" t="s">
        <v>2919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2920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VLOOKUP(F1007,[2]Wait!$H$225:$I$260,2,0)</f>
        <v>#N/A</v>
      </c>
    </row>
    <row r="1008" spans="1:27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3728</v>
      </c>
      <c r="E1008" s="20" t="s">
        <v>3729</v>
      </c>
      <c r="F1008" s="20" t="s">
        <v>3729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3730</v>
      </c>
      <c r="M1008" s="20" t="s">
        <v>261</v>
      </c>
      <c r="N1008" s="22" t="s">
        <v>250</v>
      </c>
      <c r="O1008" s="20" t="s">
        <v>1044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VLOOKUP(F1008,[2]Wait!$H$225:$I$260,2,0)</f>
        <v>#N/A</v>
      </c>
    </row>
    <row r="1009" spans="1:27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2645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VLOOKUP(F1009,[2]Wait!$H$225:$I$260,2,0)</f>
        <v>#N/A</v>
      </c>
    </row>
    <row r="1010" spans="1:27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2648</v>
      </c>
      <c r="E1010" s="20" t="s">
        <v>2646</v>
      </c>
      <c r="F1010" s="20" t="s">
        <v>2646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2647</v>
      </c>
      <c r="M1010" s="20" t="s">
        <v>261</v>
      </c>
      <c r="N1010" s="22" t="s">
        <v>250</v>
      </c>
      <c r="O1010" s="20" t="s">
        <v>1044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VLOOKUP(F1010,[2]Wait!$H$225:$I$260,2,0)</f>
        <v>#N/A</v>
      </c>
    </row>
    <row r="1011" spans="1:27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2649</v>
      </c>
      <c r="E1011" s="20" t="s">
        <v>2650</v>
      </c>
      <c r="F1011" s="20" t="s">
        <v>2650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VLOOKUP(F1011,[2]Wait!$H$225:$I$260,2,0)</f>
        <v>#N/A</v>
      </c>
    </row>
    <row r="1012" spans="1:27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2651</v>
      </c>
      <c r="E1012" s="20" t="s">
        <v>2652</v>
      </c>
      <c r="F1012" s="20" t="s">
        <v>2652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1668</v>
      </c>
      <c r="M1012" s="20" t="s">
        <v>261</v>
      </c>
      <c r="N1012" s="22" t="s">
        <v>250</v>
      </c>
      <c r="O1012" s="20" t="s">
        <v>1044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VLOOKUP(F1012,[2]Wait!$H$225:$I$260,2,0)</f>
        <v>#N/A</v>
      </c>
    </row>
    <row r="1013" spans="1:27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2653</v>
      </c>
      <c r="E1013" s="20" t="s">
        <v>2654</v>
      </c>
      <c r="F1013" s="20" t="s">
        <v>3731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2655</v>
      </c>
      <c r="M1013" s="20" t="s">
        <v>681</v>
      </c>
      <c r="N1013" s="22" t="s">
        <v>250</v>
      </c>
      <c r="O1013" s="20" t="s">
        <v>1193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685</v>
      </c>
      <c r="U1013" s="20" t="s">
        <v>2656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VLOOKUP(F1013,[2]Wait!$H$225:$I$260,2,0)</f>
        <v>#N/A</v>
      </c>
    </row>
    <row r="1014" spans="1:27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2657</v>
      </c>
      <c r="E1014" s="20" t="s">
        <v>2658</v>
      </c>
      <c r="F1014" s="20" t="s">
        <v>3732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2659</v>
      </c>
      <c r="M1014" s="20" t="s">
        <v>681</v>
      </c>
      <c r="N1014" s="22" t="s">
        <v>250</v>
      </c>
      <c r="O1014" s="20" t="s">
        <v>1044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2660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VLOOKUP(F1014,[2]Wait!$H$225:$I$260,2,0)</f>
        <v>#N/A</v>
      </c>
    </row>
    <row r="1015" spans="1:27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2661</v>
      </c>
      <c r="E1015" s="20" t="s">
        <v>2662</v>
      </c>
      <c r="F1015" s="20" t="s">
        <v>3733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VLOOKUP(F1015,[2]Wait!$H$225:$I$260,2,0)</f>
        <v>#N/A</v>
      </c>
    </row>
    <row r="1016" spans="1:27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2663</v>
      </c>
      <c r="E1016" s="20" t="s">
        <v>2662</v>
      </c>
      <c r="F1016" s="20" t="s">
        <v>3733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VLOOKUP(F1016,[2]Wait!$H$225:$I$260,2,0)</f>
        <v>#N/A</v>
      </c>
    </row>
    <row r="1017" spans="1:27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2664</v>
      </c>
      <c r="E1017" s="20" t="s">
        <v>2662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810</v>
      </c>
      <c r="M1017" s="20" t="s">
        <v>681</v>
      </c>
      <c r="N1017" s="22" t="s">
        <v>250</v>
      </c>
      <c r="O1017" s="20" t="s">
        <v>1044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811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VLOOKUP(F1017,[2]Wait!$H$225:$I$260,2,0)</f>
        <v>#N/A</v>
      </c>
    </row>
    <row r="1018" spans="1:27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2665</v>
      </c>
      <c r="E1018" s="20" t="s">
        <v>2666</v>
      </c>
      <c r="F1018" s="20" t="s">
        <v>3734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2667</v>
      </c>
      <c r="M1018" s="20" t="s">
        <v>681</v>
      </c>
      <c r="N1018" s="22" t="s">
        <v>250</v>
      </c>
      <c r="O1018" s="20" t="s">
        <v>1193</v>
      </c>
      <c r="P1018" s="20" t="s">
        <v>41</v>
      </c>
      <c r="Q1018" s="20" t="s">
        <v>42</v>
      </c>
      <c r="R1018" s="20" t="s">
        <v>1235</v>
      </c>
      <c r="S1018" s="20" t="s">
        <v>32</v>
      </c>
      <c r="T1018" s="20" t="s">
        <v>66</v>
      </c>
      <c r="U1018" s="20" t="s">
        <v>2668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VLOOKUP(F1018,[2]Wait!$H$225:$I$260,2,0)</f>
        <v>#N/A</v>
      </c>
    </row>
    <row r="1019" spans="1:27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2669</v>
      </c>
      <c r="E1019" s="20" t="s">
        <v>2670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812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813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VLOOKUP(F1019,[2]Wait!$H$225:$I$260,2,0)</f>
        <v>#N/A</v>
      </c>
    </row>
    <row r="1020" spans="1:27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2671</v>
      </c>
      <c r="E1020" s="20" t="s">
        <v>2672</v>
      </c>
      <c r="F1020" s="20" t="s">
        <v>3736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VLOOKUP(F1020,[2]Wait!$H$225:$I$260,2,0)</f>
        <v>#N/A</v>
      </c>
    </row>
    <row r="1021" spans="1:27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2673</v>
      </c>
      <c r="E1021" s="20" t="s">
        <v>2672</v>
      </c>
      <c r="F1021" s="20" t="s">
        <v>3736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814</v>
      </c>
      <c r="M1021" s="20" t="s">
        <v>681</v>
      </c>
      <c r="N1021" s="22" t="s">
        <v>250</v>
      </c>
      <c r="O1021" s="20" t="s">
        <v>1044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815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VLOOKUP(F1021,[2]Wait!$H$225:$I$260,2,0)</f>
        <v>#N/A</v>
      </c>
    </row>
    <row r="1022" spans="1:27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2616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800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VLOOKUP(F1022,[2]Wait!$H$225:$I$260,2,0)</f>
        <v>#N/A</v>
      </c>
    </row>
    <row r="1023" spans="1:27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2617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802</v>
      </c>
      <c r="M1023" s="20" t="s">
        <v>681</v>
      </c>
      <c r="N1023" s="22" t="s">
        <v>250</v>
      </c>
      <c r="O1023" s="20" t="s">
        <v>1176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801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VLOOKUP(F1023,[2]Wait!$H$225:$I$260,2,0)</f>
        <v>#N/A</v>
      </c>
    </row>
    <row r="1024" spans="1:27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2675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2676</v>
      </c>
      <c r="M1024" s="20" t="s">
        <v>681</v>
      </c>
      <c r="N1024" s="22" t="s">
        <v>250</v>
      </c>
      <c r="O1024" s="20" t="s">
        <v>946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2677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VLOOKUP(F1024,[2]Wait!$H$225:$I$260,2,0)</f>
        <v>#N/A</v>
      </c>
    </row>
    <row r="1025" spans="1:27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2678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822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VLOOKUP(F1025,[2]Wait!$H$225:$I$260,2,0)</f>
        <v>#N/A</v>
      </c>
    </row>
    <row r="1026" spans="1:27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2679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824</v>
      </c>
      <c r="M1026" s="20" t="s">
        <v>681</v>
      </c>
      <c r="N1026" s="22" t="s">
        <v>250</v>
      </c>
      <c r="O1026" s="20" t="s">
        <v>1070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691</v>
      </c>
      <c r="U1026" s="20" t="s">
        <v>823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VLOOKUP(F1026,[2]Wait!$H$225:$I$260,2,0)</f>
        <v>#N/A</v>
      </c>
    </row>
    <row r="1027" spans="1:27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2680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2681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VLOOKUP(F1027,[2]Wait!$H$225:$I$260,2,0)</f>
        <v>#N/A</v>
      </c>
    </row>
    <row r="1028" spans="1:27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2683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2684</v>
      </c>
      <c r="M1028" s="20" t="s">
        <v>681</v>
      </c>
      <c r="N1028" s="22" t="s">
        <v>250</v>
      </c>
      <c r="O1028" s="20" t="s">
        <v>955</v>
      </c>
      <c r="P1028" s="20" t="s">
        <v>613</v>
      </c>
      <c r="Q1028" s="20" t="s">
        <v>614</v>
      </c>
      <c r="R1028" s="20" t="s">
        <v>72</v>
      </c>
      <c r="S1028" s="20" t="s">
        <v>32</v>
      </c>
      <c r="T1028" s="20" t="s">
        <v>55</v>
      </c>
      <c r="U1028" s="20" t="s">
        <v>2682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VLOOKUP(F1028,[2]Wait!$H$225:$I$260,2,0)</f>
        <v>#N/A</v>
      </c>
    </row>
    <row r="1029" spans="1:27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2685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825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VLOOKUP(F1029,[2]Wait!$H$225:$I$260,2,0)</f>
        <v>#N/A</v>
      </c>
    </row>
    <row r="1030" spans="1:27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2686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827</v>
      </c>
      <c r="M1030" s="20" t="s">
        <v>681</v>
      </c>
      <c r="N1030" s="22" t="s">
        <v>250</v>
      </c>
      <c r="O1030" s="20" t="s">
        <v>1070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691</v>
      </c>
      <c r="U1030" s="20" t="s">
        <v>826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VLOOKUP(F1030,[2]Wait!$H$225:$I$260,2,0)</f>
        <v>#N/A</v>
      </c>
    </row>
    <row r="1031" spans="1:27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2687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2688</v>
      </c>
      <c r="M1031" s="20" t="s">
        <v>681</v>
      </c>
      <c r="N1031" s="22" t="s">
        <v>250</v>
      </c>
      <c r="O1031" s="20" t="s">
        <v>939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2620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VLOOKUP(F1031,[2]Wait!$H$225:$I$260,2,0)</f>
        <v>#N/A</v>
      </c>
    </row>
    <row r="1032" spans="1:27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2689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830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VLOOKUP(F1032,[2]Wait!$H$225:$I$260,2,0)</f>
        <v>#N/A</v>
      </c>
    </row>
    <row r="1033" spans="1:27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2690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833</v>
      </c>
      <c r="M1033" s="20" t="s">
        <v>681</v>
      </c>
      <c r="N1033" s="22" t="s">
        <v>250</v>
      </c>
      <c r="O1033" s="20" t="s">
        <v>955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831</v>
      </c>
      <c r="U1033" s="20" t="s">
        <v>832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VLOOKUP(F1033,[2]Wait!$H$225:$I$260,2,0)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2694</v>
      </c>
      <c r="E1034" s="20" t="s">
        <v>26</v>
      </c>
      <c r="F1034" s="20" t="s">
        <v>3749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VLOOKUP(F1034,[2]Wait!$H$225:$I$260,2,0)</f>
        <v>#N/A</v>
      </c>
    </row>
    <row r="1035" spans="1:27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2695</v>
      </c>
      <c r="E1035" s="20" t="s">
        <v>26</v>
      </c>
      <c r="F1035" s="20" t="s">
        <v>3749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834</v>
      </c>
      <c r="M1035" s="20" t="s">
        <v>681</v>
      </c>
      <c r="N1035" s="22" t="s">
        <v>250</v>
      </c>
      <c r="O1035" s="20" t="s">
        <v>949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835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VLOOKUP(F1035,[2]Wait!$H$225:$I$260,2,0)</f>
        <v>#N/A</v>
      </c>
    </row>
    <row r="1036" spans="1:27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2699</v>
      </c>
      <c r="E1036" s="20" t="s">
        <v>26</v>
      </c>
      <c r="F1036" s="20" t="s">
        <v>3750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841</v>
      </c>
      <c r="M1036" s="20" t="s">
        <v>681</v>
      </c>
      <c r="N1036" s="22" t="s">
        <v>250</v>
      </c>
      <c r="O1036" s="20" t="s">
        <v>991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842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VLOOKUP(F1036,[2]Wait!$H$225:$I$260,2,0)</f>
        <v>#N/A</v>
      </c>
    </row>
    <row r="1037" spans="1:27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2700</v>
      </c>
      <c r="E1037" s="20" t="s">
        <v>26</v>
      </c>
      <c r="F1037" s="20" t="s">
        <v>3751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843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844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VLOOKUP(F1037,[2]Wait!$H$225:$I$260,2,0)</f>
        <v>#N/A</v>
      </c>
    </row>
    <row r="1038" spans="1:27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2701</v>
      </c>
      <c r="E1038" s="20" t="s">
        <v>26</v>
      </c>
      <c r="F1038" s="20" t="s">
        <v>3752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845</v>
      </c>
      <c r="M1038" s="20" t="s">
        <v>681</v>
      </c>
      <c r="N1038" s="22" t="s">
        <v>250</v>
      </c>
      <c r="O1038" s="20" t="s">
        <v>1013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846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VLOOKUP(F1038,[2]Wait!$H$225:$I$260,2,0)</f>
        <v>#N/A</v>
      </c>
    </row>
    <row r="1039" spans="1:27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2702</v>
      </c>
      <c r="E1039" s="20" t="s">
        <v>26</v>
      </c>
      <c r="F1039" s="20" t="s">
        <v>3752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VLOOKUP(F1039,[2]Wait!$H$225:$I$260,2,0)</f>
        <v>#N/A</v>
      </c>
    </row>
    <row r="1040" spans="1:27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2703</v>
      </c>
      <c r="E1040" s="20" t="s">
        <v>26</v>
      </c>
      <c r="F1040" s="20" t="s">
        <v>3753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847</v>
      </c>
      <c r="M1040" s="20" t="s">
        <v>681</v>
      </c>
      <c r="N1040" s="22" t="s">
        <v>250</v>
      </c>
      <c r="O1040" s="20" t="s">
        <v>955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VLOOKUP(F1040,[2]Wait!$H$225:$I$260,2,0)</f>
        <v>#N/A</v>
      </c>
    </row>
    <row r="1041" spans="1:27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2704</v>
      </c>
      <c r="E1041" s="20" t="s">
        <v>26</v>
      </c>
      <c r="F1041" s="20" t="s">
        <v>3754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848</v>
      </c>
      <c r="M1041" s="20" t="s">
        <v>681</v>
      </c>
      <c r="N1041" s="22" t="s">
        <v>250</v>
      </c>
      <c r="O1041" s="20" t="s">
        <v>961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VLOOKUP(F1041,[2]Wait!$H$225:$I$260,2,0)</f>
        <v>#N/A</v>
      </c>
    </row>
    <row r="1042" spans="1:27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2710</v>
      </c>
      <c r="E1042" s="20" t="s">
        <v>26</v>
      </c>
      <c r="F1042" s="20" t="s">
        <v>3755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851</v>
      </c>
      <c r="M1042" s="20" t="s">
        <v>681</v>
      </c>
      <c r="N1042" s="22" t="s">
        <v>250</v>
      </c>
      <c r="O1042" s="20" t="s">
        <v>955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VLOOKUP(F1042,[2]Wait!$H$225:$I$260,2,0)</f>
        <v>#N/A</v>
      </c>
    </row>
    <row r="1043" spans="1:27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2711</v>
      </c>
      <c r="E1043" s="20" t="s">
        <v>26</v>
      </c>
      <c r="F1043" s="20" t="s">
        <v>3756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852</v>
      </c>
      <c r="M1043" s="20" t="s">
        <v>681</v>
      </c>
      <c r="N1043" s="22" t="s">
        <v>250</v>
      </c>
      <c r="O1043" s="20" t="s">
        <v>1070</v>
      </c>
      <c r="P1043" s="20" t="s">
        <v>41</v>
      </c>
      <c r="Q1043" s="20" t="s">
        <v>42</v>
      </c>
      <c r="R1043" s="20" t="s">
        <v>2712</v>
      </c>
      <c r="S1043" s="20" t="s">
        <v>32</v>
      </c>
      <c r="T1043" s="20" t="s">
        <v>204</v>
      </c>
      <c r="U1043" s="20" t="s">
        <v>853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VLOOKUP(F1043,[2]Wait!$H$225:$I$260,2,0)</f>
        <v>#N/A</v>
      </c>
    </row>
    <row r="1044" spans="1:27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2713</v>
      </c>
      <c r="E1044" s="20" t="s">
        <v>26</v>
      </c>
      <c r="F1044" s="20" t="s">
        <v>3757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2714</v>
      </c>
      <c r="M1044" s="20" t="s">
        <v>681</v>
      </c>
      <c r="N1044" s="22" t="s">
        <v>250</v>
      </c>
      <c r="O1044" s="20" t="s">
        <v>955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2715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VLOOKUP(F1044,[2]Wait!$H$225:$I$260,2,0)</f>
        <v>#N/A</v>
      </c>
    </row>
    <row r="1045" spans="1:27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2716</v>
      </c>
      <c r="E1045" s="20" t="s">
        <v>26</v>
      </c>
      <c r="F1045" s="20" t="s">
        <v>3758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854</v>
      </c>
      <c r="M1045" s="20" t="s">
        <v>681</v>
      </c>
      <c r="N1045" s="22" t="s">
        <v>250</v>
      </c>
      <c r="O1045" s="20" t="s">
        <v>1070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691</v>
      </c>
      <c r="U1045" s="20" t="s">
        <v>855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VLOOKUP(F1045,[2]Wait!$H$225:$I$260,2,0)</f>
        <v>#N/A</v>
      </c>
    </row>
    <row r="1046" spans="1:27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2717</v>
      </c>
      <c r="E1046" s="20" t="s">
        <v>26</v>
      </c>
      <c r="F1046" s="20" t="s">
        <v>3759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2718</v>
      </c>
      <c r="M1046" s="20" t="s">
        <v>681</v>
      </c>
      <c r="N1046" s="22" t="s">
        <v>250</v>
      </c>
      <c r="O1046" s="20" t="s">
        <v>939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2719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VLOOKUP(F1046,[2]Wait!$H$225:$I$260,2,0)</f>
        <v>#N/A</v>
      </c>
    </row>
    <row r="1047" spans="1:27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2720</v>
      </c>
      <c r="E1047" s="20" t="s">
        <v>26</v>
      </c>
      <c r="F1047" s="20" t="s">
        <v>3760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2721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2722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VLOOKUP(F1047,[2]Wait!$H$225:$I$260,2,0)</f>
        <v>#N/A</v>
      </c>
    </row>
    <row r="1048" spans="1:27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2723</v>
      </c>
      <c r="E1048" s="20" t="s">
        <v>26</v>
      </c>
      <c r="F1048" s="20" t="s">
        <v>3761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858</v>
      </c>
      <c r="M1048" s="20" t="s">
        <v>681</v>
      </c>
      <c r="N1048" s="22" t="s">
        <v>250</v>
      </c>
      <c r="O1048" s="20" t="s">
        <v>961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859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VLOOKUP(F1048,[2]Wait!$H$225:$I$260,2,0)</f>
        <v>#N/A</v>
      </c>
    </row>
    <row r="1049" spans="1:27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2724</v>
      </c>
      <c r="E1049" s="20" t="s">
        <v>26</v>
      </c>
      <c r="F1049" s="20" t="s">
        <v>3762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861</v>
      </c>
      <c r="M1049" s="20" t="s">
        <v>681</v>
      </c>
      <c r="N1049" s="22" t="s">
        <v>250</v>
      </c>
      <c r="O1049" s="20" t="s">
        <v>1013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862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VLOOKUP(F1049,[2]Wait!$H$225:$I$260,2,0)</f>
        <v>#N/A</v>
      </c>
    </row>
    <row r="1050" spans="1:27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2725</v>
      </c>
      <c r="E1050" s="20" t="s">
        <v>26</v>
      </c>
      <c r="F1050" s="20" t="s">
        <v>3763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863</v>
      </c>
      <c r="M1050" s="20" t="s">
        <v>681</v>
      </c>
      <c r="N1050" s="22" t="s">
        <v>250</v>
      </c>
      <c r="O1050" s="20" t="s">
        <v>1013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864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VLOOKUP(F1050,[2]Wait!$H$225:$I$260,2,0)</f>
        <v>#N/A</v>
      </c>
    </row>
    <row r="1051" spans="1:27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2726</v>
      </c>
      <c r="E1051" s="20" t="s">
        <v>26</v>
      </c>
      <c r="F1051" s="20" t="s">
        <v>3764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865</v>
      </c>
      <c r="M1051" s="20" t="s">
        <v>681</v>
      </c>
      <c r="N1051" s="22" t="s">
        <v>250</v>
      </c>
      <c r="O1051" s="20" t="s">
        <v>1013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866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VLOOKUP(F1051,[2]Wait!$H$225:$I$260,2,0)</f>
        <v>#N/A</v>
      </c>
    </row>
    <row r="1052" spans="1:27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2727</v>
      </c>
      <c r="E1052" s="20" t="s">
        <v>26</v>
      </c>
      <c r="F1052" s="20" t="s">
        <v>3765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867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868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VLOOKUP(F1052,[2]Wait!$H$225:$I$260,2,0)</f>
        <v>#N/A</v>
      </c>
    </row>
    <row r="1053" spans="1:27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2728</v>
      </c>
      <c r="E1053" s="20" t="s">
        <v>26</v>
      </c>
      <c r="F1053" s="20" t="s">
        <v>3766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869</v>
      </c>
      <c r="M1053" s="20" t="s">
        <v>681</v>
      </c>
      <c r="N1053" s="22" t="s">
        <v>250</v>
      </c>
      <c r="O1053" s="20" t="s">
        <v>1013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870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VLOOKUP(F1053,[2]Wait!$H$225:$I$260,2,0)</f>
        <v>#N/A</v>
      </c>
    </row>
    <row r="1054" spans="1:27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2729</v>
      </c>
      <c r="E1054" s="20" t="s">
        <v>26</v>
      </c>
      <c r="F1054" s="20" t="s">
        <v>3767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2730</v>
      </c>
      <c r="M1054" s="20" t="s">
        <v>681</v>
      </c>
      <c r="N1054" s="22" t="s">
        <v>250</v>
      </c>
      <c r="O1054" s="20" t="s">
        <v>961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2731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VLOOKUP(F1054,[2]Wait!$H$225:$I$260,2,0)</f>
        <v>#N/A</v>
      </c>
    </row>
    <row r="1055" spans="1:27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2732</v>
      </c>
      <c r="E1055" s="20" t="s">
        <v>26</v>
      </c>
      <c r="F1055" s="20" t="s">
        <v>3768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2733</v>
      </c>
      <c r="M1055" s="20" t="s">
        <v>681</v>
      </c>
      <c r="N1055" s="22" t="s">
        <v>250</v>
      </c>
      <c r="O1055" s="20" t="s">
        <v>946</v>
      </c>
      <c r="P1055" s="20" t="s">
        <v>26</v>
      </c>
      <c r="Q1055" s="20" t="s">
        <v>26</v>
      </c>
      <c r="R1055" s="20" t="s">
        <v>603</v>
      </c>
      <c r="S1055" s="20" t="s">
        <v>32</v>
      </c>
      <c r="T1055" s="20" t="s">
        <v>38</v>
      </c>
      <c r="U1055" s="20" t="s">
        <v>2149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VLOOKUP(F1055,[2]Wait!$H$225:$I$260,2,0)</f>
        <v>#N/A</v>
      </c>
    </row>
    <row r="1056" spans="1:27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2737</v>
      </c>
      <c r="E1056" s="20" t="s">
        <v>26</v>
      </c>
      <c r="F1056" s="20" t="s">
        <v>3769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2738</v>
      </c>
      <c r="M1056" s="20" t="s">
        <v>681</v>
      </c>
      <c r="N1056" s="22" t="s">
        <v>250</v>
      </c>
      <c r="O1056" s="20" t="s">
        <v>949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1536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VLOOKUP(F1056,[2]Wait!$H$225:$I$260,2,0)</f>
        <v>#N/A</v>
      </c>
    </row>
    <row r="1057" spans="1:27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2739</v>
      </c>
      <c r="E1057" s="20" t="s">
        <v>26</v>
      </c>
      <c r="F1057" s="20" t="s">
        <v>3770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2740</v>
      </c>
      <c r="M1057" s="20" t="s">
        <v>681</v>
      </c>
      <c r="N1057" s="22" t="s">
        <v>250</v>
      </c>
      <c r="O1057" s="20" t="s">
        <v>949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1536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VLOOKUP(F1057,[2]Wait!$H$225:$I$260,2,0)</f>
        <v>#N/A</v>
      </c>
    </row>
    <row r="1058" spans="1:27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2743</v>
      </c>
      <c r="E1058" s="20" t="s">
        <v>26</v>
      </c>
      <c r="F1058" s="20" t="s">
        <v>3771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2744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2435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VLOOKUP(F1058,[2]Wait!$H$225:$I$260,2,0)</f>
        <v>#N/A</v>
      </c>
    </row>
    <row r="1059" spans="1:27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2747</v>
      </c>
      <c r="E1059" s="20" t="s">
        <v>26</v>
      </c>
      <c r="F1059" s="20" t="s">
        <v>3772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874</v>
      </c>
      <c r="M1059" s="20" t="s">
        <v>681</v>
      </c>
      <c r="N1059" s="22" t="s">
        <v>250</v>
      </c>
      <c r="O1059" s="20" t="s">
        <v>1013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875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VLOOKUP(F1059,[2]Wait!$H$225:$I$260,2,0)</f>
        <v>#N/A</v>
      </c>
    </row>
    <row r="1060" spans="1:27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2748</v>
      </c>
      <c r="E1060" s="20" t="s">
        <v>26</v>
      </c>
      <c r="F1060" s="20" t="s">
        <v>3773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2749</v>
      </c>
      <c r="M1060" s="20" t="s">
        <v>681</v>
      </c>
      <c r="N1060" s="22" t="s">
        <v>250</v>
      </c>
      <c r="O1060" s="20" t="s">
        <v>1070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2435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VLOOKUP(F1060,[2]Wait!$H$225:$I$260,2,0)</f>
        <v>#N/A</v>
      </c>
    </row>
    <row r="1061" spans="1:27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2750</v>
      </c>
      <c r="E1061" s="20" t="s">
        <v>26</v>
      </c>
      <c r="F1061" s="20" t="s">
        <v>3774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876</v>
      </c>
      <c r="M1061" s="20" t="s">
        <v>681</v>
      </c>
      <c r="N1061" s="22" t="s">
        <v>250</v>
      </c>
      <c r="O1061" s="20" t="s">
        <v>955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877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VLOOKUP(F1061,[2]Wait!$H$225:$I$260,2,0)</f>
        <v>#N/A</v>
      </c>
    </row>
    <row r="1062" spans="1:27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2751</v>
      </c>
      <c r="E1062" s="20" t="s">
        <v>26</v>
      </c>
      <c r="F1062" s="20" t="s">
        <v>3775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2752</v>
      </c>
      <c r="M1062" s="20" t="s">
        <v>681</v>
      </c>
      <c r="N1062" s="22" t="s">
        <v>250</v>
      </c>
      <c r="O1062" s="20" t="s">
        <v>1013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2753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VLOOKUP(F1062,[2]Wait!$H$225:$I$260,2,0)</f>
        <v>#N/A</v>
      </c>
    </row>
    <row r="1063" spans="1:27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2754</v>
      </c>
      <c r="E1063" s="20" t="s">
        <v>26</v>
      </c>
      <c r="F1063" s="20" t="s">
        <v>3776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880</v>
      </c>
      <c r="M1063" s="20" t="s">
        <v>681</v>
      </c>
      <c r="N1063" s="22" t="s">
        <v>250</v>
      </c>
      <c r="O1063" s="20" t="s">
        <v>961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881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VLOOKUP(F1063,[2]Wait!$H$225:$I$260,2,0)</f>
        <v>#N/A</v>
      </c>
    </row>
    <row r="1064" spans="1:27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2755</v>
      </c>
      <c r="E1064" s="20" t="s">
        <v>26</v>
      </c>
      <c r="F1064" s="20" t="s">
        <v>3777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882</v>
      </c>
      <c r="M1064" s="20" t="s">
        <v>681</v>
      </c>
      <c r="N1064" s="22" t="s">
        <v>250</v>
      </c>
      <c r="O1064" s="20" t="s">
        <v>991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883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VLOOKUP(F1064,[2]Wait!$H$225:$I$260,2,0)</f>
        <v>#N/A</v>
      </c>
    </row>
    <row r="1065" spans="1:27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2756</v>
      </c>
      <c r="E1065" s="20" t="s">
        <v>26</v>
      </c>
      <c r="F1065" s="20" t="s">
        <v>3778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884</v>
      </c>
      <c r="M1065" s="20" t="s">
        <v>681</v>
      </c>
      <c r="N1065" s="22" t="s">
        <v>250</v>
      </c>
      <c r="O1065" s="20" t="s">
        <v>991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883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VLOOKUP(F1065,[2]Wait!$H$225:$I$260,2,0)</f>
        <v>#N/A</v>
      </c>
    </row>
    <row r="1066" spans="1:27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2757</v>
      </c>
      <c r="E1066" s="20" t="s">
        <v>26</v>
      </c>
      <c r="F1066" s="20" t="s">
        <v>3779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885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VLOOKUP(F1066,[2]Wait!$H$225:$I$260,2,0)</f>
        <v>#N/A</v>
      </c>
    </row>
    <row r="1067" spans="1:27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2758</v>
      </c>
      <c r="E1067" s="20" t="s">
        <v>26</v>
      </c>
      <c r="F1067" s="20" t="s">
        <v>3780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886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VLOOKUP(F1067,[2]Wait!$H$225:$I$260,2,0)</f>
        <v>#N/A</v>
      </c>
    </row>
    <row r="1068" spans="1:27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2759</v>
      </c>
      <c r="E1068" s="20" t="s">
        <v>26</v>
      </c>
      <c r="F1068" s="20" t="s">
        <v>3781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2760</v>
      </c>
      <c r="M1068" s="20" t="s">
        <v>681</v>
      </c>
      <c r="N1068" s="22" t="s">
        <v>250</v>
      </c>
      <c r="O1068" s="20" t="s">
        <v>955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2761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VLOOKUP(F1068,[2]Wait!$H$225:$I$260,2,0)</f>
        <v>#N/A</v>
      </c>
    </row>
    <row r="1069" spans="1:27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2762</v>
      </c>
      <c r="E1069" s="20" t="s">
        <v>26</v>
      </c>
      <c r="F1069" s="20" t="s">
        <v>3782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2763</v>
      </c>
      <c r="M1069" s="20" t="s">
        <v>681</v>
      </c>
      <c r="N1069" s="22" t="s">
        <v>250</v>
      </c>
      <c r="O1069" s="20" t="s">
        <v>955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2761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VLOOKUP(F1069,[2]Wait!$H$225:$I$260,2,0)</f>
        <v>#N/A</v>
      </c>
    </row>
    <row r="1070" spans="1:27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2764</v>
      </c>
      <c r="E1070" s="20" t="s">
        <v>2765</v>
      </c>
      <c r="F1070" s="20" t="s">
        <v>3783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888</v>
      </c>
      <c r="M1070" s="20" t="s">
        <v>681</v>
      </c>
      <c r="N1070" s="22" t="s">
        <v>250</v>
      </c>
      <c r="O1070" s="20" t="s">
        <v>1044</v>
      </c>
      <c r="P1070" s="20" t="s">
        <v>41</v>
      </c>
      <c r="Q1070" s="20" t="s">
        <v>42</v>
      </c>
      <c r="R1070" s="20" t="s">
        <v>889</v>
      </c>
      <c r="S1070" s="20" t="s">
        <v>32</v>
      </c>
      <c r="T1070" s="20" t="s">
        <v>195</v>
      </c>
      <c r="U1070" s="20" t="s">
        <v>890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VLOOKUP(F1070,[2]Wait!$H$225:$I$260,2,0)</f>
        <v>#N/A</v>
      </c>
    </row>
    <row r="1071" spans="1:27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2768</v>
      </c>
      <c r="E1071" s="20" t="s">
        <v>2769</v>
      </c>
      <c r="F1071" s="20" t="s">
        <v>3784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893</v>
      </c>
      <c r="M1071" s="20" t="s">
        <v>681</v>
      </c>
      <c r="N1071" s="22" t="s">
        <v>250</v>
      </c>
      <c r="O1071" s="20" t="s">
        <v>1044</v>
      </c>
      <c r="P1071" s="20" t="s">
        <v>41</v>
      </c>
      <c r="Q1071" s="20" t="s">
        <v>42</v>
      </c>
      <c r="R1071" s="20" t="s">
        <v>894</v>
      </c>
      <c r="S1071" s="20" t="s">
        <v>32</v>
      </c>
      <c r="T1071" s="20" t="s">
        <v>195</v>
      </c>
      <c r="U1071" s="20" t="s">
        <v>895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VLOOKUP(F1071,[2]Wait!$H$225:$I$260,2,0)</f>
        <v>#N/A</v>
      </c>
    </row>
    <row r="1072" spans="1:27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2642</v>
      </c>
      <c r="E1072" s="20" t="s">
        <v>2643</v>
      </c>
      <c r="F1072" s="20" t="s">
        <v>2643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2644</v>
      </c>
      <c r="M1072" s="20" t="s">
        <v>681</v>
      </c>
      <c r="N1072" s="22" t="s">
        <v>250</v>
      </c>
      <c r="O1072" s="20" t="s">
        <v>1044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VLOOKUP(F1072,[2]Wait!$H$225:$I$260,2,0)</f>
        <v>#N/A</v>
      </c>
    </row>
    <row r="1073" spans="1:27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3785</v>
      </c>
      <c r="E1073" s="20" t="s">
        <v>3786</v>
      </c>
      <c r="F1073" s="20" t="s">
        <v>3786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3787</v>
      </c>
      <c r="M1073" s="20" t="s">
        <v>681</v>
      </c>
      <c r="N1073" s="22" t="s">
        <v>250</v>
      </c>
      <c r="O1073" s="20" t="s">
        <v>1044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VLOOKUP(F1073,[2]Wait!$H$225:$I$260,2,0)</f>
        <v>#N/A</v>
      </c>
    </row>
    <row r="1074" spans="1:27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2772</v>
      </c>
      <c r="E1074" s="20" t="s">
        <v>2773</v>
      </c>
      <c r="F1074" s="20" t="s">
        <v>2773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2774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VLOOKUP(F1074,[2]Wait!$H$225:$I$260,2,0)</f>
        <v>#N/A</v>
      </c>
    </row>
    <row r="1075" spans="1:27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2775</v>
      </c>
      <c r="E1075" s="20" t="s">
        <v>2773</v>
      </c>
      <c r="F1075" s="20" t="s">
        <v>2773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2774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VLOOKUP(F1075,[2]Wait!$H$225:$I$260,2,0)</f>
        <v>#N/A</v>
      </c>
    </row>
    <row r="1076" spans="1:27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2776</v>
      </c>
      <c r="E1076" s="20" t="s">
        <v>2777</v>
      </c>
      <c r="F1076" s="20" t="s">
        <v>2777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VLOOKUP(F1076,[2]Wait!$H$225:$I$260,2,0)</f>
        <v>#N/A</v>
      </c>
    </row>
    <row r="1077" spans="1:27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2954</v>
      </c>
      <c r="E1077" s="20" t="s">
        <v>2955</v>
      </c>
      <c r="F1077" s="20" t="s">
        <v>2955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2956</v>
      </c>
      <c r="M1077" s="20" t="s">
        <v>2957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VLOOKUP(F1077,[2]Wait!$H$225:$I$260,2,0)</f>
        <v>#N/A</v>
      </c>
    </row>
    <row r="1078" spans="1:27" x14ac:dyDescent="0.25">
      <c r="A1078" s="9">
        <f t="shared" si="16"/>
        <v>1071</v>
      </c>
      <c r="B1078" s="19" t="s">
        <v>926</v>
      </c>
      <c r="C1078" s="20" t="s">
        <v>2601</v>
      </c>
      <c r="D1078" s="20" t="s">
        <v>2602</v>
      </c>
      <c r="E1078" s="20" t="s">
        <v>2603</v>
      </c>
      <c r="F1078" s="20" t="s">
        <v>3788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2604</v>
      </c>
      <c r="M1078" s="20" t="s">
        <v>270</v>
      </c>
      <c r="N1078" s="22" t="s">
        <v>250</v>
      </c>
      <c r="O1078" s="20" t="s">
        <v>1193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685</v>
      </c>
      <c r="U1078" s="20" t="s">
        <v>2605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VLOOKUP(F1078,[2]Wait!$H$225:$I$260,2,0)</f>
        <v>#N/A</v>
      </c>
    </row>
    <row r="1079" spans="1:27" x14ac:dyDescent="0.25">
      <c r="A1079" s="9">
        <f t="shared" si="16"/>
        <v>1072</v>
      </c>
      <c r="B1079" s="19" t="s">
        <v>926</v>
      </c>
      <c r="C1079" s="20" t="s">
        <v>2601</v>
      </c>
      <c r="D1079" s="20" t="s">
        <v>2606</v>
      </c>
      <c r="E1079" s="20" t="s">
        <v>2603</v>
      </c>
      <c r="F1079" s="20" t="s">
        <v>3788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2604</v>
      </c>
      <c r="M1079" s="20" t="s">
        <v>270</v>
      </c>
      <c r="N1079" s="22" t="s">
        <v>250</v>
      </c>
      <c r="O1079" s="20" t="s">
        <v>1193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685</v>
      </c>
      <c r="U1079" s="20" t="s">
        <v>2605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VLOOKUP(F1079,[2]Wait!$H$225:$I$260,2,0)</f>
        <v>#N/A</v>
      </c>
    </row>
    <row r="1080" spans="1:27" x14ac:dyDescent="0.25">
      <c r="A1080" s="9">
        <f t="shared" si="16"/>
        <v>1073</v>
      </c>
      <c r="B1080" s="19" t="s">
        <v>926</v>
      </c>
      <c r="C1080" s="20" t="s">
        <v>927</v>
      </c>
      <c r="D1080" s="20" t="s">
        <v>2624</v>
      </c>
      <c r="E1080" s="20" t="s">
        <v>26</v>
      </c>
      <c r="F1080" s="20" t="s">
        <v>3789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806</v>
      </c>
      <c r="M1080" s="20" t="s">
        <v>270</v>
      </c>
      <c r="N1080" s="22" t="s">
        <v>250</v>
      </c>
      <c r="O1080" s="20" t="s">
        <v>1070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807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VLOOKUP(F1080,[2]Wait!$H$225:$I$260,2,0)</f>
        <v>#N/A</v>
      </c>
    </row>
    <row r="1081" spans="1:27" x14ac:dyDescent="0.25">
      <c r="A1081" s="9">
        <f t="shared" si="16"/>
        <v>1074</v>
      </c>
      <c r="B1081" s="19" t="s">
        <v>926</v>
      </c>
      <c r="C1081" s="20" t="s">
        <v>927</v>
      </c>
      <c r="D1081" s="20" t="s">
        <v>2633</v>
      </c>
      <c r="E1081" s="20" t="s">
        <v>2634</v>
      </c>
      <c r="F1081" s="20" t="s">
        <v>2634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2635</v>
      </c>
      <c r="M1081" s="20" t="s">
        <v>270</v>
      </c>
      <c r="N1081" s="22" t="s">
        <v>250</v>
      </c>
      <c r="O1081" s="20" t="s">
        <v>1044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VLOOKUP(F1081,[2]Wait!$H$225:$I$260,2,0)</f>
        <v>#N/A</v>
      </c>
    </row>
    <row r="1082" spans="1:27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2793</v>
      </c>
      <c r="E1082" s="20" t="s">
        <v>2794</v>
      </c>
      <c r="F1082" s="20" t="s">
        <v>2794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2795</v>
      </c>
      <c r="M1082" s="20" t="s">
        <v>270</v>
      </c>
      <c r="N1082" s="22" t="s">
        <v>250</v>
      </c>
      <c r="O1082" s="20" t="s">
        <v>1044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VLOOKUP(F1082,[2]Wait!$H$225:$I$260,2,0)</f>
        <v>#N/A</v>
      </c>
    </row>
    <row r="1083" spans="1:27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2796</v>
      </c>
      <c r="E1083" s="20" t="s">
        <v>2797</v>
      </c>
      <c r="F1083" s="20" t="s">
        <v>2797</v>
      </c>
      <c r="G1083" s="20" t="s">
        <v>194</v>
      </c>
      <c r="H1083" s="20" t="s">
        <v>26</v>
      </c>
      <c r="I1083" s="21">
        <v>46258</v>
      </c>
      <c r="J1083" s="20" t="s">
        <v>2798</v>
      </c>
      <c r="K1083" s="20" t="s">
        <v>28</v>
      </c>
      <c r="L1083" s="20" t="s">
        <v>2799</v>
      </c>
      <c r="M1083" s="20" t="s">
        <v>270</v>
      </c>
      <c r="N1083" s="22" t="s">
        <v>250</v>
      </c>
      <c r="O1083" s="20" t="s">
        <v>1044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VLOOKUP(F1083,[2]Wait!$H$225:$I$260,2,0)</f>
        <v>#N/A</v>
      </c>
    </row>
    <row r="1084" spans="1:27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2800</v>
      </c>
      <c r="E1084" s="20" t="s">
        <v>2797</v>
      </c>
      <c r="F1084" s="20" t="s">
        <v>2797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2799</v>
      </c>
      <c r="M1084" s="20" t="s">
        <v>270</v>
      </c>
      <c r="N1084" s="22" t="s">
        <v>250</v>
      </c>
      <c r="O1084" s="20" t="s">
        <v>1044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VLOOKUP(F1084,[2]Wait!$H$225:$I$260,2,0)</f>
        <v>#N/A</v>
      </c>
    </row>
    <row r="1085" spans="1:27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2830</v>
      </c>
      <c r="E1085" s="20" t="s">
        <v>2831</v>
      </c>
      <c r="F1085" s="20" t="s">
        <v>2831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2832</v>
      </c>
      <c r="M1085" s="20" t="s">
        <v>270</v>
      </c>
      <c r="N1085" s="22" t="s">
        <v>250</v>
      </c>
      <c r="O1085" s="20" t="s">
        <v>1044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VLOOKUP(F1085,[2]Wait!$H$225:$I$260,2,0)</f>
        <v>#N/A</v>
      </c>
    </row>
    <row r="1086" spans="1:27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2833</v>
      </c>
      <c r="E1086" s="20" t="s">
        <v>2831</v>
      </c>
      <c r="F1086" s="20" t="s">
        <v>2831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2832</v>
      </c>
      <c r="M1086" s="20" t="s">
        <v>270</v>
      </c>
      <c r="N1086" s="22" t="s">
        <v>250</v>
      </c>
      <c r="O1086" s="20" t="s">
        <v>1044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VLOOKUP(F1086,[2]Wait!$H$225:$I$260,2,0)</f>
        <v>#N/A</v>
      </c>
    </row>
    <row r="1087" spans="1:27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2834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VLOOKUP(F1087,[2]Wait!$H$225:$I$260,2,0)</f>
        <v>#N/A</v>
      </c>
    </row>
    <row r="1088" spans="1:27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2835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684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VLOOKUP(F1088,[2]Wait!$H$225:$I$260,2,0)</f>
        <v>#N/A</v>
      </c>
    </row>
    <row r="1089" spans="1:27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2801</v>
      </c>
      <c r="E1089" s="20" t="s">
        <v>2802</v>
      </c>
      <c r="F1089" s="20" t="s">
        <v>2802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2803</v>
      </c>
      <c r="M1089" s="20" t="s">
        <v>270</v>
      </c>
      <c r="N1089" s="22" t="s">
        <v>250</v>
      </c>
      <c r="O1089" s="20" t="s">
        <v>1044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VLOOKUP(F1089,[2]Wait!$H$225:$I$260,2,0)</f>
        <v>#N/A</v>
      </c>
    </row>
    <row r="1090" spans="1:27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2804</v>
      </c>
      <c r="E1090" s="20" t="s">
        <v>2802</v>
      </c>
      <c r="F1090" s="20" t="s">
        <v>2802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2803</v>
      </c>
      <c r="M1090" s="20" t="s">
        <v>270</v>
      </c>
      <c r="N1090" s="22" t="s">
        <v>250</v>
      </c>
      <c r="O1090" s="20" t="s">
        <v>1044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VLOOKUP(F1090,[2]Wait!$H$225:$I$260,2,0)</f>
        <v>#N/A</v>
      </c>
    </row>
    <row r="1091" spans="1:27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2805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VLOOKUP(F1091,[2]Wait!$H$225:$I$260,2,0)</f>
        <v>#N/A</v>
      </c>
    </row>
    <row r="1092" spans="1:27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2806</v>
      </c>
      <c r="E1092" s="20" t="s">
        <v>2807</v>
      </c>
      <c r="F1092" s="20" t="s">
        <v>2807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2808</v>
      </c>
      <c r="M1092" s="20" t="s">
        <v>270</v>
      </c>
      <c r="N1092" s="22" t="s">
        <v>250</v>
      </c>
      <c r="O1092" s="20" t="s">
        <v>1044</v>
      </c>
      <c r="P1092" s="20" t="s">
        <v>26</v>
      </c>
      <c r="Q1092" s="20" t="s">
        <v>26</v>
      </c>
      <c r="R1092" s="20" t="s">
        <v>26</v>
      </c>
      <c r="S1092" s="20" t="s">
        <v>683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VLOOKUP(F1092,[2]Wait!$H$225:$I$260,2,0)</f>
        <v>#N/A</v>
      </c>
    </row>
    <row r="1093" spans="1:27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2809</v>
      </c>
      <c r="E1093" s="20" t="s">
        <v>2807</v>
      </c>
      <c r="F1093" s="20" t="s">
        <v>2807</v>
      </c>
      <c r="G1093" s="20" t="s">
        <v>194</v>
      </c>
      <c r="H1093" s="20" t="s">
        <v>26</v>
      </c>
      <c r="I1093" s="21">
        <v>46258</v>
      </c>
      <c r="J1093" s="20" t="s">
        <v>683</v>
      </c>
      <c r="K1093" s="20" t="s">
        <v>58</v>
      </c>
      <c r="L1093" s="20" t="s">
        <v>2808</v>
      </c>
      <c r="M1093" s="20" t="s">
        <v>270</v>
      </c>
      <c r="N1093" s="22" t="s">
        <v>250</v>
      </c>
      <c r="O1093" s="20" t="s">
        <v>1044</v>
      </c>
      <c r="P1093" s="20" t="s">
        <v>26</v>
      </c>
      <c r="Q1093" s="20" t="s">
        <v>26</v>
      </c>
      <c r="R1093" s="20" t="s">
        <v>26</v>
      </c>
      <c r="S1093" s="20" t="s">
        <v>683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VLOOKUP(F1093,[2]Wait!$H$225:$I$260,2,0)</f>
        <v>#N/A</v>
      </c>
    </row>
    <row r="1094" spans="1:27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3790</v>
      </c>
      <c r="E1094" s="20" t="s">
        <v>3791</v>
      </c>
      <c r="F1094" s="20" t="s">
        <v>3791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3792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922</v>
      </c>
      <c r="Y1094" s="21">
        <v>46297</v>
      </c>
      <c r="Z1094" s="20" t="s">
        <v>226</v>
      </c>
      <c r="AA1094" s="17" t="e">
        <f>VLOOKUP(F1094,[2]Wait!$H$225:$I$260,2,0)</f>
        <v>#N/A</v>
      </c>
    </row>
    <row r="1095" spans="1:27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2810</v>
      </c>
      <c r="E1095" s="20" t="s">
        <v>2811</v>
      </c>
      <c r="F1095" s="20" t="s">
        <v>3793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2812</v>
      </c>
      <c r="M1095" s="20" t="s">
        <v>266</v>
      </c>
      <c r="N1095" s="22" t="s">
        <v>250</v>
      </c>
      <c r="O1095" s="20" t="s">
        <v>1044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2813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VLOOKUP(F1095,[2]Wait!$H$225:$I$260,2,0)</f>
        <v>#N/A</v>
      </c>
    </row>
    <row r="1096" spans="1:27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2814</v>
      </c>
      <c r="E1096" s="20" t="s">
        <v>2811</v>
      </c>
      <c r="F1096" s="20" t="s">
        <v>3793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VLOOKUP(F1096,[2]Wait!$H$225:$I$260,2,0)</f>
        <v>#N/A</v>
      </c>
    </row>
    <row r="1097" spans="1:27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2674</v>
      </c>
      <c r="E1097" s="20" t="s">
        <v>26</v>
      </c>
      <c r="F1097" s="20" t="s">
        <v>3794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818</v>
      </c>
      <c r="M1097" s="20" t="s">
        <v>266</v>
      </c>
      <c r="N1097" s="22" t="s">
        <v>250</v>
      </c>
      <c r="O1097" s="20" t="s">
        <v>1070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690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VLOOKUP(F1097,[2]Wait!$H$225:$I$260,2,0)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926</v>
      </c>
      <c r="C1098" s="20" t="s">
        <v>927</v>
      </c>
      <c r="D1098" s="20" t="s">
        <v>2815</v>
      </c>
      <c r="E1098" s="20" t="s">
        <v>26</v>
      </c>
      <c r="F1098" s="20" t="s">
        <v>3795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898</v>
      </c>
      <c r="M1098" s="20" t="s">
        <v>266</v>
      </c>
      <c r="N1098" s="22" t="s">
        <v>250</v>
      </c>
      <c r="O1098" s="20" t="s">
        <v>955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899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VLOOKUP(F1098,[2]Wait!$H$225:$I$260,2,0)</f>
        <v>#N/A</v>
      </c>
    </row>
    <row r="1099" spans="1:27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2816</v>
      </c>
      <c r="E1099" s="20" t="s">
        <v>26</v>
      </c>
      <c r="F1099" s="20" t="s">
        <v>3796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2817</v>
      </c>
      <c r="M1099" s="20" t="s">
        <v>266</v>
      </c>
      <c r="N1099" s="22" t="s">
        <v>250</v>
      </c>
      <c r="O1099" s="20" t="s">
        <v>955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2818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VLOOKUP(F1099,[2]Wait!$H$225:$I$260,2,0)</f>
        <v>#N/A</v>
      </c>
    </row>
    <row r="1100" spans="1:27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2705</v>
      </c>
      <c r="E1100" s="20" t="s">
        <v>26</v>
      </c>
      <c r="F1100" s="20" t="s">
        <v>3797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849</v>
      </c>
      <c r="M1100" s="20" t="s">
        <v>266</v>
      </c>
      <c r="N1100" s="22" t="s">
        <v>250</v>
      </c>
      <c r="O1100" s="20" t="s">
        <v>1013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3798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VLOOKUP(F1100,[2]Wait!$H$225:$I$260,2,0)</f>
        <v>#N/A</v>
      </c>
    </row>
    <row r="1101" spans="1:27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2706</v>
      </c>
      <c r="E1101" s="20" t="s">
        <v>26</v>
      </c>
      <c r="F1101" s="20" t="s">
        <v>3797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3798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VLOOKUP(F1101,[2]Wait!$H$225:$I$260,2,0)</f>
        <v>#N/A</v>
      </c>
    </row>
    <row r="1102" spans="1:27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2819</v>
      </c>
      <c r="E1102" s="20" t="s">
        <v>26</v>
      </c>
      <c r="F1102" s="20" t="s">
        <v>3799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860</v>
      </c>
      <c r="M1102" s="20" t="s">
        <v>266</v>
      </c>
      <c r="N1102" s="22" t="s">
        <v>250</v>
      </c>
      <c r="O1102" s="20" t="s">
        <v>961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859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VLOOKUP(F1102,[2]Wait!$H$225:$I$260,2,0)</f>
        <v>#N/A</v>
      </c>
    </row>
    <row r="1103" spans="1:27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2734</v>
      </c>
      <c r="E1103" s="20" t="s">
        <v>26</v>
      </c>
      <c r="F1103" s="20" t="s">
        <v>3800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2735</v>
      </c>
      <c r="M1103" s="20" t="s">
        <v>266</v>
      </c>
      <c r="N1103" s="22" t="s">
        <v>250</v>
      </c>
      <c r="O1103" s="20" t="s">
        <v>946</v>
      </c>
      <c r="P1103" s="20" t="s">
        <v>26</v>
      </c>
      <c r="Q1103" s="20" t="s">
        <v>26</v>
      </c>
      <c r="R1103" s="20" t="s">
        <v>603</v>
      </c>
      <c r="S1103" s="20" t="s">
        <v>32</v>
      </c>
      <c r="T1103" s="20" t="s">
        <v>38</v>
      </c>
      <c r="U1103" s="20" t="s">
        <v>925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VLOOKUP(F1103,[2]Wait!$H$225:$I$260,2,0)</f>
        <v>#N/A</v>
      </c>
    </row>
    <row r="1104" spans="1:27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2741</v>
      </c>
      <c r="E1104" s="20" t="s">
        <v>26</v>
      </c>
      <c r="F1104" s="20" t="s">
        <v>3801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2742</v>
      </c>
      <c r="M1104" s="20" t="s">
        <v>266</v>
      </c>
      <c r="N1104" s="22" t="s">
        <v>250</v>
      </c>
      <c r="O1104" s="20" t="s">
        <v>1070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2435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VLOOKUP(F1104,[2]Wait!$H$225:$I$260,2,0)</f>
        <v>#N/A</v>
      </c>
    </row>
    <row r="1105" spans="1:27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2766</v>
      </c>
      <c r="E1105" s="20" t="s">
        <v>26</v>
      </c>
      <c r="F1105" s="20" t="s">
        <v>3802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891</v>
      </c>
      <c r="M1105" s="20" t="s">
        <v>266</v>
      </c>
      <c r="N1105" s="22" t="s">
        <v>250</v>
      </c>
      <c r="O1105" s="20" t="s">
        <v>949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892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VLOOKUP(F1105,[2]Wait!$H$225:$I$260,2,0)</f>
        <v>#N/A</v>
      </c>
    </row>
    <row r="1106" spans="1:27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2767</v>
      </c>
      <c r="E1106" s="20" t="s">
        <v>26</v>
      </c>
      <c r="F1106" s="20" t="s">
        <v>3802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VLOOKUP(F1106,[2]Wait!$H$225:$I$260,2,0)</f>
        <v>#N/A</v>
      </c>
    </row>
    <row r="1107" spans="1:27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2822</v>
      </c>
      <c r="E1107" s="20" t="s">
        <v>2823</v>
      </c>
      <c r="F1107" s="20" t="s">
        <v>3803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923</v>
      </c>
      <c r="M1107" s="20" t="s">
        <v>266</v>
      </c>
      <c r="N1107" s="22" t="s">
        <v>250</v>
      </c>
      <c r="O1107" s="20" t="s">
        <v>1727</v>
      </c>
      <c r="P1107" s="20" t="s">
        <v>613</v>
      </c>
      <c r="Q1107" s="20" t="s">
        <v>614</v>
      </c>
      <c r="R1107" s="20" t="s">
        <v>54</v>
      </c>
      <c r="S1107" s="20" t="s">
        <v>32</v>
      </c>
      <c r="T1107" s="20" t="s">
        <v>685</v>
      </c>
      <c r="U1107" s="20" t="s">
        <v>924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VLOOKUP(F1107,[2]Wait!$H$225:$I$260,2,0)</f>
        <v>#N/A</v>
      </c>
    </row>
    <row r="1108" spans="1:27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2824</v>
      </c>
      <c r="E1108" s="20" t="s">
        <v>2825</v>
      </c>
      <c r="F1108" s="20" t="s">
        <v>2825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2826</v>
      </c>
      <c r="M1108" s="20" t="s">
        <v>266</v>
      </c>
      <c r="N1108" s="22" t="s">
        <v>250</v>
      </c>
      <c r="O1108" s="20" t="s">
        <v>1044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VLOOKUP(F1108,[2]Wait!$H$225:$I$260,2,0)</f>
        <v>#N/A</v>
      </c>
    </row>
    <row r="1109" spans="1:27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2827</v>
      </c>
      <c r="E1109" s="20" t="s">
        <v>2828</v>
      </c>
      <c r="F1109" s="20" t="s">
        <v>2828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2829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VLOOKUP(F1109,[2]Wait!$H$225:$I$260,2,0)</f>
        <v>#N/A</v>
      </c>
    </row>
    <row r="1110" spans="1:27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2836</v>
      </c>
      <c r="E1110" s="20" t="s">
        <v>2837</v>
      </c>
      <c r="F1110" s="20" t="s">
        <v>2837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2838</v>
      </c>
      <c r="M1110" s="20" t="s">
        <v>266</v>
      </c>
      <c r="N1110" s="22" t="s">
        <v>250</v>
      </c>
      <c r="O1110" s="20" t="s">
        <v>1044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VLOOKUP(F1110,[2]Wait!$H$225:$I$260,2,0)</f>
        <v>#N/A</v>
      </c>
    </row>
    <row r="1111" spans="1:27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2839</v>
      </c>
      <c r="E1111" s="20" t="s">
        <v>2837</v>
      </c>
      <c r="F1111" s="20" t="s">
        <v>2837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2838</v>
      </c>
      <c r="M1111" s="20" t="s">
        <v>266</v>
      </c>
      <c r="N1111" s="22" t="s">
        <v>250</v>
      </c>
      <c r="O1111" s="20" t="s">
        <v>1044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VLOOKUP(F1111,[2]Wait!$H$225:$I$260,2,0)</f>
        <v>#N/A</v>
      </c>
    </row>
    <row r="1112" spans="1:27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2999</v>
      </c>
      <c r="E1112" s="20" t="s">
        <v>3000</v>
      </c>
      <c r="F1112" s="20" t="s">
        <v>3000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3001</v>
      </c>
      <c r="M1112" s="20" t="s">
        <v>266</v>
      </c>
      <c r="N1112" s="22" t="s">
        <v>250</v>
      </c>
      <c r="O1112" s="20" t="s">
        <v>1044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VLOOKUP(F1112,[2]Wait!$H$225:$I$260,2,0)</f>
        <v>#N/A</v>
      </c>
    </row>
    <row r="1113" spans="1:27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2008</v>
      </c>
      <c r="E1113" s="20" t="s">
        <v>26</v>
      </c>
      <c r="F1113" s="20" t="s">
        <v>3804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2009</v>
      </c>
      <c r="M1113" s="20" t="s">
        <v>2841</v>
      </c>
      <c r="N1113" s="22" t="s">
        <v>250</v>
      </c>
      <c r="O1113" s="20" t="s">
        <v>1013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2010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VLOOKUP(F1113,[2]Wait!$H$225:$I$260,2,0)</f>
        <v>#N/A</v>
      </c>
    </row>
    <row r="1114" spans="1:27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2842</v>
      </c>
      <c r="E1114" s="20" t="s">
        <v>26</v>
      </c>
      <c r="F1114" s="20" t="s">
        <v>3805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2841</v>
      </c>
      <c r="N1114" s="22" t="s">
        <v>250</v>
      </c>
      <c r="O1114" s="20" t="s">
        <v>1013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VLOOKUP(F1114,[2]Wait!$H$225:$I$260,2,0)</f>
        <v>#N/A</v>
      </c>
    </row>
    <row r="1115" spans="1:27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2015</v>
      </c>
      <c r="E1115" s="20" t="s">
        <v>26</v>
      </c>
      <c r="F1115" s="20" t="s">
        <v>3806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2016</v>
      </c>
      <c r="M1115" s="20" t="s">
        <v>2841</v>
      </c>
      <c r="N1115" s="22" t="s">
        <v>250</v>
      </c>
      <c r="O1115" s="20" t="s">
        <v>939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2017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VLOOKUP(F1115,[2]Wait!$H$225:$I$260,2,0)</f>
        <v>#N/A</v>
      </c>
    </row>
    <row r="1116" spans="1:27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2847</v>
      </c>
      <c r="E1116" s="20" t="s">
        <v>26</v>
      </c>
      <c r="F1116" s="20" t="s">
        <v>3807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2841</v>
      </c>
      <c r="N1116" s="22" t="s">
        <v>250</v>
      </c>
      <c r="O1116" s="20" t="s">
        <v>955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VLOOKUP(F1116,[2]Wait!$H$225:$I$260,2,0)</f>
        <v>#N/A</v>
      </c>
    </row>
    <row r="1117" spans="1:27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2142</v>
      </c>
      <c r="E1117" s="20" t="s">
        <v>26</v>
      </c>
      <c r="F1117" s="20" t="s">
        <v>3808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602</v>
      </c>
      <c r="M1117" s="20" t="s">
        <v>2841</v>
      </c>
      <c r="N1117" s="22" t="s">
        <v>250</v>
      </c>
      <c r="O1117" s="20" t="s">
        <v>939</v>
      </c>
      <c r="P1117" s="20" t="s">
        <v>41</v>
      </c>
      <c r="Q1117" s="20" t="s">
        <v>42</v>
      </c>
      <c r="R1117" s="20" t="s">
        <v>603</v>
      </c>
      <c r="S1117" s="20" t="s">
        <v>32</v>
      </c>
      <c r="T1117" s="20" t="s">
        <v>78</v>
      </c>
      <c r="U1117" s="20" t="s">
        <v>606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VLOOKUP(F1117,[2]Wait!$H$225:$I$260,2,0)</f>
        <v>#N/A</v>
      </c>
    </row>
    <row r="1118" spans="1:27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2144</v>
      </c>
      <c r="E1118" s="20" t="s">
        <v>26</v>
      </c>
      <c r="F1118" s="20" t="s">
        <v>3809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602</v>
      </c>
      <c r="M1118" s="20" t="s">
        <v>2841</v>
      </c>
      <c r="N1118" s="22" t="s">
        <v>250</v>
      </c>
      <c r="O1118" s="20" t="s">
        <v>939</v>
      </c>
      <c r="P1118" s="20" t="s">
        <v>41</v>
      </c>
      <c r="Q1118" s="20" t="s">
        <v>42</v>
      </c>
      <c r="R1118" s="20" t="s">
        <v>603</v>
      </c>
      <c r="S1118" s="20" t="s">
        <v>32</v>
      </c>
      <c r="T1118" s="20" t="s">
        <v>78</v>
      </c>
      <c r="U1118" s="20" t="s">
        <v>608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VLOOKUP(F1118,[2]Wait!$H$225:$I$260,2,0)</f>
        <v>#N/A</v>
      </c>
    </row>
    <row r="1119" spans="1:27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2147</v>
      </c>
      <c r="E1119" s="20" t="s">
        <v>26</v>
      </c>
      <c r="F1119" s="20" t="s">
        <v>3810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2148</v>
      </c>
      <c r="M1119" s="20" t="s">
        <v>2841</v>
      </c>
      <c r="N1119" s="22" t="s">
        <v>250</v>
      </c>
      <c r="O1119" s="20" t="s">
        <v>949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66</v>
      </c>
      <c r="U1119" s="20" t="s">
        <v>2149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VLOOKUP(F1119,[2]Wait!$H$225:$I$260,2,0)</f>
        <v>#N/A</v>
      </c>
    </row>
    <row r="1120" spans="1:27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2848</v>
      </c>
      <c r="E1120" s="20" t="s">
        <v>26</v>
      </c>
      <c r="F1120" s="20" t="s">
        <v>3811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903</v>
      </c>
      <c r="M1120" s="20" t="s">
        <v>2841</v>
      </c>
      <c r="N1120" s="22" t="s">
        <v>250</v>
      </c>
      <c r="O1120" s="20" t="s">
        <v>955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904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VLOOKUP(F1120,[2]Wait!$H$225:$I$260,2,0)</f>
        <v>#N/A</v>
      </c>
    </row>
    <row r="1121" spans="1:27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2850</v>
      </c>
      <c r="E1121" s="20" t="s">
        <v>2851</v>
      </c>
      <c r="F1121" s="20" t="s">
        <v>2851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2852</v>
      </c>
      <c r="M1121" s="20" t="s">
        <v>2841</v>
      </c>
      <c r="N1121" s="22" t="s">
        <v>250</v>
      </c>
      <c r="O1121" s="20" t="s">
        <v>1044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VLOOKUP(F1121,[2]Wait!$H$225:$I$260,2,0)</f>
        <v>#N/A</v>
      </c>
    </row>
    <row r="1122" spans="1:27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2853</v>
      </c>
      <c r="E1122" s="20" t="s">
        <v>2851</v>
      </c>
      <c r="F1122" s="20" t="s">
        <v>2851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2852</v>
      </c>
      <c r="M1122" s="20" t="s">
        <v>2841</v>
      </c>
      <c r="N1122" s="22" t="s">
        <v>250</v>
      </c>
      <c r="O1122" s="20" t="s">
        <v>1044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VLOOKUP(F1122,[2]Wait!$H$225:$I$260,2,0)</f>
        <v>#N/A</v>
      </c>
    </row>
    <row r="1123" spans="1:27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2854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1611</v>
      </c>
      <c r="E1124" s="20" t="s">
        <v>1612</v>
      </c>
      <c r="F1124" s="20" t="s">
        <v>1612</v>
      </c>
      <c r="G1124" s="20" t="s">
        <v>194</v>
      </c>
      <c r="H1124" s="20" t="s">
        <v>26</v>
      </c>
      <c r="I1124" s="21">
        <v>46258</v>
      </c>
      <c r="J1124" s="20" t="s">
        <v>683</v>
      </c>
      <c r="K1124" s="20" t="s">
        <v>28</v>
      </c>
      <c r="L1124" s="20" t="s">
        <v>1613</v>
      </c>
      <c r="M1124" s="20" t="s">
        <v>2841</v>
      </c>
      <c r="N1124" s="22" t="s">
        <v>250</v>
      </c>
      <c r="O1124" s="20" t="s">
        <v>1044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2944</v>
      </c>
      <c r="E1125" s="20" t="s">
        <v>2945</v>
      </c>
      <c r="F1125" s="20" t="s">
        <v>2945</v>
      </c>
      <c r="G1125" s="20" t="s">
        <v>194</v>
      </c>
      <c r="H1125" s="20" t="s">
        <v>26</v>
      </c>
      <c r="I1125" s="21">
        <v>46258</v>
      </c>
      <c r="J1125" s="20" t="s">
        <v>683</v>
      </c>
      <c r="K1125" s="20" t="s">
        <v>28</v>
      </c>
      <c r="L1125" s="20" t="s">
        <v>2946</v>
      </c>
      <c r="M1125" s="20" t="s">
        <v>2841</v>
      </c>
      <c r="N1125" s="22" t="s">
        <v>250</v>
      </c>
      <c r="O1125" s="20" t="s">
        <v>1044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2358</v>
      </c>
      <c r="E1126" s="20" t="s">
        <v>26</v>
      </c>
      <c r="F1126" s="20" t="s">
        <v>3812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686</v>
      </c>
      <c r="M1126" s="20" t="s">
        <v>3813</v>
      </c>
      <c r="N1126" s="22" t="s">
        <v>250</v>
      </c>
      <c r="O1126" s="20" t="s">
        <v>1070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2412</v>
      </c>
      <c r="E1127" s="20" t="s">
        <v>26</v>
      </c>
      <c r="F1127" s="20" t="s">
        <v>3814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742</v>
      </c>
      <c r="M1127" s="20" t="s">
        <v>3815</v>
      </c>
      <c r="N1127" s="22" t="s">
        <v>250</v>
      </c>
      <c r="O1127" s="20" t="s">
        <v>1070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1959</v>
      </c>
      <c r="E1128" s="20" t="s">
        <v>26</v>
      </c>
      <c r="F1128" s="20" t="s">
        <v>3816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2860</v>
      </c>
      <c r="N1128" s="22" t="s">
        <v>250</v>
      </c>
      <c r="O1128" s="20" t="s">
        <v>949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2849</v>
      </c>
      <c r="E1129" s="20" t="s">
        <v>26</v>
      </c>
      <c r="F1129" s="20" t="s">
        <v>3817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905</v>
      </c>
      <c r="M1129" s="20" t="s">
        <v>2860</v>
      </c>
      <c r="N1129" s="22" t="s">
        <v>250</v>
      </c>
      <c r="O1129" s="20" t="s">
        <v>949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906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1622</v>
      </c>
      <c r="E1130" s="20" t="s">
        <v>1623</v>
      </c>
      <c r="F1130" s="20" t="s">
        <v>1623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1624</v>
      </c>
      <c r="M1130" s="20" t="s">
        <v>3818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1625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1626</v>
      </c>
      <c r="E1131" s="20" t="s">
        <v>1623</v>
      </c>
      <c r="F1131" s="20" t="s">
        <v>1623</v>
      </c>
      <c r="G1131" s="20" t="s">
        <v>194</v>
      </c>
      <c r="H1131" s="20" t="s">
        <v>26</v>
      </c>
      <c r="I1131" s="21">
        <v>46273</v>
      </c>
      <c r="J1131" s="20" t="s">
        <v>683</v>
      </c>
      <c r="K1131" s="20" t="s">
        <v>58</v>
      </c>
      <c r="L1131" s="20" t="s">
        <v>1624</v>
      </c>
      <c r="M1131" s="20" t="s">
        <v>3818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1625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2862</v>
      </c>
      <c r="E1132" s="20" t="s">
        <v>2863</v>
      </c>
      <c r="F1132" s="20" t="s">
        <v>3819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2864</v>
      </c>
      <c r="M1132" s="20" t="s">
        <v>2865</v>
      </c>
      <c r="N1132" s="22" t="s">
        <v>250</v>
      </c>
      <c r="O1132" s="20" t="s">
        <v>1727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2866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2530</v>
      </c>
      <c r="E1133" s="20" t="s">
        <v>26</v>
      </c>
      <c r="F1133" s="20" t="s">
        <v>3820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741</v>
      </c>
      <c r="M1133" s="20" t="s">
        <v>2865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2433</v>
      </c>
      <c r="E1134" s="20" t="s">
        <v>26</v>
      </c>
      <c r="F1134" s="20" t="s">
        <v>3821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2434</v>
      </c>
      <c r="M1134" s="20" t="s">
        <v>2865</v>
      </c>
      <c r="N1134" s="22" t="s">
        <v>250</v>
      </c>
      <c r="O1134" s="20" t="s">
        <v>946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2435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2542</v>
      </c>
      <c r="E1135" s="20" t="s">
        <v>2543</v>
      </c>
      <c r="F1135" s="20" t="s">
        <v>2543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2544</v>
      </c>
      <c r="M1135" s="20" t="s">
        <v>2865</v>
      </c>
      <c r="N1135" s="22" t="s">
        <v>250</v>
      </c>
      <c r="O1135" s="20" t="s">
        <v>1044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2867</v>
      </c>
      <c r="E1136" s="20" t="s">
        <v>2868</v>
      </c>
      <c r="F1136" s="20" t="s">
        <v>2868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2869</v>
      </c>
      <c r="M1136" s="20" t="s">
        <v>2865</v>
      </c>
      <c r="N1136" s="22" t="s">
        <v>250</v>
      </c>
      <c r="O1136" s="20" t="s">
        <v>1044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2870</v>
      </c>
      <c r="E1137" s="20" t="s">
        <v>2868</v>
      </c>
      <c r="F1137" s="20" t="s">
        <v>2868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2869</v>
      </c>
      <c r="M1137" s="20" t="s">
        <v>2865</v>
      </c>
      <c r="N1137" s="22" t="s">
        <v>250</v>
      </c>
      <c r="O1137" s="20" t="s">
        <v>1044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2871</v>
      </c>
      <c r="E1138" s="20" t="s">
        <v>2868</v>
      </c>
      <c r="F1138" s="20" t="s">
        <v>2868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2869</v>
      </c>
      <c r="M1138" s="20" t="s">
        <v>2865</v>
      </c>
      <c r="N1138" s="22" t="s">
        <v>250</v>
      </c>
      <c r="O1138" s="20" t="s">
        <v>1044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1683</v>
      </c>
      <c r="E1139" s="20" t="s">
        <v>1684</v>
      </c>
      <c r="F1139" s="20" t="s">
        <v>1684</v>
      </c>
      <c r="G1139" s="20" t="s">
        <v>194</v>
      </c>
      <c r="H1139" s="20" t="s">
        <v>26</v>
      </c>
      <c r="I1139" s="21">
        <v>46258</v>
      </c>
      <c r="J1139" s="20" t="s">
        <v>683</v>
      </c>
      <c r="K1139" s="20" t="s">
        <v>28</v>
      </c>
      <c r="L1139" s="20" t="s">
        <v>1685</v>
      </c>
      <c r="M1139" s="20" t="s">
        <v>2865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2573</v>
      </c>
      <c r="E1140" s="20" t="s">
        <v>2574</v>
      </c>
      <c r="F1140" s="20" t="s">
        <v>2574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2575</v>
      </c>
      <c r="M1140" s="20" t="s">
        <v>2865</v>
      </c>
      <c r="N1140" s="22" t="s">
        <v>250</v>
      </c>
      <c r="O1140" s="20" t="s">
        <v>1044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2576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2577</v>
      </c>
      <c r="E1141" s="20" t="s">
        <v>2574</v>
      </c>
      <c r="F1141" s="20" t="s">
        <v>2574</v>
      </c>
      <c r="G1141" s="20" t="s">
        <v>194</v>
      </c>
      <c r="H1141" s="20" t="s">
        <v>26</v>
      </c>
      <c r="I1141" s="21">
        <v>46276</v>
      </c>
      <c r="J1141" s="20" t="s">
        <v>683</v>
      </c>
      <c r="K1141" s="20" t="s">
        <v>58</v>
      </c>
      <c r="L1141" s="20" t="s">
        <v>2575</v>
      </c>
      <c r="M1141" s="20" t="s">
        <v>2865</v>
      </c>
      <c r="N1141" s="22" t="s">
        <v>250</v>
      </c>
      <c r="O1141" s="20" t="s">
        <v>1044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2576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2623</v>
      </c>
      <c r="E1142" s="20" t="s">
        <v>26</v>
      </c>
      <c r="F1142" s="20" t="s">
        <v>3822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805</v>
      </c>
      <c r="M1142" s="20" t="s">
        <v>3823</v>
      </c>
      <c r="N1142" s="22" t="s">
        <v>250</v>
      </c>
      <c r="O1142" s="20" t="s">
        <v>1070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2880</v>
      </c>
      <c r="E1143" s="20" t="s">
        <v>2881</v>
      </c>
      <c r="F1143" s="20" t="s">
        <v>3824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2882</v>
      </c>
      <c r="M1143" s="20" t="s">
        <v>919</v>
      </c>
      <c r="N1143" s="22" t="s">
        <v>250</v>
      </c>
      <c r="O1143" s="20" t="s">
        <v>1727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2883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1724</v>
      </c>
      <c r="E1144" s="20" t="s">
        <v>1725</v>
      </c>
      <c r="F1144" s="20" t="s">
        <v>3825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1726</v>
      </c>
      <c r="M1144" s="20" t="s">
        <v>919</v>
      </c>
      <c r="N1144" s="22" t="s">
        <v>250</v>
      </c>
      <c r="O1144" s="20" t="s">
        <v>1727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1728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1729</v>
      </c>
      <c r="E1145" s="20" t="s">
        <v>1725</v>
      </c>
      <c r="F1145" s="20" t="s">
        <v>3825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1726</v>
      </c>
      <c r="M1145" s="20" t="s">
        <v>919</v>
      </c>
      <c r="N1145" s="22" t="s">
        <v>250</v>
      </c>
      <c r="O1145" s="20" t="s">
        <v>1727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1728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2884</v>
      </c>
      <c r="E1146" s="20" t="s">
        <v>26</v>
      </c>
      <c r="F1146" s="20" t="s">
        <v>3826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917</v>
      </c>
      <c r="M1146" s="20" t="s">
        <v>919</v>
      </c>
      <c r="N1146" s="22" t="s">
        <v>250</v>
      </c>
      <c r="O1146" s="20" t="s">
        <v>949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918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2885</v>
      </c>
      <c r="E1147" s="20" t="s">
        <v>26</v>
      </c>
      <c r="F1147" s="20" t="s">
        <v>3826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917</v>
      </c>
      <c r="M1147" s="20" t="s">
        <v>919</v>
      </c>
      <c r="N1147" s="22" t="s">
        <v>250</v>
      </c>
      <c r="O1147" s="20" t="s">
        <v>949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918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2026-10-02T03:31:18Z</dcterms:modified>
</cp:coreProperties>
</file>